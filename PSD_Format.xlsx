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ndfos-my.sharepoint.com/personal/107087_grundfos_com/Documents/Desktop/"/>
    </mc:Choice>
  </mc:AlternateContent>
  <xr:revisionPtr revIDLastSave="0" documentId="8_{E07FB918-6E32-4BBB-9560-35AE029D3AAC}" xr6:coauthVersionLast="47" xr6:coauthVersionMax="47" xr10:uidLastSave="{00000000-0000-0000-0000-000000000000}"/>
  <bookViews>
    <workbookView xWindow="-120" yWindow="-120" windowWidth="29040" windowHeight="15720" tabRatio="534" firstSheet="1" activeTab="1" xr2:uid="{00000000-000D-0000-FFFF-FFFF00000000}"/>
  </bookViews>
  <sheets>
    <sheet name="Curve Header (IEQ use only)" sheetId="7" state="hidden" r:id="rId1"/>
    <sheet name="Curve Header Data" sheetId="1" r:id="rId2"/>
    <sheet name="10MAHC-2624288" sheetId="8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U85" i="82" l="1"/>
  <c r="IT85" i="82"/>
  <c r="IS85" i="82"/>
  <c r="IR85" i="82"/>
  <c r="IQ85" i="82"/>
  <c r="IP85" i="82"/>
  <c r="IO85" i="82"/>
  <c r="IN85" i="82"/>
  <c r="IM85" i="82"/>
  <c r="IL85" i="82"/>
  <c r="IK85" i="82"/>
  <c r="IJ85" i="82"/>
  <c r="II85" i="82"/>
  <c r="IH85" i="82"/>
  <c r="IG85" i="82"/>
  <c r="IF85" i="82"/>
  <c r="IE85" i="82"/>
  <c r="ID85" i="82"/>
  <c r="IC85" i="82"/>
  <c r="IB85" i="82"/>
  <c r="IA85" i="82"/>
  <c r="HZ85" i="82"/>
  <c r="HY85" i="82"/>
  <c r="HX85" i="82"/>
  <c r="HW85" i="82"/>
  <c r="HV85" i="82"/>
  <c r="HU85" i="82"/>
  <c r="HT85" i="82"/>
  <c r="HS85" i="82"/>
  <c r="HR85" i="82"/>
  <c r="HQ85" i="82"/>
  <c r="HP85" i="82"/>
  <c r="HO85" i="82"/>
  <c r="HN85" i="82"/>
  <c r="HM85" i="82"/>
  <c r="HL85" i="82"/>
  <c r="HK85" i="82"/>
  <c r="HJ85" i="82"/>
  <c r="HI85" i="82"/>
  <c r="HH85" i="82"/>
  <c r="HG85" i="82"/>
  <c r="HF85" i="82"/>
  <c r="HE85" i="82"/>
  <c r="HD85" i="82"/>
  <c r="HC85" i="82"/>
  <c r="HB85" i="82"/>
  <c r="HA85" i="82"/>
  <c r="GZ85" i="82"/>
  <c r="GY85" i="82"/>
  <c r="GX85" i="82"/>
  <c r="GW85" i="82"/>
  <c r="GV85" i="82"/>
  <c r="GU85" i="82"/>
  <c r="GT85" i="82"/>
  <c r="GS85" i="82"/>
  <c r="GR85" i="82"/>
  <c r="GQ85" i="82"/>
  <c r="GP85" i="82"/>
  <c r="GO85" i="82"/>
  <c r="GN85" i="82"/>
  <c r="GM85" i="82"/>
  <c r="GL85" i="82"/>
  <c r="GK85" i="82"/>
  <c r="GJ85" i="82"/>
  <c r="GI85" i="82"/>
  <c r="GH85" i="82"/>
  <c r="GG85" i="82"/>
  <c r="GF85" i="82"/>
  <c r="GE85" i="82"/>
  <c r="GD85" i="82"/>
  <c r="GC85" i="82"/>
  <c r="GB85" i="82"/>
  <c r="GA85" i="82"/>
  <c r="FZ85" i="82"/>
  <c r="FY85" i="82"/>
  <c r="FX85" i="82"/>
  <c r="FW85" i="82"/>
  <c r="FV85" i="82"/>
  <c r="FU85" i="82"/>
  <c r="FT85" i="82"/>
  <c r="FS85" i="82"/>
  <c r="FR85" i="82"/>
  <c r="FQ85" i="82"/>
  <c r="FP85" i="82"/>
  <c r="FO85" i="82"/>
  <c r="FN85" i="82"/>
  <c r="FM85" i="82"/>
  <c r="FL85" i="82"/>
  <c r="FK85" i="82"/>
  <c r="FJ85" i="82"/>
  <c r="FI85" i="82"/>
  <c r="FH85" i="82"/>
  <c r="FG85" i="82"/>
  <c r="FF85" i="82"/>
  <c r="FE85" i="82"/>
  <c r="FD85" i="82"/>
  <c r="FC85" i="82"/>
  <c r="FB85" i="82"/>
  <c r="FA85" i="82"/>
  <c r="EZ85" i="82"/>
  <c r="EY85" i="82"/>
  <c r="EX85" i="82"/>
  <c r="EW85" i="82"/>
  <c r="EV85" i="82"/>
  <c r="EU85" i="82"/>
  <c r="ET85" i="82"/>
  <c r="ES85" i="82"/>
  <c r="ER85" i="82"/>
  <c r="EQ85" i="82"/>
  <c r="EP85" i="82"/>
  <c r="EO85" i="82"/>
  <c r="EN85" i="82"/>
  <c r="EM85" i="82"/>
  <c r="EL85" i="82"/>
  <c r="EK85" i="82"/>
  <c r="EJ85" i="82"/>
  <c r="EI85" i="82"/>
  <c r="EH85" i="82"/>
  <c r="EG85" i="82"/>
  <c r="EF85" i="82"/>
  <c r="EE85" i="82"/>
  <c r="ED85" i="82"/>
  <c r="EC85" i="82"/>
  <c r="EB85" i="82"/>
  <c r="EA85" i="82"/>
  <c r="DZ85" i="82"/>
  <c r="DY85" i="82"/>
  <c r="DX85" i="82"/>
  <c r="DW85" i="82"/>
  <c r="DV85" i="82"/>
  <c r="DU85" i="82"/>
  <c r="DT85" i="82"/>
  <c r="DS85" i="82"/>
  <c r="DR85" i="82"/>
  <c r="DQ85" i="82"/>
  <c r="DP85" i="82"/>
  <c r="DO85" i="82"/>
  <c r="DN85" i="82"/>
  <c r="DM85" i="82"/>
  <c r="DL85" i="82"/>
  <c r="DK85" i="82"/>
  <c r="DJ85" i="82"/>
  <c r="DI85" i="82"/>
  <c r="DH85" i="82"/>
  <c r="DG85" i="82"/>
  <c r="DF85" i="82"/>
  <c r="DE85" i="82"/>
  <c r="DD85" i="82"/>
  <c r="DC85" i="82"/>
  <c r="DB85" i="82"/>
  <c r="DA85" i="82"/>
  <c r="CZ85" i="82"/>
  <c r="CY85" i="82"/>
  <c r="CX85" i="82"/>
  <c r="CW85" i="82"/>
  <c r="CV85" i="82"/>
  <c r="CU85" i="82"/>
  <c r="CT85" i="82"/>
  <c r="CS85" i="82"/>
  <c r="CR85" i="82"/>
  <c r="CQ85" i="82"/>
  <c r="CP85" i="82"/>
  <c r="CO85" i="82"/>
  <c r="CN85" i="82"/>
  <c r="CM85" i="82"/>
  <c r="CL85" i="82"/>
  <c r="CK85" i="82"/>
  <c r="CJ85" i="82"/>
  <c r="CI85" i="82"/>
  <c r="CH85" i="82"/>
  <c r="CG85" i="82"/>
  <c r="CF85" i="82"/>
  <c r="CE85" i="82"/>
  <c r="CD85" i="82"/>
  <c r="CC85" i="82"/>
  <c r="CB85" i="82"/>
  <c r="CA85" i="82"/>
  <c r="BZ85" i="82"/>
  <c r="BY85" i="82"/>
  <c r="BX85" i="82"/>
  <c r="BW85" i="82"/>
  <c r="BV85" i="82"/>
  <c r="BU85" i="82"/>
  <c r="BT85" i="82"/>
  <c r="BS85" i="82"/>
  <c r="BR85" i="82"/>
  <c r="BQ85" i="82"/>
  <c r="BP85" i="82"/>
  <c r="BO85" i="82"/>
  <c r="BN85" i="82"/>
  <c r="BM85" i="82"/>
  <c r="BL85" i="82"/>
  <c r="BK85" i="82"/>
  <c r="BJ85" i="82"/>
  <c r="BI85" i="82"/>
  <c r="BH85" i="82"/>
  <c r="BG85" i="82"/>
  <c r="BF85" i="82"/>
  <c r="BE85" i="82"/>
  <c r="BD85" i="82"/>
  <c r="BC85" i="82"/>
  <c r="BB85" i="82"/>
  <c r="BA85" i="82"/>
  <c r="AZ85" i="82"/>
  <c r="AY85" i="82"/>
  <c r="AX85" i="82"/>
  <c r="AW85" i="82"/>
  <c r="AV85" i="82"/>
  <c r="AU85" i="82"/>
  <c r="AT85" i="82"/>
  <c r="AS85" i="82"/>
  <c r="AR85" i="82"/>
  <c r="AQ85" i="82"/>
  <c r="AP85" i="82"/>
  <c r="AO85" i="82"/>
  <c r="AN85" i="82"/>
  <c r="AM85" i="82"/>
  <c r="AL85" i="82"/>
  <c r="AK85" i="82"/>
  <c r="AJ85" i="82"/>
  <c r="AI85" i="82"/>
  <c r="AH85" i="82"/>
  <c r="AG85" i="82"/>
  <c r="AF85" i="82"/>
  <c r="AE85" i="82"/>
  <c r="AD85" i="82"/>
  <c r="AC85" i="82"/>
  <c r="AB85" i="82"/>
  <c r="AA85" i="82"/>
  <c r="Z85" i="82"/>
  <c r="Y85" i="82"/>
  <c r="X85" i="82"/>
  <c r="W85" i="82"/>
  <c r="V85" i="82"/>
  <c r="U85" i="82"/>
  <c r="T85" i="82"/>
  <c r="S85" i="82"/>
  <c r="R85" i="82"/>
  <c r="Q85" i="82"/>
  <c r="P85" i="82"/>
  <c r="O85" i="82"/>
  <c r="N85" i="82"/>
  <c r="M85" i="82"/>
  <c r="L85" i="82"/>
  <c r="K85" i="82"/>
  <c r="J85" i="82"/>
  <c r="I85" i="82"/>
  <c r="H85" i="82"/>
  <c r="G85" i="82"/>
  <c r="F85" i="82"/>
  <c r="E85" i="82"/>
  <c r="D85" i="82"/>
  <c r="IU84" i="82"/>
  <c r="IT84" i="82"/>
  <c r="IS84" i="82"/>
  <c r="IR84" i="82"/>
  <c r="IQ84" i="82"/>
  <c r="IP84" i="82"/>
  <c r="IO84" i="82"/>
  <c r="IN84" i="82"/>
  <c r="IM84" i="82"/>
  <c r="IL84" i="82"/>
  <c r="IK84" i="82"/>
  <c r="IJ84" i="82"/>
  <c r="II84" i="82"/>
  <c r="IH84" i="82"/>
  <c r="IG84" i="82"/>
  <c r="IF84" i="82"/>
  <c r="IE84" i="82"/>
  <c r="ID84" i="82"/>
  <c r="IC84" i="82"/>
  <c r="IB84" i="82"/>
  <c r="IA84" i="82"/>
  <c r="HZ84" i="82"/>
  <c r="HY84" i="82"/>
  <c r="HX84" i="82"/>
  <c r="HW84" i="82"/>
  <c r="HV84" i="82"/>
  <c r="HU84" i="82"/>
  <c r="HT84" i="82"/>
  <c r="HS84" i="82"/>
  <c r="HR84" i="82"/>
  <c r="HQ84" i="82"/>
  <c r="HP84" i="82"/>
  <c r="HO84" i="82"/>
  <c r="HN84" i="82"/>
  <c r="HM84" i="82"/>
  <c r="HL84" i="82"/>
  <c r="HK84" i="82"/>
  <c r="HJ84" i="82"/>
  <c r="HI84" i="82"/>
  <c r="HH84" i="82"/>
  <c r="HG84" i="82"/>
  <c r="HF84" i="82"/>
  <c r="HE84" i="82"/>
  <c r="HD84" i="82"/>
  <c r="HC84" i="82"/>
  <c r="HB84" i="82"/>
  <c r="HA84" i="82"/>
  <c r="GZ84" i="82"/>
  <c r="GY84" i="82"/>
  <c r="GX84" i="82"/>
  <c r="GW84" i="82"/>
  <c r="GV84" i="82"/>
  <c r="GU84" i="82"/>
  <c r="GT84" i="82"/>
  <c r="GS84" i="82"/>
  <c r="GR84" i="82"/>
  <c r="GQ84" i="82"/>
  <c r="GP84" i="82"/>
  <c r="GO84" i="82"/>
  <c r="GN84" i="82"/>
  <c r="GM84" i="82"/>
  <c r="GL84" i="82"/>
  <c r="GK84" i="82"/>
  <c r="GJ84" i="82"/>
  <c r="GI84" i="82"/>
  <c r="GH84" i="82"/>
  <c r="GG84" i="82"/>
  <c r="GF84" i="82"/>
  <c r="GE84" i="82"/>
  <c r="GD84" i="82"/>
  <c r="GC84" i="82"/>
  <c r="GB84" i="82"/>
  <c r="GA84" i="82"/>
  <c r="FZ84" i="82"/>
  <c r="FY84" i="82"/>
  <c r="FX84" i="82"/>
  <c r="FW84" i="82"/>
  <c r="FV84" i="82"/>
  <c r="FU84" i="82"/>
  <c r="FT84" i="82"/>
  <c r="FS84" i="82"/>
  <c r="FR84" i="82"/>
  <c r="FQ84" i="82"/>
  <c r="FP84" i="82"/>
  <c r="FO84" i="82"/>
  <c r="FN84" i="82"/>
  <c r="FM84" i="82"/>
  <c r="FL84" i="82"/>
  <c r="FK84" i="82"/>
  <c r="FJ84" i="82"/>
  <c r="FI84" i="82"/>
  <c r="FH84" i="82"/>
  <c r="FG84" i="82"/>
  <c r="FF84" i="82"/>
  <c r="FE84" i="82"/>
  <c r="FD84" i="82"/>
  <c r="FC84" i="82"/>
  <c r="FB84" i="82"/>
  <c r="FA84" i="82"/>
  <c r="EZ84" i="82"/>
  <c r="EY84" i="82"/>
  <c r="EX84" i="82"/>
  <c r="EW84" i="82"/>
  <c r="EV84" i="82"/>
  <c r="EU84" i="82"/>
  <c r="ET84" i="82"/>
  <c r="ES84" i="82"/>
  <c r="ER84" i="82"/>
  <c r="EQ84" i="82"/>
  <c r="EP84" i="82"/>
  <c r="EO84" i="82"/>
  <c r="EN84" i="82"/>
  <c r="EM84" i="82"/>
  <c r="EL84" i="82"/>
  <c r="EK84" i="82"/>
  <c r="EJ84" i="82"/>
  <c r="EI84" i="82"/>
  <c r="EH84" i="82"/>
  <c r="EG84" i="82"/>
  <c r="EF84" i="82"/>
  <c r="EE84" i="82"/>
  <c r="ED84" i="82"/>
  <c r="EC84" i="82"/>
  <c r="EB84" i="82"/>
  <c r="EA84" i="82"/>
  <c r="DZ84" i="82"/>
  <c r="DY84" i="82"/>
  <c r="DX84" i="82"/>
  <c r="DW84" i="82"/>
  <c r="DV84" i="82"/>
  <c r="DU84" i="82"/>
  <c r="DT84" i="82"/>
  <c r="DS84" i="82"/>
  <c r="DR84" i="82"/>
  <c r="DQ84" i="82"/>
  <c r="DP84" i="82"/>
  <c r="DO84" i="82"/>
  <c r="DN84" i="82"/>
  <c r="DM84" i="82"/>
  <c r="DL84" i="82"/>
  <c r="DK84" i="82"/>
  <c r="DJ84" i="82"/>
  <c r="DI84" i="82"/>
  <c r="DH84" i="82"/>
  <c r="DG84" i="82"/>
  <c r="DF84" i="82"/>
  <c r="DE84" i="82"/>
  <c r="DD84" i="82"/>
  <c r="DC84" i="82"/>
  <c r="DB84" i="82"/>
  <c r="DA84" i="82"/>
  <c r="CZ84" i="82"/>
  <c r="CY84" i="82"/>
  <c r="CX84" i="82"/>
  <c r="CW84" i="82"/>
  <c r="CV84" i="82"/>
  <c r="CU84" i="82"/>
  <c r="CT84" i="82"/>
  <c r="CS84" i="82"/>
  <c r="CR84" i="82"/>
  <c r="CQ84" i="82"/>
  <c r="CP84" i="82"/>
  <c r="CO84" i="82"/>
  <c r="CN84" i="82"/>
  <c r="CM84" i="82"/>
  <c r="CL84" i="82"/>
  <c r="CK84" i="82"/>
  <c r="CJ84" i="82"/>
  <c r="CI84" i="82"/>
  <c r="CH84" i="82"/>
  <c r="CG84" i="82"/>
  <c r="CF84" i="82"/>
  <c r="CE84" i="82"/>
  <c r="CD84" i="82"/>
  <c r="CC84" i="82"/>
  <c r="CB84" i="82"/>
  <c r="CA84" i="82"/>
  <c r="BZ84" i="82"/>
  <c r="BY84" i="82"/>
  <c r="BX84" i="82"/>
  <c r="BW84" i="82"/>
  <c r="BV84" i="82"/>
  <c r="BU84" i="82"/>
  <c r="BT84" i="82"/>
  <c r="BS84" i="82"/>
  <c r="BR84" i="82"/>
  <c r="BQ84" i="82"/>
  <c r="BP84" i="82"/>
  <c r="BO84" i="82"/>
  <c r="BN84" i="82"/>
  <c r="BM84" i="82"/>
  <c r="BL84" i="82"/>
  <c r="BK84" i="82"/>
  <c r="BJ84" i="82"/>
  <c r="BI84" i="82"/>
  <c r="BH84" i="82"/>
  <c r="BG84" i="82"/>
  <c r="BF84" i="82"/>
  <c r="BE84" i="82"/>
  <c r="BD84" i="82"/>
  <c r="BC84" i="82"/>
  <c r="BB84" i="82"/>
  <c r="BA84" i="82"/>
  <c r="AZ84" i="82"/>
  <c r="AY84" i="82"/>
  <c r="AX84" i="82"/>
  <c r="AW84" i="82"/>
  <c r="AV84" i="82"/>
  <c r="AU84" i="82"/>
  <c r="AT84" i="82"/>
  <c r="AS84" i="82"/>
  <c r="AR84" i="82"/>
  <c r="AQ84" i="82"/>
  <c r="AP84" i="82"/>
  <c r="AO84" i="82"/>
  <c r="AN84" i="82"/>
  <c r="AM84" i="82"/>
  <c r="AL84" i="82"/>
  <c r="AK84" i="82"/>
  <c r="AJ84" i="82"/>
  <c r="AI84" i="82"/>
  <c r="AH84" i="82"/>
  <c r="AG84" i="82"/>
  <c r="AF84" i="82"/>
  <c r="AE84" i="82"/>
  <c r="AD84" i="82"/>
  <c r="AC84" i="82"/>
  <c r="AB84" i="82"/>
  <c r="AA84" i="82"/>
  <c r="Z84" i="82"/>
  <c r="Y84" i="82"/>
  <c r="X84" i="82"/>
  <c r="W84" i="82"/>
  <c r="V84" i="82"/>
  <c r="U84" i="82"/>
  <c r="T84" i="82"/>
  <c r="S84" i="82"/>
  <c r="R84" i="82"/>
  <c r="Q84" i="82"/>
  <c r="P84" i="82"/>
  <c r="O84" i="82"/>
  <c r="N84" i="82"/>
  <c r="M84" i="82"/>
  <c r="L84" i="82"/>
  <c r="K84" i="82"/>
  <c r="J84" i="82"/>
  <c r="I84" i="82"/>
  <c r="H84" i="82"/>
  <c r="G84" i="82"/>
  <c r="F84" i="82"/>
  <c r="E84" i="82"/>
  <c r="D84" i="82"/>
  <c r="IU83" i="82"/>
  <c r="IT83" i="82"/>
  <c r="IS83" i="82"/>
  <c r="IR83" i="82"/>
  <c r="IQ83" i="82"/>
  <c r="IP83" i="82"/>
  <c r="IO83" i="82"/>
  <c r="IN83" i="82"/>
  <c r="IM83" i="82"/>
  <c r="IL83" i="82"/>
  <c r="IK83" i="82"/>
  <c r="IJ83" i="82"/>
  <c r="II83" i="82"/>
  <c r="IH83" i="82"/>
  <c r="IG83" i="82"/>
  <c r="IF83" i="82"/>
  <c r="IE83" i="82"/>
  <c r="ID83" i="82"/>
  <c r="IC83" i="82"/>
  <c r="IB83" i="82"/>
  <c r="IA83" i="82"/>
  <c r="HZ83" i="82"/>
  <c r="HY83" i="82"/>
  <c r="HX83" i="82"/>
  <c r="HW83" i="82"/>
  <c r="HV83" i="82"/>
  <c r="HU83" i="82"/>
  <c r="HT83" i="82"/>
  <c r="HS83" i="82"/>
  <c r="HR83" i="82"/>
  <c r="HQ83" i="82"/>
  <c r="HP83" i="82"/>
  <c r="HO83" i="82"/>
  <c r="HN83" i="82"/>
  <c r="HM83" i="82"/>
  <c r="HL83" i="82"/>
  <c r="HK83" i="82"/>
  <c r="HJ83" i="82"/>
  <c r="HI83" i="82"/>
  <c r="HH83" i="82"/>
  <c r="HG83" i="82"/>
  <c r="HF83" i="82"/>
  <c r="HE83" i="82"/>
  <c r="HD83" i="82"/>
  <c r="HC83" i="82"/>
  <c r="HB83" i="82"/>
  <c r="HA83" i="82"/>
  <c r="GZ83" i="82"/>
  <c r="GY83" i="82"/>
  <c r="GX83" i="82"/>
  <c r="GW83" i="82"/>
  <c r="GV83" i="82"/>
  <c r="GU83" i="82"/>
  <c r="GT83" i="82"/>
  <c r="GS83" i="82"/>
  <c r="GR83" i="82"/>
  <c r="GQ83" i="82"/>
  <c r="GP83" i="82"/>
  <c r="GO83" i="82"/>
  <c r="GN83" i="82"/>
  <c r="GM83" i="82"/>
  <c r="GL83" i="82"/>
  <c r="GK83" i="82"/>
  <c r="GJ83" i="82"/>
  <c r="GI83" i="82"/>
  <c r="GH83" i="82"/>
  <c r="GG83" i="82"/>
  <c r="GF83" i="82"/>
  <c r="GE83" i="82"/>
  <c r="GD83" i="82"/>
  <c r="GC83" i="82"/>
  <c r="GB83" i="82"/>
  <c r="GA83" i="82"/>
  <c r="FZ83" i="82"/>
  <c r="FY83" i="82"/>
  <c r="FX83" i="82"/>
  <c r="FW83" i="82"/>
  <c r="FV83" i="82"/>
  <c r="FU83" i="82"/>
  <c r="FT83" i="82"/>
  <c r="FS83" i="82"/>
  <c r="FR83" i="82"/>
  <c r="FQ83" i="82"/>
  <c r="FP83" i="82"/>
  <c r="FO83" i="82"/>
  <c r="FN83" i="82"/>
  <c r="FM83" i="82"/>
  <c r="FL83" i="82"/>
  <c r="FK83" i="82"/>
  <c r="FJ83" i="82"/>
  <c r="FI83" i="82"/>
  <c r="FH83" i="82"/>
  <c r="FG83" i="82"/>
  <c r="FF83" i="82"/>
  <c r="FE83" i="82"/>
  <c r="FD83" i="82"/>
  <c r="FC83" i="82"/>
  <c r="FB83" i="82"/>
  <c r="FA83" i="82"/>
  <c r="EZ83" i="82"/>
  <c r="EY83" i="82"/>
  <c r="EX83" i="82"/>
  <c r="EW83" i="82"/>
  <c r="EV83" i="82"/>
  <c r="EU83" i="82"/>
  <c r="ET83" i="82"/>
  <c r="ES83" i="82"/>
  <c r="ER83" i="82"/>
  <c r="EQ83" i="82"/>
  <c r="EP83" i="82"/>
  <c r="EO83" i="82"/>
  <c r="EN83" i="82"/>
  <c r="EM83" i="82"/>
  <c r="EL83" i="82"/>
  <c r="EK83" i="82"/>
  <c r="EJ83" i="82"/>
  <c r="EI83" i="82"/>
  <c r="EH83" i="82"/>
  <c r="EG83" i="82"/>
  <c r="EF83" i="82"/>
  <c r="EE83" i="82"/>
  <c r="ED83" i="82"/>
  <c r="EC83" i="82"/>
  <c r="EB83" i="82"/>
  <c r="EA83" i="82"/>
  <c r="DZ83" i="82"/>
  <c r="DY83" i="82"/>
  <c r="DX83" i="82"/>
  <c r="DW83" i="82"/>
  <c r="DV83" i="82"/>
  <c r="DU83" i="82"/>
  <c r="DT83" i="82"/>
  <c r="DS83" i="82"/>
  <c r="DR83" i="82"/>
  <c r="DQ83" i="82"/>
  <c r="DP83" i="82"/>
  <c r="DO83" i="82"/>
  <c r="DN83" i="82"/>
  <c r="DM83" i="82"/>
  <c r="DL83" i="82"/>
  <c r="DK83" i="82"/>
  <c r="DJ83" i="82"/>
  <c r="DI83" i="82"/>
  <c r="DH83" i="82"/>
  <c r="DG83" i="82"/>
  <c r="DF83" i="82"/>
  <c r="DE83" i="82"/>
  <c r="DD83" i="82"/>
  <c r="DC83" i="82"/>
  <c r="DB83" i="82"/>
  <c r="DA83" i="82"/>
  <c r="CZ83" i="82"/>
  <c r="CY83" i="82"/>
  <c r="CX83" i="82"/>
  <c r="CW83" i="82"/>
  <c r="CV83" i="82"/>
  <c r="CU83" i="82"/>
  <c r="CT83" i="82"/>
  <c r="CS83" i="82"/>
  <c r="CR83" i="82"/>
  <c r="CQ83" i="82"/>
  <c r="CP83" i="82"/>
  <c r="CO83" i="82"/>
  <c r="CN83" i="82"/>
  <c r="CM83" i="82"/>
  <c r="CL83" i="82"/>
  <c r="CK83" i="82"/>
  <c r="CJ83" i="82"/>
  <c r="CI83" i="82"/>
  <c r="CH83" i="82"/>
  <c r="CG83" i="82"/>
  <c r="CF83" i="82"/>
  <c r="CE83" i="82"/>
  <c r="CD83" i="82"/>
  <c r="CC83" i="82"/>
  <c r="CB83" i="82"/>
  <c r="CA83" i="82"/>
  <c r="BZ83" i="82"/>
  <c r="BY83" i="82"/>
  <c r="BX83" i="82"/>
  <c r="BW83" i="82"/>
  <c r="BV83" i="82"/>
  <c r="BU83" i="82"/>
  <c r="BT83" i="82"/>
  <c r="BS83" i="82"/>
  <c r="BR83" i="82"/>
  <c r="BQ83" i="82"/>
  <c r="BP83" i="82"/>
  <c r="BO83" i="82"/>
  <c r="BN83" i="82"/>
  <c r="BM83" i="82"/>
  <c r="BL83" i="82"/>
  <c r="BK83" i="82"/>
  <c r="BJ83" i="82"/>
  <c r="BI83" i="82"/>
  <c r="BH83" i="82"/>
  <c r="BG83" i="82"/>
  <c r="BF83" i="82"/>
  <c r="BE83" i="82"/>
  <c r="BD83" i="82"/>
  <c r="BC83" i="82"/>
  <c r="BB83" i="82"/>
  <c r="BA83" i="82"/>
  <c r="AZ83" i="82"/>
  <c r="AY83" i="82"/>
  <c r="AX83" i="82"/>
  <c r="AW83" i="82"/>
  <c r="AV83" i="82"/>
  <c r="AU83" i="82"/>
  <c r="AT83" i="82"/>
  <c r="AS83" i="82"/>
  <c r="AR83" i="82"/>
  <c r="AQ83" i="82"/>
  <c r="AP83" i="82"/>
  <c r="AO83" i="82"/>
  <c r="AN83" i="82"/>
  <c r="AM83" i="82"/>
  <c r="AL83" i="82"/>
  <c r="AK83" i="82"/>
  <c r="AJ83" i="82"/>
  <c r="AI83" i="82"/>
  <c r="AH83" i="82"/>
  <c r="AG83" i="82"/>
  <c r="AF83" i="82"/>
  <c r="AE83" i="82"/>
  <c r="AD83" i="82"/>
  <c r="AC83" i="82"/>
  <c r="AB83" i="82"/>
  <c r="AA83" i="82"/>
  <c r="Z83" i="82"/>
  <c r="Y83" i="82"/>
  <c r="X83" i="82"/>
  <c r="W83" i="82"/>
  <c r="V83" i="82"/>
  <c r="U83" i="82"/>
  <c r="T83" i="82"/>
  <c r="S83" i="82"/>
  <c r="R83" i="82"/>
  <c r="Q83" i="82"/>
  <c r="P83" i="82"/>
  <c r="O83" i="82"/>
  <c r="N83" i="82"/>
  <c r="M83" i="82"/>
  <c r="L83" i="82"/>
  <c r="K83" i="82"/>
  <c r="J83" i="82"/>
  <c r="I83" i="82"/>
  <c r="H83" i="82"/>
  <c r="G83" i="82"/>
  <c r="F83" i="82"/>
  <c r="E83" i="82"/>
  <c r="D83" i="82"/>
  <c r="IU82" i="82"/>
  <c r="IT82" i="82"/>
  <c r="IS82" i="82"/>
  <c r="IR82" i="82"/>
  <c r="IQ82" i="82"/>
  <c r="IP82" i="82"/>
  <c r="IO82" i="82"/>
  <c r="IN82" i="82"/>
  <c r="IM82" i="82"/>
  <c r="IL82" i="82"/>
  <c r="IK82" i="82"/>
  <c r="IJ82" i="82"/>
  <c r="II82" i="82"/>
  <c r="IH82" i="82"/>
  <c r="IG82" i="82"/>
  <c r="IF82" i="82"/>
  <c r="IE82" i="82"/>
  <c r="ID82" i="82"/>
  <c r="IC82" i="82"/>
  <c r="IB82" i="82"/>
  <c r="IA82" i="82"/>
  <c r="HZ82" i="82"/>
  <c r="HY82" i="82"/>
  <c r="HX82" i="82"/>
  <c r="HW82" i="82"/>
  <c r="HV82" i="82"/>
  <c r="HU82" i="82"/>
  <c r="HT82" i="82"/>
  <c r="HS82" i="82"/>
  <c r="HR82" i="82"/>
  <c r="HQ82" i="82"/>
  <c r="HP82" i="82"/>
  <c r="HO82" i="82"/>
  <c r="HN82" i="82"/>
  <c r="HM82" i="82"/>
  <c r="HL82" i="82"/>
  <c r="HK82" i="82"/>
  <c r="HJ82" i="82"/>
  <c r="HI82" i="82"/>
  <c r="HH82" i="82"/>
  <c r="HG82" i="82"/>
  <c r="HF82" i="82"/>
  <c r="HE82" i="82"/>
  <c r="HD82" i="82"/>
  <c r="HC82" i="82"/>
  <c r="HB82" i="82"/>
  <c r="HA82" i="82"/>
  <c r="GZ82" i="82"/>
  <c r="GY82" i="82"/>
  <c r="GX82" i="82"/>
  <c r="GW82" i="82"/>
  <c r="GV82" i="82"/>
  <c r="GU82" i="82"/>
  <c r="GT82" i="82"/>
  <c r="GS82" i="82"/>
  <c r="GR82" i="82"/>
  <c r="GQ82" i="82"/>
  <c r="GP82" i="82"/>
  <c r="GO82" i="82"/>
  <c r="GN82" i="82"/>
  <c r="GM82" i="82"/>
  <c r="GL82" i="82"/>
  <c r="GK82" i="82"/>
  <c r="GJ82" i="82"/>
  <c r="GI82" i="82"/>
  <c r="GH82" i="82"/>
  <c r="GG82" i="82"/>
  <c r="GF82" i="82"/>
  <c r="GE82" i="82"/>
  <c r="GD82" i="82"/>
  <c r="GC82" i="82"/>
  <c r="GB82" i="82"/>
  <c r="GA82" i="82"/>
  <c r="FZ82" i="82"/>
  <c r="FY82" i="82"/>
  <c r="FX82" i="82"/>
  <c r="FW82" i="82"/>
  <c r="FV82" i="82"/>
  <c r="FU82" i="82"/>
  <c r="FT82" i="82"/>
  <c r="FS82" i="82"/>
  <c r="FR82" i="82"/>
  <c r="FQ82" i="82"/>
  <c r="FP82" i="82"/>
  <c r="FO82" i="82"/>
  <c r="FN82" i="82"/>
  <c r="FM82" i="82"/>
  <c r="FL82" i="82"/>
  <c r="FK82" i="82"/>
  <c r="FJ82" i="82"/>
  <c r="FI82" i="82"/>
  <c r="FH82" i="82"/>
  <c r="FG82" i="82"/>
  <c r="FF82" i="82"/>
  <c r="FE82" i="82"/>
  <c r="FD82" i="82"/>
  <c r="FC82" i="82"/>
  <c r="FB82" i="82"/>
  <c r="FA82" i="82"/>
  <c r="EZ82" i="82"/>
  <c r="EY82" i="82"/>
  <c r="EX82" i="82"/>
  <c r="EW82" i="82"/>
  <c r="EV82" i="82"/>
  <c r="EU82" i="82"/>
  <c r="ET82" i="82"/>
  <c r="ES82" i="82"/>
  <c r="ER82" i="82"/>
  <c r="EQ82" i="82"/>
  <c r="EP82" i="82"/>
  <c r="EO82" i="82"/>
  <c r="EN82" i="82"/>
  <c r="EM82" i="82"/>
  <c r="EL82" i="82"/>
  <c r="EK82" i="82"/>
  <c r="EJ82" i="82"/>
  <c r="EI82" i="82"/>
  <c r="EH82" i="82"/>
  <c r="EG82" i="82"/>
  <c r="EF82" i="82"/>
  <c r="EE82" i="82"/>
  <c r="ED82" i="82"/>
  <c r="EC82" i="82"/>
  <c r="EB82" i="82"/>
  <c r="EA82" i="82"/>
  <c r="DZ82" i="82"/>
  <c r="DY82" i="82"/>
  <c r="DX82" i="82"/>
  <c r="DW82" i="82"/>
  <c r="DV82" i="82"/>
  <c r="DU82" i="82"/>
  <c r="DT82" i="82"/>
  <c r="DS82" i="82"/>
  <c r="DR82" i="82"/>
  <c r="DQ82" i="82"/>
  <c r="DP82" i="82"/>
  <c r="DO82" i="82"/>
  <c r="DN82" i="82"/>
  <c r="DM82" i="82"/>
  <c r="DL82" i="82"/>
  <c r="DK82" i="82"/>
  <c r="DJ82" i="82"/>
  <c r="DI82" i="82"/>
  <c r="DH82" i="82"/>
  <c r="DG82" i="82"/>
  <c r="DF82" i="82"/>
  <c r="DE82" i="82"/>
  <c r="DD82" i="82"/>
  <c r="DC82" i="82"/>
  <c r="DB82" i="82"/>
  <c r="DA82" i="82"/>
  <c r="CZ82" i="82"/>
  <c r="CY82" i="82"/>
  <c r="CX82" i="82"/>
  <c r="CW82" i="82"/>
  <c r="CV82" i="82"/>
  <c r="CU82" i="82"/>
  <c r="CT82" i="82"/>
  <c r="CS82" i="82"/>
  <c r="CR82" i="82"/>
  <c r="CQ82" i="82"/>
  <c r="CP82" i="82"/>
  <c r="CO82" i="82"/>
  <c r="CN82" i="82"/>
  <c r="CM82" i="82"/>
  <c r="CL82" i="82"/>
  <c r="CK82" i="82"/>
  <c r="CJ82" i="82"/>
  <c r="CI82" i="82"/>
  <c r="CH82" i="82"/>
  <c r="CG82" i="82"/>
  <c r="CF82" i="82"/>
  <c r="CE82" i="82"/>
  <c r="CD82" i="82"/>
  <c r="CC82" i="82"/>
  <c r="CB82" i="82"/>
  <c r="CA82" i="82"/>
  <c r="BZ82" i="82"/>
  <c r="BY82" i="82"/>
  <c r="BX82" i="82"/>
  <c r="BW82" i="82"/>
  <c r="BV82" i="82"/>
  <c r="BU82" i="82"/>
  <c r="BT82" i="82"/>
  <c r="BS82" i="82"/>
  <c r="BR82" i="82"/>
  <c r="BQ82" i="82"/>
  <c r="BP82" i="82"/>
  <c r="BO82" i="82"/>
  <c r="BN82" i="82"/>
  <c r="BM82" i="82"/>
  <c r="BL82" i="82"/>
  <c r="BK82" i="82"/>
  <c r="BJ82" i="82"/>
  <c r="BI82" i="82"/>
  <c r="BH82" i="82"/>
  <c r="BG82" i="82"/>
  <c r="BF82" i="82"/>
  <c r="BE82" i="82"/>
  <c r="BD82" i="82"/>
  <c r="BC82" i="82"/>
  <c r="BB82" i="82"/>
  <c r="BA82" i="82"/>
  <c r="AZ82" i="82"/>
  <c r="AY82" i="82"/>
  <c r="AX82" i="82"/>
  <c r="AW82" i="82"/>
  <c r="AV82" i="82"/>
  <c r="AU82" i="82"/>
  <c r="AT82" i="82"/>
  <c r="AS82" i="82"/>
  <c r="AR82" i="82"/>
  <c r="AQ82" i="82"/>
  <c r="AP82" i="82"/>
  <c r="AO82" i="82"/>
  <c r="AN82" i="82"/>
  <c r="AM82" i="82"/>
  <c r="AL82" i="82"/>
  <c r="AK82" i="82"/>
  <c r="AJ82" i="82"/>
  <c r="AI82" i="82"/>
  <c r="AH82" i="82"/>
  <c r="AG82" i="82"/>
  <c r="AF82" i="82"/>
  <c r="AE82" i="82"/>
  <c r="AD82" i="82"/>
  <c r="AC82" i="82"/>
  <c r="AB82" i="82"/>
  <c r="AA82" i="82"/>
  <c r="Z82" i="82"/>
  <c r="Y82" i="82"/>
  <c r="X82" i="82"/>
  <c r="W82" i="82"/>
  <c r="V82" i="82"/>
  <c r="U82" i="82"/>
  <c r="T82" i="82"/>
  <c r="S82" i="82"/>
  <c r="R82" i="82"/>
  <c r="Q82" i="82"/>
  <c r="P82" i="82"/>
  <c r="O82" i="82"/>
  <c r="N82" i="82"/>
  <c r="M82" i="82"/>
  <c r="L82" i="82"/>
  <c r="K82" i="82"/>
  <c r="J82" i="82"/>
  <c r="I82" i="82"/>
  <c r="H82" i="82"/>
  <c r="G82" i="82"/>
  <c r="F82" i="82"/>
  <c r="E82" i="82"/>
  <c r="D82" i="82"/>
  <c r="IU81" i="82"/>
  <c r="IT81" i="82"/>
  <c r="IS81" i="82"/>
  <c r="IR81" i="82"/>
  <c r="IQ81" i="82"/>
  <c r="IP81" i="82"/>
  <c r="IO81" i="82"/>
  <c r="IN81" i="82"/>
  <c r="IM81" i="82"/>
  <c r="IL81" i="82"/>
  <c r="IK81" i="82"/>
  <c r="IJ81" i="82"/>
  <c r="II81" i="82"/>
  <c r="IH81" i="82"/>
  <c r="IG81" i="82"/>
  <c r="IF81" i="82"/>
  <c r="IE81" i="82"/>
  <c r="ID81" i="82"/>
  <c r="IC81" i="82"/>
  <c r="IB81" i="82"/>
  <c r="IA81" i="82"/>
  <c r="HZ81" i="82"/>
  <c r="HY81" i="82"/>
  <c r="HX81" i="82"/>
  <c r="HW81" i="82"/>
  <c r="HV81" i="82"/>
  <c r="HU81" i="82"/>
  <c r="HT81" i="82"/>
  <c r="HS81" i="82"/>
  <c r="HR81" i="82"/>
  <c r="HQ81" i="82"/>
  <c r="HP81" i="82"/>
  <c r="HO81" i="82"/>
  <c r="HN81" i="82"/>
  <c r="HM81" i="82"/>
  <c r="HL81" i="82"/>
  <c r="HK81" i="82"/>
  <c r="HJ81" i="82"/>
  <c r="HI81" i="82"/>
  <c r="HH81" i="82"/>
  <c r="HG81" i="82"/>
  <c r="HF81" i="82"/>
  <c r="HE81" i="82"/>
  <c r="HD81" i="82"/>
  <c r="HC81" i="82"/>
  <c r="HB81" i="82"/>
  <c r="HA81" i="82"/>
  <c r="GZ81" i="82"/>
  <c r="GY81" i="82"/>
  <c r="GX81" i="82"/>
  <c r="GW81" i="82"/>
  <c r="GV81" i="82"/>
  <c r="GU81" i="82"/>
  <c r="GT81" i="82"/>
  <c r="GS81" i="82"/>
  <c r="GR81" i="82"/>
  <c r="GQ81" i="82"/>
  <c r="GP81" i="82"/>
  <c r="GO81" i="82"/>
  <c r="GN81" i="82"/>
  <c r="GM81" i="82"/>
  <c r="GL81" i="82"/>
  <c r="GK81" i="82"/>
  <c r="GJ81" i="82"/>
  <c r="GI81" i="82"/>
  <c r="GH81" i="82"/>
  <c r="GG81" i="82"/>
  <c r="GF81" i="82"/>
  <c r="GE81" i="82"/>
  <c r="GD81" i="82"/>
  <c r="GC81" i="82"/>
  <c r="GB81" i="82"/>
  <c r="GA81" i="82"/>
  <c r="FZ81" i="82"/>
  <c r="FY81" i="82"/>
  <c r="FX81" i="82"/>
  <c r="FW81" i="82"/>
  <c r="FV81" i="82"/>
  <c r="FU81" i="82"/>
  <c r="FT81" i="82"/>
  <c r="FS81" i="82"/>
  <c r="FR81" i="82"/>
  <c r="FQ81" i="82"/>
  <c r="FP81" i="82"/>
  <c r="FO81" i="82"/>
  <c r="FN81" i="82"/>
  <c r="FM81" i="82"/>
  <c r="FL81" i="82"/>
  <c r="FK81" i="82"/>
  <c r="FJ81" i="82"/>
  <c r="FI81" i="82"/>
  <c r="FH81" i="82"/>
  <c r="FG81" i="82"/>
  <c r="FF81" i="82"/>
  <c r="FE81" i="82"/>
  <c r="FD81" i="82"/>
  <c r="FC81" i="82"/>
  <c r="FB81" i="82"/>
  <c r="FA81" i="82"/>
  <c r="EZ81" i="82"/>
  <c r="EY81" i="82"/>
  <c r="EX81" i="82"/>
  <c r="EW81" i="82"/>
  <c r="EV81" i="82"/>
  <c r="EU81" i="82"/>
  <c r="ET81" i="82"/>
  <c r="ES81" i="82"/>
  <c r="ER81" i="82"/>
  <c r="EQ81" i="82"/>
  <c r="EP81" i="82"/>
  <c r="EO81" i="82"/>
  <c r="EN81" i="82"/>
  <c r="EM81" i="82"/>
  <c r="EL81" i="82"/>
  <c r="EK81" i="82"/>
  <c r="EJ81" i="82"/>
  <c r="EI81" i="82"/>
  <c r="EH81" i="82"/>
  <c r="EG81" i="82"/>
  <c r="EF81" i="82"/>
  <c r="EE81" i="82"/>
  <c r="ED81" i="82"/>
  <c r="EC81" i="82"/>
  <c r="EB81" i="82"/>
  <c r="EA81" i="82"/>
  <c r="DZ81" i="82"/>
  <c r="DY81" i="82"/>
  <c r="DX81" i="82"/>
  <c r="DW81" i="82"/>
  <c r="DV81" i="82"/>
  <c r="DU81" i="82"/>
  <c r="DT81" i="82"/>
  <c r="DS81" i="82"/>
  <c r="DR81" i="82"/>
  <c r="DQ81" i="82"/>
  <c r="DP81" i="82"/>
  <c r="DO81" i="82"/>
  <c r="DN81" i="82"/>
  <c r="DM81" i="82"/>
  <c r="DL81" i="82"/>
  <c r="DK81" i="82"/>
  <c r="DJ81" i="82"/>
  <c r="DI81" i="82"/>
  <c r="DH81" i="82"/>
  <c r="DG81" i="82"/>
  <c r="DF81" i="82"/>
  <c r="DE81" i="82"/>
  <c r="DD81" i="82"/>
  <c r="DC81" i="82"/>
  <c r="DB81" i="82"/>
  <c r="DA81" i="82"/>
  <c r="CZ81" i="82"/>
  <c r="CY81" i="82"/>
  <c r="CX81" i="82"/>
  <c r="CW81" i="82"/>
  <c r="CV81" i="82"/>
  <c r="CU81" i="82"/>
  <c r="CT81" i="82"/>
  <c r="CS81" i="82"/>
  <c r="CR81" i="82"/>
  <c r="CQ81" i="82"/>
  <c r="CP81" i="82"/>
  <c r="CO81" i="82"/>
  <c r="CN81" i="82"/>
  <c r="CM81" i="82"/>
  <c r="CL81" i="82"/>
  <c r="CK81" i="82"/>
  <c r="CJ81" i="82"/>
  <c r="CI81" i="82"/>
  <c r="CH81" i="82"/>
  <c r="CG81" i="82"/>
  <c r="CF81" i="82"/>
  <c r="CE81" i="82"/>
  <c r="CD81" i="82"/>
  <c r="CC81" i="82"/>
  <c r="CB81" i="82"/>
  <c r="CA81" i="82"/>
  <c r="BZ81" i="82"/>
  <c r="BY81" i="82"/>
  <c r="BX81" i="82"/>
  <c r="BW81" i="82"/>
  <c r="BV81" i="82"/>
  <c r="BU81" i="82"/>
  <c r="BT81" i="82"/>
  <c r="BS81" i="82"/>
  <c r="BR81" i="82"/>
  <c r="BQ81" i="82"/>
  <c r="BP81" i="82"/>
  <c r="BO81" i="82"/>
  <c r="BN81" i="82"/>
  <c r="BM81" i="82"/>
  <c r="BL81" i="82"/>
  <c r="BK81" i="82"/>
  <c r="BJ81" i="82"/>
  <c r="BI81" i="82"/>
  <c r="BH81" i="82"/>
  <c r="BG81" i="82"/>
  <c r="BF81" i="82"/>
  <c r="BE81" i="82"/>
  <c r="BD81" i="82"/>
  <c r="BC81" i="82"/>
  <c r="BB81" i="82"/>
  <c r="BA81" i="82"/>
  <c r="AZ81" i="82"/>
  <c r="AY81" i="82"/>
  <c r="AX81" i="82"/>
  <c r="AW81" i="82"/>
  <c r="AV81" i="82"/>
  <c r="AU81" i="82"/>
  <c r="AT81" i="82"/>
  <c r="AS81" i="82"/>
  <c r="AR81" i="82"/>
  <c r="AQ81" i="82"/>
  <c r="AP81" i="82"/>
  <c r="AO81" i="82"/>
  <c r="AN81" i="82"/>
  <c r="AM81" i="82"/>
  <c r="AL81" i="82"/>
  <c r="AK81" i="82"/>
  <c r="AJ81" i="82"/>
  <c r="AI81" i="82"/>
  <c r="AH81" i="82"/>
  <c r="AG81" i="82"/>
  <c r="AF81" i="82"/>
  <c r="AE81" i="82"/>
  <c r="AD81" i="82"/>
  <c r="AC81" i="82"/>
  <c r="AB81" i="82"/>
  <c r="AA81" i="82"/>
  <c r="Z81" i="82"/>
  <c r="Y81" i="82"/>
  <c r="X81" i="82"/>
  <c r="W81" i="82"/>
  <c r="V81" i="82"/>
  <c r="U81" i="82"/>
  <c r="T81" i="82"/>
  <c r="S81" i="82"/>
  <c r="R81" i="82"/>
  <c r="Q81" i="82"/>
  <c r="P81" i="82"/>
  <c r="O81" i="82"/>
  <c r="N81" i="82"/>
  <c r="M81" i="82"/>
  <c r="L81" i="82"/>
  <c r="K81" i="82"/>
  <c r="J81" i="82"/>
  <c r="I81" i="82"/>
  <c r="H81" i="82"/>
  <c r="G81" i="82"/>
  <c r="F81" i="82"/>
  <c r="E81" i="82"/>
  <c r="D81" i="82"/>
  <c r="IU80" i="82"/>
  <c r="IT80" i="82"/>
  <c r="IS80" i="82"/>
  <c r="IR80" i="82"/>
  <c r="IQ80" i="82"/>
  <c r="IP80" i="82"/>
  <c r="IO80" i="82"/>
  <c r="IN80" i="82"/>
  <c r="IM80" i="82"/>
  <c r="IL80" i="82"/>
  <c r="IK80" i="82"/>
  <c r="IJ80" i="82"/>
  <c r="II80" i="82"/>
  <c r="IH80" i="82"/>
  <c r="IG80" i="82"/>
  <c r="IF80" i="82"/>
  <c r="IE80" i="82"/>
  <c r="ID80" i="82"/>
  <c r="IC80" i="82"/>
  <c r="IB80" i="82"/>
  <c r="IA80" i="82"/>
  <c r="HZ80" i="82"/>
  <c r="HY80" i="82"/>
  <c r="HX80" i="82"/>
  <c r="HW80" i="82"/>
  <c r="HV80" i="82"/>
  <c r="HU80" i="82"/>
  <c r="HT80" i="82"/>
  <c r="HS80" i="82"/>
  <c r="HR80" i="82"/>
  <c r="HQ80" i="82"/>
  <c r="HP80" i="82"/>
  <c r="HO80" i="82"/>
  <c r="HN80" i="82"/>
  <c r="HM80" i="82"/>
  <c r="HL80" i="82"/>
  <c r="HK80" i="82"/>
  <c r="HJ80" i="82"/>
  <c r="HI80" i="82"/>
  <c r="HH80" i="82"/>
  <c r="HG80" i="82"/>
  <c r="HF80" i="82"/>
  <c r="HE80" i="82"/>
  <c r="HD80" i="82"/>
  <c r="HC80" i="82"/>
  <c r="HB80" i="82"/>
  <c r="HA80" i="82"/>
  <c r="GZ80" i="82"/>
  <c r="GY80" i="82"/>
  <c r="GX80" i="82"/>
  <c r="GW80" i="82"/>
  <c r="GV80" i="82"/>
  <c r="GU80" i="82"/>
  <c r="GT80" i="82"/>
  <c r="GS80" i="82"/>
  <c r="GR80" i="82"/>
  <c r="GQ80" i="82"/>
  <c r="GP80" i="82"/>
  <c r="GO80" i="82"/>
  <c r="GN80" i="82"/>
  <c r="GM80" i="82"/>
  <c r="GL80" i="82"/>
  <c r="GK80" i="82"/>
  <c r="GJ80" i="82"/>
  <c r="GI80" i="82"/>
  <c r="GH80" i="82"/>
  <c r="GG80" i="82"/>
  <c r="GF80" i="82"/>
  <c r="GE80" i="82"/>
  <c r="GD80" i="82"/>
  <c r="GC80" i="82"/>
  <c r="GB80" i="82"/>
  <c r="GA80" i="82"/>
  <c r="FZ80" i="82"/>
  <c r="FY80" i="82"/>
  <c r="FX80" i="82"/>
  <c r="FW80" i="82"/>
  <c r="FV80" i="82"/>
  <c r="FU80" i="82"/>
  <c r="FT80" i="82"/>
  <c r="FS80" i="82"/>
  <c r="FR80" i="82"/>
  <c r="FQ80" i="82"/>
  <c r="FP80" i="82"/>
  <c r="FO80" i="82"/>
  <c r="FN80" i="82"/>
  <c r="FM80" i="82"/>
  <c r="FL80" i="82"/>
  <c r="FK80" i="82"/>
  <c r="FJ80" i="82"/>
  <c r="FI80" i="82"/>
  <c r="FH80" i="82"/>
  <c r="FG80" i="82"/>
  <c r="FF80" i="82"/>
  <c r="FE80" i="82"/>
  <c r="FD80" i="82"/>
  <c r="FC80" i="82"/>
  <c r="FB80" i="82"/>
  <c r="FA80" i="82"/>
  <c r="EZ80" i="82"/>
  <c r="EY80" i="82"/>
  <c r="EX80" i="82"/>
  <c r="EW80" i="82"/>
  <c r="EV80" i="82"/>
  <c r="EU80" i="82"/>
  <c r="ET80" i="82"/>
  <c r="ES80" i="82"/>
  <c r="ER80" i="82"/>
  <c r="EQ80" i="82"/>
  <c r="EP80" i="82"/>
  <c r="EO80" i="82"/>
  <c r="EN80" i="82"/>
  <c r="EM80" i="82"/>
  <c r="EL80" i="82"/>
  <c r="EK80" i="82"/>
  <c r="EJ80" i="82"/>
  <c r="EI80" i="82"/>
  <c r="EH80" i="82"/>
  <c r="EG80" i="82"/>
  <c r="EF80" i="82"/>
  <c r="EE80" i="82"/>
  <c r="ED80" i="82"/>
  <c r="EC80" i="82"/>
  <c r="EB80" i="82"/>
  <c r="EA80" i="82"/>
  <c r="DZ80" i="82"/>
  <c r="DY80" i="82"/>
  <c r="DX80" i="82"/>
  <c r="DW80" i="82"/>
  <c r="DV80" i="82"/>
  <c r="DU80" i="82"/>
  <c r="DT80" i="82"/>
  <c r="DS80" i="82"/>
  <c r="DR80" i="82"/>
  <c r="DQ80" i="82"/>
  <c r="DP80" i="82"/>
  <c r="DO80" i="82"/>
  <c r="DN80" i="82"/>
  <c r="DM80" i="82"/>
  <c r="DL80" i="82"/>
  <c r="DK80" i="82"/>
  <c r="DJ80" i="82"/>
  <c r="DI80" i="82"/>
  <c r="DH80" i="82"/>
  <c r="DG80" i="82"/>
  <c r="DF80" i="82"/>
  <c r="DE80" i="82"/>
  <c r="DD80" i="82"/>
  <c r="DC80" i="82"/>
  <c r="DB80" i="82"/>
  <c r="DA80" i="82"/>
  <c r="CZ80" i="82"/>
  <c r="CY80" i="82"/>
  <c r="CX80" i="82"/>
  <c r="CW80" i="82"/>
  <c r="CV80" i="82"/>
  <c r="CU80" i="82"/>
  <c r="CT80" i="82"/>
  <c r="CS80" i="82"/>
  <c r="CR80" i="82"/>
  <c r="CQ80" i="82"/>
  <c r="CP80" i="82"/>
  <c r="CO80" i="82"/>
  <c r="CN80" i="82"/>
  <c r="CM80" i="82"/>
  <c r="CL80" i="82"/>
  <c r="CK80" i="82"/>
  <c r="CJ80" i="82"/>
  <c r="CI80" i="82"/>
  <c r="CH80" i="82"/>
  <c r="CG80" i="82"/>
  <c r="CF80" i="82"/>
  <c r="CE80" i="82"/>
  <c r="CD80" i="82"/>
  <c r="CC80" i="82"/>
  <c r="CB80" i="82"/>
  <c r="CA80" i="82"/>
  <c r="BZ80" i="82"/>
  <c r="BY80" i="82"/>
  <c r="BX80" i="82"/>
  <c r="BW80" i="82"/>
  <c r="BV80" i="82"/>
  <c r="BU80" i="82"/>
  <c r="BT80" i="82"/>
  <c r="BS80" i="82"/>
  <c r="BR80" i="82"/>
  <c r="BQ80" i="82"/>
  <c r="BP80" i="82"/>
  <c r="BO80" i="82"/>
  <c r="BN80" i="82"/>
  <c r="BM80" i="82"/>
  <c r="BL80" i="82"/>
  <c r="BK80" i="82"/>
  <c r="BJ80" i="82"/>
  <c r="BI80" i="82"/>
  <c r="BH80" i="82"/>
  <c r="BG80" i="82"/>
  <c r="BF80" i="82"/>
  <c r="BE80" i="82"/>
  <c r="BD80" i="82"/>
  <c r="BC80" i="82"/>
  <c r="BB80" i="82"/>
  <c r="BA80" i="82"/>
  <c r="AZ80" i="82"/>
  <c r="AY80" i="82"/>
  <c r="AX80" i="82"/>
  <c r="AW80" i="82"/>
  <c r="AV80" i="82"/>
  <c r="AU80" i="82"/>
  <c r="AT80" i="82"/>
  <c r="AS80" i="82"/>
  <c r="AR80" i="82"/>
  <c r="AQ80" i="82"/>
  <c r="AP80" i="82"/>
  <c r="AO80" i="82"/>
  <c r="AN80" i="82"/>
  <c r="AM80" i="82"/>
  <c r="AL80" i="82"/>
  <c r="AK80" i="82"/>
  <c r="AJ80" i="82"/>
  <c r="AI80" i="82"/>
  <c r="AH80" i="82"/>
  <c r="AG80" i="82"/>
  <c r="AF80" i="82"/>
  <c r="AE80" i="82"/>
  <c r="AD80" i="82"/>
  <c r="AC80" i="82"/>
  <c r="AB80" i="82"/>
  <c r="AA80" i="82"/>
  <c r="Z80" i="82"/>
  <c r="Y80" i="82"/>
  <c r="X80" i="82"/>
  <c r="W80" i="82"/>
  <c r="V80" i="82"/>
  <c r="U80" i="82"/>
  <c r="T80" i="82"/>
  <c r="S80" i="82"/>
  <c r="R80" i="82"/>
  <c r="Q80" i="82"/>
  <c r="P80" i="82"/>
  <c r="O80" i="82"/>
  <c r="N80" i="82"/>
  <c r="M80" i="82"/>
  <c r="L80" i="82"/>
  <c r="K80" i="82"/>
  <c r="J80" i="82"/>
  <c r="I80" i="82"/>
  <c r="H80" i="82"/>
  <c r="G80" i="82"/>
  <c r="F80" i="82"/>
  <c r="E80" i="82"/>
  <c r="D80" i="82"/>
  <c r="IU79" i="82"/>
  <c r="IT79" i="82"/>
  <c r="IS79" i="82"/>
  <c r="IR79" i="82"/>
  <c r="IQ79" i="82"/>
  <c r="IP79" i="82"/>
  <c r="IO79" i="82"/>
  <c r="IN79" i="82"/>
  <c r="IM79" i="82"/>
  <c r="IL79" i="82"/>
  <c r="IK79" i="82"/>
  <c r="IJ79" i="82"/>
  <c r="II79" i="82"/>
  <c r="IH79" i="82"/>
  <c r="IG79" i="82"/>
  <c r="IF79" i="82"/>
  <c r="IE79" i="82"/>
  <c r="ID79" i="82"/>
  <c r="IC79" i="82"/>
  <c r="IB79" i="82"/>
  <c r="IA79" i="82"/>
  <c r="HZ79" i="82"/>
  <c r="HY79" i="82"/>
  <c r="HX79" i="82"/>
  <c r="HW79" i="82"/>
  <c r="HV79" i="82"/>
  <c r="HU79" i="82"/>
  <c r="HT79" i="82"/>
  <c r="HS79" i="82"/>
  <c r="HR79" i="82"/>
  <c r="HQ79" i="82"/>
  <c r="HP79" i="82"/>
  <c r="HO79" i="82"/>
  <c r="HN79" i="82"/>
  <c r="HM79" i="82"/>
  <c r="HL79" i="82"/>
  <c r="HK79" i="82"/>
  <c r="HJ79" i="82"/>
  <c r="HI79" i="82"/>
  <c r="HH79" i="82"/>
  <c r="HG79" i="82"/>
  <c r="HF79" i="82"/>
  <c r="HE79" i="82"/>
  <c r="HD79" i="82"/>
  <c r="HC79" i="82"/>
  <c r="HB79" i="82"/>
  <c r="HA79" i="82"/>
  <c r="GZ79" i="82"/>
  <c r="GY79" i="82"/>
  <c r="GX79" i="82"/>
  <c r="GW79" i="82"/>
  <c r="GV79" i="82"/>
  <c r="GU79" i="82"/>
  <c r="GT79" i="82"/>
  <c r="GS79" i="82"/>
  <c r="GR79" i="82"/>
  <c r="GQ79" i="82"/>
  <c r="GP79" i="82"/>
  <c r="GO79" i="82"/>
  <c r="GN79" i="82"/>
  <c r="GM79" i="82"/>
  <c r="GL79" i="82"/>
  <c r="GK79" i="82"/>
  <c r="GJ79" i="82"/>
  <c r="GI79" i="82"/>
  <c r="GH79" i="82"/>
  <c r="GG79" i="82"/>
  <c r="GF79" i="82"/>
  <c r="GE79" i="82"/>
  <c r="GD79" i="82"/>
  <c r="GC79" i="82"/>
  <c r="GB79" i="82"/>
  <c r="GA79" i="82"/>
  <c r="FZ79" i="82"/>
  <c r="FY79" i="82"/>
  <c r="FX79" i="82"/>
  <c r="FW79" i="82"/>
  <c r="FV79" i="82"/>
  <c r="FU79" i="82"/>
  <c r="FT79" i="82"/>
  <c r="FS79" i="82"/>
  <c r="FR79" i="82"/>
  <c r="FQ79" i="82"/>
  <c r="FP79" i="82"/>
  <c r="FO79" i="82"/>
  <c r="FN79" i="82"/>
  <c r="FM79" i="82"/>
  <c r="FL79" i="82"/>
  <c r="FK79" i="82"/>
  <c r="FJ79" i="82"/>
  <c r="FI79" i="82"/>
  <c r="FH79" i="82"/>
  <c r="FG79" i="82"/>
  <c r="FF79" i="82"/>
  <c r="FE79" i="82"/>
  <c r="FD79" i="82"/>
  <c r="FC79" i="82"/>
  <c r="FB79" i="82"/>
  <c r="FA79" i="82"/>
  <c r="EZ79" i="82"/>
  <c r="EY79" i="82"/>
  <c r="EX79" i="82"/>
  <c r="EW79" i="82"/>
  <c r="EV79" i="82"/>
  <c r="EU79" i="82"/>
  <c r="ET79" i="82"/>
  <c r="ES79" i="82"/>
  <c r="ER79" i="82"/>
  <c r="EQ79" i="82"/>
  <c r="EP79" i="82"/>
  <c r="EO79" i="82"/>
  <c r="EN79" i="82"/>
  <c r="EM79" i="82"/>
  <c r="EL79" i="82"/>
  <c r="EK79" i="82"/>
  <c r="EJ79" i="82"/>
  <c r="EI79" i="82"/>
  <c r="EH79" i="82"/>
  <c r="EG79" i="82"/>
  <c r="EF79" i="82"/>
  <c r="EE79" i="82"/>
  <c r="ED79" i="82"/>
  <c r="EC79" i="82"/>
  <c r="EB79" i="82"/>
  <c r="EA79" i="82"/>
  <c r="DZ79" i="82"/>
  <c r="DY79" i="82"/>
  <c r="DX79" i="82"/>
  <c r="DW79" i="82"/>
  <c r="DV79" i="82"/>
  <c r="DU79" i="82"/>
  <c r="DT79" i="82"/>
  <c r="DS79" i="82"/>
  <c r="DR79" i="82"/>
  <c r="DQ79" i="82"/>
  <c r="DP79" i="82"/>
  <c r="DO79" i="82"/>
  <c r="DN79" i="82"/>
  <c r="DM79" i="82"/>
  <c r="DL79" i="82"/>
  <c r="DK79" i="82"/>
  <c r="DJ79" i="82"/>
  <c r="DI79" i="82"/>
  <c r="DH79" i="82"/>
  <c r="DG79" i="82"/>
  <c r="DF79" i="82"/>
  <c r="DE79" i="82"/>
  <c r="DD79" i="82"/>
  <c r="DC79" i="82"/>
  <c r="DB79" i="82"/>
  <c r="DA79" i="82"/>
  <c r="CZ79" i="82"/>
  <c r="CY79" i="82"/>
  <c r="CX79" i="82"/>
  <c r="CW79" i="82"/>
  <c r="CV79" i="82"/>
  <c r="CU79" i="82"/>
  <c r="CT79" i="82"/>
  <c r="CS79" i="82"/>
  <c r="CR79" i="82"/>
  <c r="CQ79" i="82"/>
  <c r="CP79" i="82"/>
  <c r="CO79" i="82"/>
  <c r="CN79" i="82"/>
  <c r="CM79" i="82"/>
  <c r="CL79" i="82"/>
  <c r="CK79" i="82"/>
  <c r="CJ79" i="82"/>
  <c r="CI79" i="82"/>
  <c r="CH79" i="82"/>
  <c r="CG79" i="82"/>
  <c r="CF79" i="82"/>
  <c r="CE79" i="82"/>
  <c r="CD79" i="82"/>
  <c r="CC79" i="82"/>
  <c r="CB79" i="82"/>
  <c r="CA79" i="82"/>
  <c r="BZ79" i="82"/>
  <c r="BY79" i="82"/>
  <c r="BX79" i="82"/>
  <c r="BW79" i="82"/>
  <c r="BV79" i="82"/>
  <c r="BU79" i="82"/>
  <c r="BT79" i="82"/>
  <c r="BS79" i="82"/>
  <c r="BR79" i="82"/>
  <c r="BQ79" i="82"/>
  <c r="BP79" i="82"/>
  <c r="BO79" i="82"/>
  <c r="BN79" i="82"/>
  <c r="BM79" i="82"/>
  <c r="BL79" i="82"/>
  <c r="BK79" i="82"/>
  <c r="BJ79" i="82"/>
  <c r="BI79" i="82"/>
  <c r="BH79" i="82"/>
  <c r="BG79" i="82"/>
  <c r="BF79" i="82"/>
  <c r="BE79" i="82"/>
  <c r="BD79" i="82"/>
  <c r="BC79" i="82"/>
  <c r="AZ79" i="82"/>
  <c r="AY79" i="82"/>
  <c r="AX79" i="82"/>
  <c r="AW79" i="82"/>
  <c r="AV79" i="82"/>
  <c r="AS79" i="82"/>
  <c r="AR79" i="82"/>
  <c r="AQ79" i="82"/>
  <c r="AP79" i="82"/>
  <c r="AO79" i="82"/>
  <c r="AN79" i="82"/>
  <c r="AM79" i="82"/>
  <c r="AL79" i="82"/>
  <c r="AK79" i="82"/>
  <c r="AJ79" i="82"/>
  <c r="AI79" i="82"/>
  <c r="AH79" i="82"/>
  <c r="AE79" i="82"/>
  <c r="AD79" i="82"/>
  <c r="AC79" i="82"/>
  <c r="AB79" i="82"/>
  <c r="AA79" i="82"/>
  <c r="X79" i="82"/>
  <c r="W79" i="82"/>
  <c r="V79" i="82"/>
  <c r="U79" i="82"/>
  <c r="T79" i="82"/>
  <c r="S79" i="82"/>
  <c r="R79" i="82"/>
  <c r="Q79" i="82"/>
  <c r="P79" i="82"/>
  <c r="O79" i="82"/>
  <c r="N79" i="82"/>
  <c r="M79" i="82"/>
  <c r="J79" i="82"/>
  <c r="I79" i="82"/>
  <c r="H79" i="82"/>
  <c r="G79" i="82"/>
  <c r="F79" i="82"/>
  <c r="IU78" i="82"/>
  <c r="IT78" i="82"/>
  <c r="IS78" i="82"/>
  <c r="IR78" i="82"/>
  <c r="IQ78" i="82"/>
  <c r="IP78" i="82"/>
  <c r="IO78" i="82"/>
  <c r="IN78" i="82"/>
  <c r="IM78" i="82"/>
  <c r="IL78" i="82"/>
  <c r="IK78" i="82"/>
  <c r="IJ78" i="82"/>
  <c r="II78" i="82"/>
  <c r="IH78" i="82"/>
  <c r="IG78" i="82"/>
  <c r="IF78" i="82"/>
  <c r="IE78" i="82"/>
  <c r="ID78" i="82"/>
  <c r="IC78" i="82"/>
  <c r="IB78" i="82"/>
  <c r="IA78" i="82"/>
  <c r="HZ78" i="82"/>
  <c r="HY78" i="82"/>
  <c r="HX78" i="82"/>
  <c r="HW78" i="82"/>
  <c r="HV78" i="82"/>
  <c r="HU78" i="82"/>
  <c r="HT78" i="82"/>
  <c r="HS78" i="82"/>
  <c r="HR78" i="82"/>
  <c r="HQ78" i="82"/>
  <c r="HP78" i="82"/>
  <c r="HO78" i="82"/>
  <c r="HN78" i="82"/>
  <c r="HM78" i="82"/>
  <c r="HL78" i="82"/>
  <c r="HK78" i="82"/>
  <c r="HJ78" i="82"/>
  <c r="HI78" i="82"/>
  <c r="HH78" i="82"/>
  <c r="HG78" i="82"/>
  <c r="HF78" i="82"/>
  <c r="HE78" i="82"/>
  <c r="HD78" i="82"/>
  <c r="HC78" i="82"/>
  <c r="HB78" i="82"/>
  <c r="HA78" i="82"/>
  <c r="GZ78" i="82"/>
  <c r="GY78" i="82"/>
  <c r="GX78" i="82"/>
  <c r="GW78" i="82"/>
  <c r="GV78" i="82"/>
  <c r="GU78" i="82"/>
  <c r="GT78" i="82"/>
  <c r="GS78" i="82"/>
  <c r="GR78" i="82"/>
  <c r="GQ78" i="82"/>
  <c r="GP78" i="82"/>
  <c r="GO78" i="82"/>
  <c r="GN78" i="82"/>
  <c r="GM78" i="82"/>
  <c r="GL78" i="82"/>
  <c r="GK78" i="82"/>
  <c r="GJ78" i="82"/>
  <c r="GI78" i="82"/>
  <c r="GH78" i="82"/>
  <c r="GG78" i="82"/>
  <c r="GF78" i="82"/>
  <c r="GE78" i="82"/>
  <c r="GD78" i="82"/>
  <c r="GC78" i="82"/>
  <c r="GB78" i="82"/>
  <c r="GA78" i="82"/>
  <c r="FZ78" i="82"/>
  <c r="FY78" i="82"/>
  <c r="FX78" i="82"/>
  <c r="FW78" i="82"/>
  <c r="FV78" i="82"/>
  <c r="FU78" i="82"/>
  <c r="FT78" i="82"/>
  <c r="FS78" i="82"/>
  <c r="FR78" i="82"/>
  <c r="FQ78" i="82"/>
  <c r="FP78" i="82"/>
  <c r="FO78" i="82"/>
  <c r="FN78" i="82"/>
  <c r="FM78" i="82"/>
  <c r="FL78" i="82"/>
  <c r="FK78" i="82"/>
  <c r="FJ78" i="82"/>
  <c r="FI78" i="82"/>
  <c r="FH78" i="82"/>
  <c r="FG78" i="82"/>
  <c r="FF78" i="82"/>
  <c r="FE78" i="82"/>
  <c r="FD78" i="82"/>
  <c r="FC78" i="82"/>
  <c r="FB78" i="82"/>
  <c r="FA78" i="82"/>
  <c r="EZ78" i="82"/>
  <c r="EY78" i="82"/>
  <c r="EX78" i="82"/>
  <c r="EW78" i="82"/>
  <c r="EV78" i="82"/>
  <c r="EU78" i="82"/>
  <c r="ET78" i="82"/>
  <c r="ES78" i="82"/>
  <c r="ER78" i="82"/>
  <c r="EQ78" i="82"/>
  <c r="EP78" i="82"/>
  <c r="EO78" i="82"/>
  <c r="EN78" i="82"/>
  <c r="EM78" i="82"/>
  <c r="EL78" i="82"/>
  <c r="EK78" i="82"/>
  <c r="EJ78" i="82"/>
  <c r="EI78" i="82"/>
  <c r="EH78" i="82"/>
  <c r="EG78" i="82"/>
  <c r="EF78" i="82"/>
  <c r="EE78" i="82"/>
  <c r="ED78" i="82"/>
  <c r="EC78" i="82"/>
  <c r="EB78" i="82"/>
  <c r="EA78" i="82"/>
  <c r="DZ78" i="82"/>
  <c r="DY78" i="82"/>
  <c r="DX78" i="82"/>
  <c r="DW78" i="82"/>
  <c r="DV78" i="82"/>
  <c r="DU78" i="82"/>
  <c r="DT78" i="82"/>
  <c r="DS78" i="82"/>
  <c r="DR78" i="82"/>
  <c r="DQ78" i="82"/>
  <c r="DP78" i="82"/>
  <c r="DO78" i="82"/>
  <c r="DN78" i="82"/>
  <c r="DM78" i="82"/>
  <c r="DL78" i="82"/>
  <c r="DK78" i="82"/>
  <c r="DJ78" i="82"/>
  <c r="DI78" i="82"/>
  <c r="DH78" i="82"/>
  <c r="DG78" i="82"/>
  <c r="DF78" i="82"/>
  <c r="DE78" i="82"/>
  <c r="DD78" i="82"/>
  <c r="DC78" i="82"/>
  <c r="DB78" i="82"/>
  <c r="DA78" i="82"/>
  <c r="CZ78" i="82"/>
  <c r="CY78" i="82"/>
  <c r="CX78" i="82"/>
  <c r="CW78" i="82"/>
  <c r="CV78" i="82"/>
  <c r="CU78" i="82"/>
  <c r="CT78" i="82"/>
  <c r="CS78" i="82"/>
  <c r="CR78" i="82"/>
  <c r="CQ78" i="82"/>
  <c r="CP78" i="82"/>
  <c r="CO78" i="82"/>
  <c r="CN78" i="82"/>
  <c r="CM78" i="82"/>
  <c r="CL78" i="82"/>
  <c r="CK78" i="82"/>
  <c r="CJ78" i="82"/>
  <c r="CI78" i="82"/>
  <c r="CH78" i="82"/>
  <c r="CG78" i="82"/>
  <c r="CF78" i="82"/>
  <c r="CE78" i="82"/>
  <c r="CD78" i="82"/>
  <c r="CC78" i="82"/>
  <c r="CB78" i="82"/>
  <c r="CA78" i="82"/>
  <c r="BZ78" i="82"/>
  <c r="BY78" i="82"/>
  <c r="BX78" i="82"/>
  <c r="BW78" i="82"/>
  <c r="BV78" i="82"/>
  <c r="BU78" i="82"/>
  <c r="BT78" i="82"/>
  <c r="BS78" i="82"/>
  <c r="BR78" i="82"/>
  <c r="BQ78" i="82"/>
  <c r="BP78" i="82"/>
  <c r="BO78" i="82"/>
  <c r="BN78" i="82"/>
  <c r="BM78" i="82"/>
  <c r="BL78" i="82"/>
  <c r="BK78" i="82"/>
  <c r="BJ78" i="82"/>
  <c r="BI78" i="82"/>
  <c r="BH78" i="82"/>
  <c r="BG78" i="82"/>
  <c r="BF78" i="82"/>
  <c r="BE78" i="82"/>
  <c r="BD78" i="82"/>
  <c r="BC78" i="82"/>
  <c r="AZ78" i="82"/>
  <c r="AY78" i="82"/>
  <c r="AX78" i="82"/>
  <c r="AW78" i="82"/>
  <c r="AV78" i="82"/>
  <c r="AS78" i="82"/>
  <c r="AR78" i="82"/>
  <c r="AQ78" i="82"/>
  <c r="AP78" i="82"/>
  <c r="AO78" i="82"/>
  <c r="AN78" i="82"/>
  <c r="AM78" i="82"/>
  <c r="AL78" i="82"/>
  <c r="AK78" i="82"/>
  <c r="AJ78" i="82"/>
  <c r="AI78" i="82"/>
  <c r="AH78" i="82"/>
  <c r="AE78" i="82"/>
  <c r="AD78" i="82"/>
  <c r="AC78" i="82"/>
  <c r="AB78" i="82"/>
  <c r="AA78" i="82"/>
  <c r="X78" i="82"/>
  <c r="W78" i="82"/>
  <c r="V78" i="82"/>
  <c r="U78" i="82"/>
  <c r="T78" i="82"/>
  <c r="S78" i="82"/>
  <c r="R78" i="82"/>
  <c r="Q78" i="82"/>
  <c r="P78" i="82"/>
  <c r="O78" i="82"/>
  <c r="N78" i="82"/>
  <c r="M78" i="82"/>
  <c r="J78" i="82"/>
  <c r="I78" i="82"/>
  <c r="H78" i="82"/>
  <c r="G78" i="82"/>
  <c r="F78" i="82"/>
  <c r="IU77" i="82"/>
  <c r="IT77" i="82"/>
  <c r="IS77" i="82"/>
  <c r="IR77" i="82"/>
  <c r="IQ77" i="82"/>
  <c r="IP77" i="82"/>
  <c r="IO77" i="82"/>
  <c r="IN77" i="82"/>
  <c r="IM77" i="82"/>
  <c r="IL77" i="82"/>
  <c r="IK77" i="82"/>
  <c r="IJ77" i="82"/>
  <c r="II77" i="82"/>
  <c r="IH77" i="82"/>
  <c r="IG77" i="82"/>
  <c r="IF77" i="82"/>
  <c r="IE77" i="82"/>
  <c r="ID77" i="82"/>
  <c r="IC77" i="82"/>
  <c r="IB77" i="82"/>
  <c r="IA77" i="82"/>
  <c r="HZ77" i="82"/>
  <c r="HY77" i="82"/>
  <c r="HX77" i="82"/>
  <c r="HW77" i="82"/>
  <c r="HV77" i="82"/>
  <c r="HU77" i="82"/>
  <c r="HT77" i="82"/>
  <c r="HS77" i="82"/>
  <c r="HR77" i="82"/>
  <c r="HQ77" i="82"/>
  <c r="HP77" i="82"/>
  <c r="HO77" i="82"/>
  <c r="HN77" i="82"/>
  <c r="HM77" i="82"/>
  <c r="HL77" i="82"/>
  <c r="HK77" i="82"/>
  <c r="HJ77" i="82"/>
  <c r="HI77" i="82"/>
  <c r="HH77" i="82"/>
  <c r="HG77" i="82"/>
  <c r="HF77" i="82"/>
  <c r="HE77" i="82"/>
  <c r="HD77" i="82"/>
  <c r="HC77" i="82"/>
  <c r="HB77" i="82"/>
  <c r="HA77" i="82"/>
  <c r="GZ77" i="82"/>
  <c r="GY77" i="82"/>
  <c r="GX77" i="82"/>
  <c r="GW77" i="82"/>
  <c r="GV77" i="82"/>
  <c r="GU77" i="82"/>
  <c r="GT77" i="82"/>
  <c r="GS77" i="82"/>
  <c r="GR77" i="82"/>
  <c r="GQ77" i="82"/>
  <c r="GP77" i="82"/>
  <c r="GO77" i="82"/>
  <c r="GN77" i="82"/>
  <c r="GM77" i="82"/>
  <c r="GL77" i="82"/>
  <c r="GK77" i="82"/>
  <c r="GJ77" i="82"/>
  <c r="GI77" i="82"/>
  <c r="GH77" i="82"/>
  <c r="GG77" i="82"/>
  <c r="GF77" i="82"/>
  <c r="GE77" i="82"/>
  <c r="GD77" i="82"/>
  <c r="GC77" i="82"/>
  <c r="GB77" i="82"/>
  <c r="GA77" i="82"/>
  <c r="FZ77" i="82"/>
  <c r="FY77" i="82"/>
  <c r="FX77" i="82"/>
  <c r="FW77" i="82"/>
  <c r="FV77" i="82"/>
  <c r="FU77" i="82"/>
  <c r="FT77" i="82"/>
  <c r="FS77" i="82"/>
  <c r="FR77" i="82"/>
  <c r="FQ77" i="82"/>
  <c r="FP77" i="82"/>
  <c r="FO77" i="82"/>
  <c r="FN77" i="82"/>
  <c r="FM77" i="82"/>
  <c r="FL77" i="82"/>
  <c r="FK77" i="82"/>
  <c r="FJ77" i="82"/>
  <c r="FI77" i="82"/>
  <c r="FH77" i="82"/>
  <c r="FG77" i="82"/>
  <c r="FF77" i="82"/>
  <c r="FE77" i="82"/>
  <c r="FD77" i="82"/>
  <c r="FC77" i="82"/>
  <c r="FB77" i="82"/>
  <c r="FA77" i="82"/>
  <c r="EZ77" i="82"/>
  <c r="EY77" i="82"/>
  <c r="EX77" i="82"/>
  <c r="EW77" i="82"/>
  <c r="EV77" i="82"/>
  <c r="EU77" i="82"/>
  <c r="ET77" i="82"/>
  <c r="ES77" i="82"/>
  <c r="ER77" i="82"/>
  <c r="EQ77" i="82"/>
  <c r="EP77" i="82"/>
  <c r="EO77" i="82"/>
  <c r="EN77" i="82"/>
  <c r="EM77" i="82"/>
  <c r="EL77" i="82"/>
  <c r="EK77" i="82"/>
  <c r="EJ77" i="82"/>
  <c r="EI77" i="82"/>
  <c r="EH77" i="82"/>
  <c r="EG77" i="82"/>
  <c r="EF77" i="82"/>
  <c r="EE77" i="82"/>
  <c r="ED77" i="82"/>
  <c r="EC77" i="82"/>
  <c r="EB77" i="82"/>
  <c r="EA77" i="82"/>
  <c r="DZ77" i="82"/>
  <c r="DY77" i="82"/>
  <c r="DX77" i="82"/>
  <c r="DW77" i="82"/>
  <c r="DV77" i="82"/>
  <c r="DU77" i="82"/>
  <c r="DT77" i="82"/>
  <c r="DS77" i="82"/>
  <c r="DR77" i="82"/>
  <c r="DQ77" i="82"/>
  <c r="DP77" i="82"/>
  <c r="DO77" i="82"/>
  <c r="DN77" i="82"/>
  <c r="DM77" i="82"/>
  <c r="DL77" i="82"/>
  <c r="DK77" i="82"/>
  <c r="DJ77" i="82"/>
  <c r="DI77" i="82"/>
  <c r="DH77" i="82"/>
  <c r="DG77" i="82"/>
  <c r="DF77" i="82"/>
  <c r="DE77" i="82"/>
  <c r="DD77" i="82"/>
  <c r="DC77" i="82"/>
  <c r="DB77" i="82"/>
  <c r="DA77" i="82"/>
  <c r="CZ77" i="82"/>
  <c r="CY77" i="82"/>
  <c r="CX77" i="82"/>
  <c r="CW77" i="82"/>
  <c r="CV77" i="82"/>
  <c r="CU77" i="82"/>
  <c r="CT77" i="82"/>
  <c r="CS77" i="82"/>
  <c r="CR77" i="82"/>
  <c r="CQ77" i="82"/>
  <c r="CP77" i="82"/>
  <c r="CO77" i="82"/>
  <c r="CN77" i="82"/>
  <c r="CM77" i="82"/>
  <c r="CL77" i="82"/>
  <c r="CK77" i="82"/>
  <c r="CJ77" i="82"/>
  <c r="CI77" i="82"/>
  <c r="CH77" i="82"/>
  <c r="CG77" i="82"/>
  <c r="CF77" i="82"/>
  <c r="CE77" i="82"/>
  <c r="CD77" i="82"/>
  <c r="CC77" i="82"/>
  <c r="CB77" i="82"/>
  <c r="CA77" i="82"/>
  <c r="BZ77" i="82"/>
  <c r="BY77" i="82"/>
  <c r="BX77" i="82"/>
  <c r="BW77" i="82"/>
  <c r="BV77" i="82"/>
  <c r="BU77" i="82"/>
  <c r="BT77" i="82"/>
  <c r="BS77" i="82"/>
  <c r="BR77" i="82"/>
  <c r="BQ77" i="82"/>
  <c r="BP77" i="82"/>
  <c r="BO77" i="82"/>
  <c r="BN77" i="82"/>
  <c r="BM77" i="82"/>
  <c r="BL77" i="82"/>
  <c r="BK77" i="82"/>
  <c r="BJ77" i="82"/>
  <c r="BI77" i="82"/>
  <c r="BH77" i="82"/>
  <c r="BG77" i="82"/>
  <c r="BF77" i="82"/>
  <c r="BE77" i="82"/>
  <c r="BD77" i="82"/>
  <c r="BC77" i="82"/>
  <c r="AZ77" i="82"/>
  <c r="AY77" i="82"/>
  <c r="AX77" i="82"/>
  <c r="AW77" i="82"/>
  <c r="AV77" i="82"/>
  <c r="AS77" i="82"/>
  <c r="AR77" i="82"/>
  <c r="AQ77" i="82"/>
  <c r="AP77" i="82"/>
  <c r="AO77" i="82"/>
  <c r="AN77" i="82"/>
  <c r="AM77" i="82"/>
  <c r="AL77" i="82"/>
  <c r="AK77" i="82"/>
  <c r="AJ77" i="82"/>
  <c r="AI77" i="82"/>
  <c r="AH77" i="82"/>
  <c r="AE77" i="82"/>
  <c r="AD77" i="82"/>
  <c r="AC77" i="82"/>
  <c r="AB77" i="82"/>
  <c r="AA77" i="82"/>
  <c r="X77" i="82"/>
  <c r="W77" i="82"/>
  <c r="V77" i="82"/>
  <c r="U77" i="82"/>
  <c r="T77" i="82"/>
  <c r="S77" i="82"/>
  <c r="R77" i="82"/>
  <c r="Q77" i="82"/>
  <c r="P77" i="82"/>
  <c r="O77" i="82"/>
  <c r="N77" i="82"/>
  <c r="M77" i="82"/>
  <c r="J77" i="82"/>
  <c r="I77" i="82"/>
  <c r="H77" i="82"/>
  <c r="G77" i="82"/>
  <c r="F77" i="82"/>
  <c r="IU76" i="82"/>
  <c r="IT76" i="82"/>
  <c r="IS76" i="82"/>
  <c r="IR76" i="82"/>
  <c r="IQ76" i="82"/>
  <c r="IP76" i="82"/>
  <c r="IO76" i="82"/>
  <c r="IN76" i="82"/>
  <c r="IM76" i="82"/>
  <c r="IL76" i="82"/>
  <c r="IK76" i="82"/>
  <c r="IJ76" i="82"/>
  <c r="II76" i="82"/>
  <c r="IH76" i="82"/>
  <c r="IG76" i="82"/>
  <c r="IF76" i="82"/>
  <c r="IE76" i="82"/>
  <c r="ID76" i="82"/>
  <c r="IC76" i="82"/>
  <c r="IB76" i="82"/>
  <c r="IA76" i="82"/>
  <c r="HZ76" i="82"/>
  <c r="HY76" i="82"/>
  <c r="HX76" i="82"/>
  <c r="HW76" i="82"/>
  <c r="HV76" i="82"/>
  <c r="HU76" i="82"/>
  <c r="HT76" i="82"/>
  <c r="HS76" i="82"/>
  <c r="HR76" i="82"/>
  <c r="HQ76" i="82"/>
  <c r="HP76" i="82"/>
  <c r="HO76" i="82"/>
  <c r="HN76" i="82"/>
  <c r="HM76" i="82"/>
  <c r="HL76" i="82"/>
  <c r="HK76" i="82"/>
  <c r="HJ76" i="82"/>
  <c r="HI76" i="82"/>
  <c r="HH76" i="82"/>
  <c r="HG76" i="82"/>
  <c r="HF76" i="82"/>
  <c r="HE76" i="82"/>
  <c r="HD76" i="82"/>
  <c r="HC76" i="82"/>
  <c r="HB76" i="82"/>
  <c r="HA76" i="82"/>
  <c r="GZ76" i="82"/>
  <c r="GY76" i="82"/>
  <c r="GX76" i="82"/>
  <c r="GW76" i="82"/>
  <c r="GV76" i="82"/>
  <c r="GU76" i="82"/>
  <c r="GT76" i="82"/>
  <c r="GS76" i="82"/>
  <c r="GR76" i="82"/>
  <c r="GQ76" i="82"/>
  <c r="GP76" i="82"/>
  <c r="GO76" i="82"/>
  <c r="GN76" i="82"/>
  <c r="GM76" i="82"/>
  <c r="GL76" i="82"/>
  <c r="GK76" i="82"/>
  <c r="GJ76" i="82"/>
  <c r="GI76" i="82"/>
  <c r="GH76" i="82"/>
  <c r="GG76" i="82"/>
  <c r="GF76" i="82"/>
  <c r="GE76" i="82"/>
  <c r="GD76" i="82"/>
  <c r="GC76" i="82"/>
  <c r="GB76" i="82"/>
  <c r="GA76" i="82"/>
  <c r="FZ76" i="82"/>
  <c r="FY76" i="82"/>
  <c r="FX76" i="82"/>
  <c r="FW76" i="82"/>
  <c r="FV76" i="82"/>
  <c r="FU76" i="82"/>
  <c r="FT76" i="82"/>
  <c r="FS76" i="82"/>
  <c r="FR76" i="82"/>
  <c r="FQ76" i="82"/>
  <c r="FP76" i="82"/>
  <c r="FO76" i="82"/>
  <c r="FN76" i="82"/>
  <c r="FM76" i="82"/>
  <c r="FL76" i="82"/>
  <c r="FK76" i="82"/>
  <c r="FJ76" i="82"/>
  <c r="FI76" i="82"/>
  <c r="FH76" i="82"/>
  <c r="FG76" i="82"/>
  <c r="FF76" i="82"/>
  <c r="FE76" i="82"/>
  <c r="FD76" i="82"/>
  <c r="FC76" i="82"/>
  <c r="FB76" i="82"/>
  <c r="FA76" i="82"/>
  <c r="EZ76" i="82"/>
  <c r="EY76" i="82"/>
  <c r="EX76" i="82"/>
  <c r="EW76" i="82"/>
  <c r="EV76" i="82"/>
  <c r="EU76" i="82"/>
  <c r="ET76" i="82"/>
  <c r="ES76" i="82"/>
  <c r="ER76" i="82"/>
  <c r="EQ76" i="82"/>
  <c r="EP76" i="82"/>
  <c r="EO76" i="82"/>
  <c r="EN76" i="82"/>
  <c r="EM76" i="82"/>
  <c r="EL76" i="82"/>
  <c r="EK76" i="82"/>
  <c r="EJ76" i="82"/>
  <c r="EI76" i="82"/>
  <c r="EH76" i="82"/>
  <c r="EG76" i="82"/>
  <c r="EF76" i="82"/>
  <c r="EE76" i="82"/>
  <c r="ED76" i="82"/>
  <c r="EC76" i="82"/>
  <c r="EB76" i="82"/>
  <c r="EA76" i="82"/>
  <c r="DZ76" i="82"/>
  <c r="DY76" i="82"/>
  <c r="DX76" i="82"/>
  <c r="DW76" i="82"/>
  <c r="DV76" i="82"/>
  <c r="DU76" i="82"/>
  <c r="DT76" i="82"/>
  <c r="DS76" i="82"/>
  <c r="DR76" i="82"/>
  <c r="DQ76" i="82"/>
  <c r="DP76" i="82"/>
  <c r="DO76" i="82"/>
  <c r="DN76" i="82"/>
  <c r="DM76" i="82"/>
  <c r="DL76" i="82"/>
  <c r="DK76" i="82"/>
  <c r="DJ76" i="82"/>
  <c r="DI76" i="82"/>
  <c r="DH76" i="82"/>
  <c r="DG76" i="82"/>
  <c r="DF76" i="82"/>
  <c r="DE76" i="82"/>
  <c r="DD76" i="82"/>
  <c r="DC76" i="82"/>
  <c r="DB76" i="82"/>
  <c r="DA76" i="82"/>
  <c r="CZ76" i="82"/>
  <c r="CY76" i="82"/>
  <c r="CX76" i="82"/>
  <c r="CW76" i="82"/>
  <c r="CV76" i="82"/>
  <c r="CU76" i="82"/>
  <c r="CT76" i="82"/>
  <c r="CS76" i="82"/>
  <c r="CR76" i="82"/>
  <c r="CQ76" i="82"/>
  <c r="CP76" i="82"/>
  <c r="CO76" i="82"/>
  <c r="CN76" i="82"/>
  <c r="CM76" i="82"/>
  <c r="CL76" i="82"/>
  <c r="CK76" i="82"/>
  <c r="CJ76" i="82"/>
  <c r="CI76" i="82"/>
  <c r="CH76" i="82"/>
  <c r="CG76" i="82"/>
  <c r="CF76" i="82"/>
  <c r="CE76" i="82"/>
  <c r="CD76" i="82"/>
  <c r="CC76" i="82"/>
  <c r="CB76" i="82"/>
  <c r="CA76" i="82"/>
  <c r="BZ76" i="82"/>
  <c r="BY76" i="82"/>
  <c r="BX76" i="82"/>
  <c r="BW76" i="82"/>
  <c r="BV76" i="82"/>
  <c r="BU76" i="82"/>
  <c r="BT76" i="82"/>
  <c r="BS76" i="82"/>
  <c r="BR76" i="82"/>
  <c r="BQ76" i="82"/>
  <c r="BP76" i="82"/>
  <c r="BO76" i="82"/>
  <c r="BN76" i="82"/>
  <c r="BM76" i="82"/>
  <c r="BL76" i="82"/>
  <c r="BK76" i="82"/>
  <c r="BJ76" i="82"/>
  <c r="BI76" i="82"/>
  <c r="BH76" i="82"/>
  <c r="BG76" i="82"/>
  <c r="BF76" i="82"/>
  <c r="BE76" i="82"/>
  <c r="BD76" i="82"/>
  <c r="BC76" i="82"/>
  <c r="AZ76" i="82"/>
  <c r="AY76" i="82"/>
  <c r="AX76" i="82"/>
  <c r="AW76" i="82"/>
  <c r="AV76" i="82"/>
  <c r="AS76" i="82"/>
  <c r="AR76" i="82"/>
  <c r="AQ76" i="82"/>
  <c r="AP76" i="82"/>
  <c r="AO76" i="82"/>
  <c r="AN76" i="82"/>
  <c r="AM76" i="82"/>
  <c r="AL76" i="82"/>
  <c r="AK76" i="82"/>
  <c r="AJ76" i="82"/>
  <c r="AI76" i="82"/>
  <c r="AH76" i="82"/>
  <c r="AE76" i="82"/>
  <c r="AD76" i="82"/>
  <c r="AC76" i="82"/>
  <c r="AB76" i="82"/>
  <c r="AA76" i="82"/>
  <c r="X76" i="82"/>
  <c r="W76" i="82"/>
  <c r="V76" i="82"/>
  <c r="U76" i="82"/>
  <c r="T76" i="82"/>
  <c r="S76" i="82"/>
  <c r="R76" i="82"/>
  <c r="Q76" i="82"/>
  <c r="P76" i="82"/>
  <c r="O76" i="82"/>
  <c r="N76" i="82"/>
  <c r="M76" i="82"/>
  <c r="J76" i="82"/>
  <c r="I76" i="82"/>
  <c r="H76" i="82"/>
  <c r="G76" i="82"/>
  <c r="F76" i="82"/>
  <c r="IU75" i="82"/>
  <c r="IT75" i="82"/>
  <c r="IS75" i="82"/>
  <c r="IR75" i="82"/>
  <c r="IQ75" i="82"/>
  <c r="IP75" i="82"/>
  <c r="IO75" i="82"/>
  <c r="IN75" i="82"/>
  <c r="IM75" i="82"/>
  <c r="IL75" i="82"/>
  <c r="IK75" i="82"/>
  <c r="IJ75" i="82"/>
  <c r="II75" i="82"/>
  <c r="IH75" i="82"/>
  <c r="IG75" i="82"/>
  <c r="IF75" i="82"/>
  <c r="IE75" i="82"/>
  <c r="ID75" i="82"/>
  <c r="IC75" i="82"/>
  <c r="IB75" i="82"/>
  <c r="IA75" i="82"/>
  <c r="HZ75" i="82"/>
  <c r="HY75" i="82"/>
  <c r="HX75" i="82"/>
  <c r="HW75" i="82"/>
  <c r="HV75" i="82"/>
  <c r="HU75" i="82"/>
  <c r="HT75" i="82"/>
  <c r="HS75" i="82"/>
  <c r="HR75" i="82"/>
  <c r="HQ75" i="82"/>
  <c r="HP75" i="82"/>
  <c r="HO75" i="82"/>
  <c r="HN75" i="82"/>
  <c r="HM75" i="82"/>
  <c r="HL75" i="82"/>
  <c r="HK75" i="82"/>
  <c r="HJ75" i="82"/>
  <c r="HI75" i="82"/>
  <c r="HH75" i="82"/>
  <c r="HG75" i="82"/>
  <c r="HF75" i="82"/>
  <c r="HE75" i="82"/>
  <c r="HD75" i="82"/>
  <c r="HC75" i="82"/>
  <c r="HB75" i="82"/>
  <c r="HA75" i="82"/>
  <c r="GZ75" i="82"/>
  <c r="GY75" i="82"/>
  <c r="GX75" i="82"/>
  <c r="GW75" i="82"/>
  <c r="GV75" i="82"/>
  <c r="GU75" i="82"/>
  <c r="GT75" i="82"/>
  <c r="GS75" i="82"/>
  <c r="GR75" i="82"/>
  <c r="GQ75" i="82"/>
  <c r="GP75" i="82"/>
  <c r="GO75" i="82"/>
  <c r="GN75" i="82"/>
  <c r="GM75" i="82"/>
  <c r="GL75" i="82"/>
  <c r="GK75" i="82"/>
  <c r="GJ75" i="82"/>
  <c r="GI75" i="82"/>
  <c r="GH75" i="82"/>
  <c r="GG75" i="82"/>
  <c r="GF75" i="82"/>
  <c r="GE75" i="82"/>
  <c r="GD75" i="82"/>
  <c r="GC75" i="82"/>
  <c r="GB75" i="82"/>
  <c r="GA75" i="82"/>
  <c r="FZ75" i="82"/>
  <c r="FY75" i="82"/>
  <c r="FX75" i="82"/>
  <c r="FW75" i="82"/>
  <c r="FV75" i="82"/>
  <c r="FU75" i="82"/>
  <c r="FT75" i="82"/>
  <c r="FS75" i="82"/>
  <c r="FR75" i="82"/>
  <c r="FQ75" i="82"/>
  <c r="FP75" i="82"/>
  <c r="FO75" i="82"/>
  <c r="FN75" i="82"/>
  <c r="FM75" i="82"/>
  <c r="FL75" i="82"/>
  <c r="FK75" i="82"/>
  <c r="FJ75" i="82"/>
  <c r="FI75" i="82"/>
  <c r="FH75" i="82"/>
  <c r="FG75" i="82"/>
  <c r="FF75" i="82"/>
  <c r="FE75" i="82"/>
  <c r="FD75" i="82"/>
  <c r="FC75" i="82"/>
  <c r="FB75" i="82"/>
  <c r="FA75" i="82"/>
  <c r="EZ75" i="82"/>
  <c r="EY75" i="82"/>
  <c r="EX75" i="82"/>
  <c r="EW75" i="82"/>
  <c r="EV75" i="82"/>
  <c r="EU75" i="82"/>
  <c r="ET75" i="82"/>
  <c r="ES75" i="82"/>
  <c r="ER75" i="82"/>
  <c r="EQ75" i="82"/>
  <c r="EP75" i="82"/>
  <c r="EO75" i="82"/>
  <c r="EN75" i="82"/>
  <c r="EM75" i="82"/>
  <c r="EL75" i="82"/>
  <c r="EK75" i="82"/>
  <c r="EJ75" i="82"/>
  <c r="EI75" i="82"/>
  <c r="EH75" i="82"/>
  <c r="EG75" i="82"/>
  <c r="EF75" i="82"/>
  <c r="EE75" i="82"/>
  <c r="ED75" i="82"/>
  <c r="EC75" i="82"/>
  <c r="EB75" i="82"/>
  <c r="EA75" i="82"/>
  <c r="DZ75" i="82"/>
  <c r="DY75" i="82"/>
  <c r="DX75" i="82"/>
  <c r="DW75" i="82"/>
  <c r="DV75" i="82"/>
  <c r="DU75" i="82"/>
  <c r="DT75" i="82"/>
  <c r="DS75" i="82"/>
  <c r="DR75" i="82"/>
  <c r="DQ75" i="82"/>
  <c r="DP75" i="82"/>
  <c r="DO75" i="82"/>
  <c r="DN75" i="82"/>
  <c r="DM75" i="82"/>
  <c r="DL75" i="82"/>
  <c r="DK75" i="82"/>
  <c r="DJ75" i="82"/>
  <c r="DI75" i="82"/>
  <c r="DH75" i="82"/>
  <c r="DG75" i="82"/>
  <c r="DF75" i="82"/>
  <c r="DE75" i="82"/>
  <c r="DD75" i="82"/>
  <c r="DC75" i="82"/>
  <c r="DB75" i="82"/>
  <c r="DA75" i="82"/>
  <c r="CZ75" i="82"/>
  <c r="CY75" i="82"/>
  <c r="CX75" i="82"/>
  <c r="CW75" i="82"/>
  <c r="CV75" i="82"/>
  <c r="CU75" i="82"/>
  <c r="CT75" i="82"/>
  <c r="CS75" i="82"/>
  <c r="CR75" i="82"/>
  <c r="CQ75" i="82"/>
  <c r="CP75" i="82"/>
  <c r="CO75" i="82"/>
  <c r="CN75" i="82"/>
  <c r="CM75" i="82"/>
  <c r="CL75" i="82"/>
  <c r="CK75" i="82"/>
  <c r="CJ75" i="82"/>
  <c r="CI75" i="82"/>
  <c r="CH75" i="82"/>
  <c r="CG75" i="82"/>
  <c r="CF75" i="82"/>
  <c r="CE75" i="82"/>
  <c r="CD75" i="82"/>
  <c r="CC75" i="82"/>
  <c r="CB75" i="82"/>
  <c r="CA75" i="82"/>
  <c r="BZ75" i="82"/>
  <c r="BY75" i="82"/>
  <c r="BX75" i="82"/>
  <c r="BW75" i="82"/>
  <c r="BV75" i="82"/>
  <c r="BU75" i="82"/>
  <c r="BT75" i="82"/>
  <c r="BS75" i="82"/>
  <c r="BR75" i="82"/>
  <c r="BQ75" i="82"/>
  <c r="BP75" i="82"/>
  <c r="BO75" i="82"/>
  <c r="BN75" i="82"/>
  <c r="BM75" i="82"/>
  <c r="BL75" i="82"/>
  <c r="BK75" i="82"/>
  <c r="BJ75" i="82"/>
  <c r="BI75" i="82"/>
  <c r="BH75" i="82"/>
  <c r="BG75" i="82"/>
  <c r="BF75" i="82"/>
  <c r="BE75" i="82"/>
  <c r="BD75" i="82"/>
  <c r="BC75" i="82"/>
  <c r="AZ75" i="82"/>
  <c r="AY75" i="82"/>
  <c r="AX75" i="82"/>
  <c r="AW75" i="82"/>
  <c r="AV75" i="82"/>
  <c r="AS75" i="82"/>
  <c r="AR75" i="82"/>
  <c r="AQ75" i="82"/>
  <c r="AP75" i="82"/>
  <c r="AO75" i="82"/>
  <c r="AN75" i="82"/>
  <c r="AM75" i="82"/>
  <c r="AL75" i="82"/>
  <c r="AK75" i="82"/>
  <c r="AJ75" i="82"/>
  <c r="AI75" i="82"/>
  <c r="AH75" i="82"/>
  <c r="AE75" i="82"/>
  <c r="AD75" i="82"/>
  <c r="AC75" i="82"/>
  <c r="AB75" i="82"/>
  <c r="AA75" i="82"/>
  <c r="X75" i="82"/>
  <c r="W75" i="82"/>
  <c r="V75" i="82"/>
  <c r="U75" i="82"/>
  <c r="T75" i="82"/>
  <c r="S75" i="82"/>
  <c r="R75" i="82"/>
  <c r="Q75" i="82"/>
  <c r="P75" i="82"/>
  <c r="O75" i="82"/>
  <c r="N75" i="82"/>
  <c r="M75" i="82"/>
  <c r="J75" i="82"/>
  <c r="I75" i="82"/>
  <c r="H75" i="82"/>
  <c r="G75" i="82"/>
  <c r="F75" i="82"/>
  <c r="IU74" i="82"/>
  <c r="IT74" i="82"/>
  <c r="IS74" i="82"/>
  <c r="IR74" i="82"/>
  <c r="IQ74" i="82"/>
  <c r="IP74" i="82"/>
  <c r="IO74" i="82"/>
  <c r="IN74" i="82"/>
  <c r="IM74" i="82"/>
  <c r="IL74" i="82"/>
  <c r="IK74" i="82"/>
  <c r="IJ74" i="82"/>
  <c r="II74" i="82"/>
  <c r="IH74" i="82"/>
  <c r="IG74" i="82"/>
  <c r="IF74" i="82"/>
  <c r="IE74" i="82"/>
  <c r="ID74" i="82"/>
  <c r="IC74" i="82"/>
  <c r="IB74" i="82"/>
  <c r="IA74" i="82"/>
  <c r="HZ74" i="82"/>
  <c r="HY74" i="82"/>
  <c r="HX74" i="82"/>
  <c r="HW74" i="82"/>
  <c r="HV74" i="82"/>
  <c r="HU74" i="82"/>
  <c r="HT74" i="82"/>
  <c r="HS74" i="82"/>
  <c r="HR74" i="82"/>
  <c r="HQ74" i="82"/>
  <c r="HP74" i="82"/>
  <c r="HO74" i="82"/>
  <c r="HN74" i="82"/>
  <c r="HM74" i="82"/>
  <c r="HL74" i="82"/>
  <c r="HK74" i="82"/>
  <c r="HJ74" i="82"/>
  <c r="HI74" i="82"/>
  <c r="HH74" i="82"/>
  <c r="HG74" i="82"/>
  <c r="HF74" i="82"/>
  <c r="HE74" i="82"/>
  <c r="HD74" i="82"/>
  <c r="HC74" i="82"/>
  <c r="HB74" i="82"/>
  <c r="HA74" i="82"/>
  <c r="GZ74" i="82"/>
  <c r="GY74" i="82"/>
  <c r="GX74" i="82"/>
  <c r="GW74" i="82"/>
  <c r="GV74" i="82"/>
  <c r="GU74" i="82"/>
  <c r="GT74" i="82"/>
  <c r="GS74" i="82"/>
  <c r="GR74" i="82"/>
  <c r="GQ74" i="82"/>
  <c r="GP74" i="82"/>
  <c r="GO74" i="82"/>
  <c r="GN74" i="82"/>
  <c r="GM74" i="82"/>
  <c r="GL74" i="82"/>
  <c r="GK74" i="82"/>
  <c r="GJ74" i="82"/>
  <c r="GI74" i="82"/>
  <c r="GH74" i="82"/>
  <c r="GG74" i="82"/>
  <c r="GF74" i="82"/>
  <c r="GE74" i="82"/>
  <c r="GD74" i="82"/>
  <c r="GC74" i="82"/>
  <c r="GB74" i="82"/>
  <c r="GA74" i="82"/>
  <c r="FZ74" i="82"/>
  <c r="FY74" i="82"/>
  <c r="FX74" i="82"/>
  <c r="FW74" i="82"/>
  <c r="FV74" i="82"/>
  <c r="FU74" i="82"/>
  <c r="FT74" i="82"/>
  <c r="FS74" i="82"/>
  <c r="FR74" i="82"/>
  <c r="FQ74" i="82"/>
  <c r="FP74" i="82"/>
  <c r="FO74" i="82"/>
  <c r="FN74" i="82"/>
  <c r="FM74" i="82"/>
  <c r="FL74" i="82"/>
  <c r="FK74" i="82"/>
  <c r="FJ74" i="82"/>
  <c r="FI74" i="82"/>
  <c r="FH74" i="82"/>
  <c r="FG74" i="82"/>
  <c r="FF74" i="82"/>
  <c r="FE74" i="82"/>
  <c r="FD74" i="82"/>
  <c r="FC74" i="82"/>
  <c r="FB74" i="82"/>
  <c r="FA74" i="82"/>
  <c r="EZ74" i="82"/>
  <c r="EY74" i="82"/>
  <c r="EX74" i="82"/>
  <c r="EW74" i="82"/>
  <c r="EV74" i="82"/>
  <c r="EU74" i="82"/>
  <c r="ET74" i="82"/>
  <c r="ES74" i="82"/>
  <c r="ER74" i="82"/>
  <c r="EQ74" i="82"/>
  <c r="EP74" i="82"/>
  <c r="EO74" i="82"/>
  <c r="EN74" i="82"/>
  <c r="EM74" i="82"/>
  <c r="EL74" i="82"/>
  <c r="EK74" i="82"/>
  <c r="EJ74" i="82"/>
  <c r="EI74" i="82"/>
  <c r="EH74" i="82"/>
  <c r="EG74" i="82"/>
  <c r="EF74" i="82"/>
  <c r="EE74" i="82"/>
  <c r="ED74" i="82"/>
  <c r="EC74" i="82"/>
  <c r="EB74" i="82"/>
  <c r="EA74" i="82"/>
  <c r="DZ74" i="82"/>
  <c r="DY74" i="82"/>
  <c r="DX74" i="82"/>
  <c r="DW74" i="82"/>
  <c r="DV74" i="82"/>
  <c r="DU74" i="82"/>
  <c r="DT74" i="82"/>
  <c r="DS74" i="82"/>
  <c r="DR74" i="82"/>
  <c r="DQ74" i="82"/>
  <c r="DP74" i="82"/>
  <c r="DO74" i="82"/>
  <c r="DN74" i="82"/>
  <c r="DM74" i="82"/>
  <c r="DL74" i="82"/>
  <c r="DK74" i="82"/>
  <c r="DJ74" i="82"/>
  <c r="DI74" i="82"/>
  <c r="DH74" i="82"/>
  <c r="DG74" i="82"/>
  <c r="DF74" i="82"/>
  <c r="DE74" i="82"/>
  <c r="DD74" i="82"/>
  <c r="DC74" i="82"/>
  <c r="DB74" i="82"/>
  <c r="DA74" i="82"/>
  <c r="CZ74" i="82"/>
  <c r="CY74" i="82"/>
  <c r="CX74" i="82"/>
  <c r="CW74" i="82"/>
  <c r="CV74" i="82"/>
  <c r="CU74" i="82"/>
  <c r="CT74" i="82"/>
  <c r="CS74" i="82"/>
  <c r="CR74" i="82"/>
  <c r="CQ74" i="82"/>
  <c r="CP74" i="82"/>
  <c r="CO74" i="82"/>
  <c r="CN74" i="82"/>
  <c r="CM74" i="82"/>
  <c r="CL74" i="82"/>
  <c r="CK74" i="82"/>
  <c r="CJ74" i="82"/>
  <c r="CI74" i="82"/>
  <c r="CH74" i="82"/>
  <c r="CG74" i="82"/>
  <c r="CF74" i="82"/>
  <c r="CE74" i="82"/>
  <c r="CD74" i="82"/>
  <c r="CC74" i="82"/>
  <c r="CB74" i="82"/>
  <c r="CA74" i="82"/>
  <c r="BZ74" i="82"/>
  <c r="BY74" i="82"/>
  <c r="BX74" i="82"/>
  <c r="BW74" i="82"/>
  <c r="BV74" i="82"/>
  <c r="BU74" i="82"/>
  <c r="BT74" i="82"/>
  <c r="BS74" i="82"/>
  <c r="BR74" i="82"/>
  <c r="BQ74" i="82"/>
  <c r="BP74" i="82"/>
  <c r="BO74" i="82"/>
  <c r="BN74" i="82"/>
  <c r="BM74" i="82"/>
  <c r="BL74" i="82"/>
  <c r="BK74" i="82"/>
  <c r="BJ74" i="82"/>
  <c r="BI74" i="82"/>
  <c r="BH74" i="82"/>
  <c r="BG74" i="82"/>
  <c r="BF74" i="82"/>
  <c r="BE74" i="82"/>
  <c r="BD74" i="82"/>
  <c r="BC74" i="82"/>
  <c r="AZ74" i="82"/>
  <c r="AY74" i="82"/>
  <c r="AX74" i="82"/>
  <c r="AW74" i="82"/>
  <c r="AV74" i="82"/>
  <c r="AS74" i="82"/>
  <c r="AR74" i="82"/>
  <c r="AQ74" i="82"/>
  <c r="AP74" i="82"/>
  <c r="AO74" i="82"/>
  <c r="AN74" i="82"/>
  <c r="AM74" i="82"/>
  <c r="AL74" i="82"/>
  <c r="AK74" i="82"/>
  <c r="AJ74" i="82"/>
  <c r="AI74" i="82"/>
  <c r="AH74" i="82"/>
  <c r="AE74" i="82"/>
  <c r="AD74" i="82"/>
  <c r="AC74" i="82"/>
  <c r="AB74" i="82"/>
  <c r="AA74" i="82"/>
  <c r="X74" i="82"/>
  <c r="W74" i="82"/>
  <c r="V74" i="82"/>
  <c r="U74" i="82"/>
  <c r="T74" i="82"/>
  <c r="S74" i="82"/>
  <c r="R74" i="82"/>
  <c r="Q74" i="82"/>
  <c r="P74" i="82"/>
  <c r="O74" i="82"/>
  <c r="N74" i="82"/>
  <c r="M74" i="82"/>
  <c r="J74" i="82"/>
  <c r="I74" i="82"/>
  <c r="H74" i="82"/>
  <c r="G74" i="82"/>
  <c r="F74" i="82"/>
  <c r="IU73" i="82"/>
  <c r="IT73" i="82"/>
  <c r="IS73" i="82"/>
  <c r="IR73" i="82"/>
  <c r="IQ73" i="82"/>
  <c r="IP73" i="82"/>
  <c r="IO73" i="82"/>
  <c r="IN73" i="82"/>
  <c r="IM73" i="82"/>
  <c r="IL73" i="82"/>
  <c r="IK73" i="82"/>
  <c r="IJ73" i="82"/>
  <c r="II73" i="82"/>
  <c r="IH73" i="82"/>
  <c r="IG73" i="82"/>
  <c r="IF73" i="82"/>
  <c r="IE73" i="82"/>
  <c r="ID73" i="82"/>
  <c r="IC73" i="82"/>
  <c r="IB73" i="82"/>
  <c r="IA73" i="82"/>
  <c r="HZ73" i="82"/>
  <c r="HY73" i="82"/>
  <c r="HX73" i="82"/>
  <c r="HW73" i="82"/>
  <c r="HV73" i="82"/>
  <c r="HU73" i="82"/>
  <c r="HT73" i="82"/>
  <c r="HS73" i="82"/>
  <c r="HR73" i="82"/>
  <c r="HQ73" i="82"/>
  <c r="HP73" i="82"/>
  <c r="HO73" i="82"/>
  <c r="HN73" i="82"/>
  <c r="HM73" i="82"/>
  <c r="HL73" i="82"/>
  <c r="HK73" i="82"/>
  <c r="HJ73" i="82"/>
  <c r="HI73" i="82"/>
  <c r="HH73" i="82"/>
  <c r="HG73" i="82"/>
  <c r="HF73" i="82"/>
  <c r="HE73" i="82"/>
  <c r="HD73" i="82"/>
  <c r="HC73" i="82"/>
  <c r="HB73" i="82"/>
  <c r="HA73" i="82"/>
  <c r="GZ73" i="82"/>
  <c r="GY73" i="82"/>
  <c r="GX73" i="82"/>
  <c r="GW73" i="82"/>
  <c r="GV73" i="82"/>
  <c r="GU73" i="82"/>
  <c r="GT73" i="82"/>
  <c r="GS73" i="82"/>
  <c r="GR73" i="82"/>
  <c r="GQ73" i="82"/>
  <c r="GP73" i="82"/>
  <c r="GO73" i="82"/>
  <c r="GN73" i="82"/>
  <c r="GM73" i="82"/>
  <c r="GL73" i="82"/>
  <c r="GK73" i="82"/>
  <c r="GJ73" i="82"/>
  <c r="GI73" i="82"/>
  <c r="GH73" i="82"/>
  <c r="GG73" i="82"/>
  <c r="GF73" i="82"/>
  <c r="GE73" i="82"/>
  <c r="GD73" i="82"/>
  <c r="GC73" i="82"/>
  <c r="GB73" i="82"/>
  <c r="GA73" i="82"/>
  <c r="FZ73" i="82"/>
  <c r="FY73" i="82"/>
  <c r="FX73" i="82"/>
  <c r="FW73" i="82"/>
  <c r="FV73" i="82"/>
  <c r="FU73" i="82"/>
  <c r="FT73" i="82"/>
  <c r="FS73" i="82"/>
  <c r="FR73" i="82"/>
  <c r="FQ73" i="82"/>
  <c r="FP73" i="82"/>
  <c r="FO73" i="82"/>
  <c r="FN73" i="82"/>
  <c r="FM73" i="82"/>
  <c r="FL73" i="82"/>
  <c r="FK73" i="82"/>
  <c r="FJ73" i="82"/>
  <c r="FI73" i="82"/>
  <c r="FH73" i="82"/>
  <c r="FG73" i="82"/>
  <c r="FF73" i="82"/>
  <c r="FE73" i="82"/>
  <c r="FD73" i="82"/>
  <c r="FC73" i="82"/>
  <c r="FB73" i="82"/>
  <c r="FA73" i="82"/>
  <c r="EZ73" i="82"/>
  <c r="EY73" i="82"/>
  <c r="EX73" i="82"/>
  <c r="EW73" i="82"/>
  <c r="EV73" i="82"/>
  <c r="EU73" i="82"/>
  <c r="ET73" i="82"/>
  <c r="ES73" i="82"/>
  <c r="ER73" i="82"/>
  <c r="EQ73" i="82"/>
  <c r="EP73" i="82"/>
  <c r="EO73" i="82"/>
  <c r="EN73" i="82"/>
  <c r="EM73" i="82"/>
  <c r="EL73" i="82"/>
  <c r="EK73" i="82"/>
  <c r="EJ73" i="82"/>
  <c r="EI73" i="82"/>
  <c r="EH73" i="82"/>
  <c r="EG73" i="82"/>
  <c r="EF73" i="82"/>
  <c r="EE73" i="82"/>
  <c r="ED73" i="82"/>
  <c r="EC73" i="82"/>
  <c r="EB73" i="82"/>
  <c r="EA73" i="82"/>
  <c r="DZ73" i="82"/>
  <c r="DY73" i="82"/>
  <c r="DX73" i="82"/>
  <c r="DW73" i="82"/>
  <c r="DV73" i="82"/>
  <c r="DU73" i="82"/>
  <c r="DT73" i="82"/>
  <c r="DS73" i="82"/>
  <c r="DR73" i="82"/>
  <c r="DQ73" i="82"/>
  <c r="DP73" i="82"/>
  <c r="DO73" i="82"/>
  <c r="DN73" i="82"/>
  <c r="DM73" i="82"/>
  <c r="DL73" i="82"/>
  <c r="DK73" i="82"/>
  <c r="DJ73" i="82"/>
  <c r="DI73" i="82"/>
  <c r="DH73" i="82"/>
  <c r="DG73" i="82"/>
  <c r="DF73" i="82"/>
  <c r="DE73" i="82"/>
  <c r="DD73" i="82"/>
  <c r="DC73" i="82"/>
  <c r="DB73" i="82"/>
  <c r="DA73" i="82"/>
  <c r="CZ73" i="82"/>
  <c r="CY73" i="82"/>
  <c r="CX73" i="82"/>
  <c r="CW73" i="82"/>
  <c r="CV73" i="82"/>
  <c r="CU73" i="82"/>
  <c r="CT73" i="82"/>
  <c r="CS73" i="82"/>
  <c r="CR73" i="82"/>
  <c r="CQ73" i="82"/>
  <c r="CP73" i="82"/>
  <c r="CO73" i="82"/>
  <c r="CN73" i="82"/>
  <c r="CM73" i="82"/>
  <c r="CL73" i="82"/>
  <c r="CK73" i="82"/>
  <c r="CJ73" i="82"/>
  <c r="CI73" i="82"/>
  <c r="CH73" i="82"/>
  <c r="CG73" i="82"/>
  <c r="CF73" i="82"/>
  <c r="CE73" i="82"/>
  <c r="CD73" i="82"/>
  <c r="CC73" i="82"/>
  <c r="CB73" i="82"/>
  <c r="CA73" i="82"/>
  <c r="BZ73" i="82"/>
  <c r="BY73" i="82"/>
  <c r="BX73" i="82"/>
  <c r="BW73" i="82"/>
  <c r="BV73" i="82"/>
  <c r="BU73" i="82"/>
  <c r="BT73" i="82"/>
  <c r="BS73" i="82"/>
  <c r="BR73" i="82"/>
  <c r="BQ73" i="82"/>
  <c r="BP73" i="82"/>
  <c r="BO73" i="82"/>
  <c r="BN73" i="82"/>
  <c r="BM73" i="82"/>
  <c r="BL73" i="82"/>
  <c r="BK73" i="82"/>
  <c r="BJ73" i="82"/>
  <c r="BI73" i="82"/>
  <c r="BH73" i="82"/>
  <c r="BG73" i="82"/>
  <c r="BF73" i="82"/>
  <c r="BE73" i="82"/>
  <c r="BD73" i="82"/>
  <c r="BC73" i="82"/>
  <c r="AZ73" i="82"/>
  <c r="AY73" i="82"/>
  <c r="AX73" i="82"/>
  <c r="AW73" i="82"/>
  <c r="AV73" i="82"/>
  <c r="AS73" i="82"/>
  <c r="AR73" i="82"/>
  <c r="AQ73" i="82"/>
  <c r="AP73" i="82"/>
  <c r="AO73" i="82"/>
  <c r="AN73" i="82"/>
  <c r="AM73" i="82"/>
  <c r="AL73" i="82"/>
  <c r="AK73" i="82"/>
  <c r="AJ73" i="82"/>
  <c r="AI73" i="82"/>
  <c r="AH73" i="82"/>
  <c r="AE73" i="82"/>
  <c r="AD73" i="82"/>
  <c r="AC73" i="82"/>
  <c r="AB73" i="82"/>
  <c r="AA73" i="82"/>
  <c r="X73" i="82"/>
  <c r="W73" i="82"/>
  <c r="V73" i="82"/>
  <c r="U73" i="82"/>
  <c r="T73" i="82"/>
  <c r="S73" i="82"/>
  <c r="R73" i="82"/>
  <c r="Q73" i="82"/>
  <c r="P73" i="82"/>
  <c r="O73" i="82"/>
  <c r="N73" i="82"/>
  <c r="M73" i="82"/>
  <c r="J73" i="82"/>
  <c r="I73" i="82"/>
  <c r="H73" i="82"/>
  <c r="G73" i="82"/>
  <c r="F73" i="82"/>
  <c r="IU72" i="82"/>
  <c r="IT72" i="82"/>
  <c r="IS72" i="82"/>
  <c r="IR72" i="82"/>
  <c r="IQ72" i="82"/>
  <c r="IP72" i="82"/>
  <c r="IO72" i="82"/>
  <c r="IN72" i="82"/>
  <c r="IM72" i="82"/>
  <c r="IL72" i="82"/>
  <c r="IK72" i="82"/>
  <c r="IJ72" i="82"/>
  <c r="II72" i="82"/>
  <c r="IH72" i="82"/>
  <c r="IG72" i="82"/>
  <c r="IF72" i="82"/>
  <c r="IE72" i="82"/>
  <c r="ID72" i="82"/>
  <c r="IC72" i="82"/>
  <c r="IB72" i="82"/>
  <c r="IA72" i="82"/>
  <c r="HZ72" i="82"/>
  <c r="HY72" i="82"/>
  <c r="HX72" i="82"/>
  <c r="HW72" i="82"/>
  <c r="HV72" i="82"/>
  <c r="HU72" i="82"/>
  <c r="HT72" i="82"/>
  <c r="HS72" i="82"/>
  <c r="HR72" i="82"/>
  <c r="HQ72" i="82"/>
  <c r="HP72" i="82"/>
  <c r="HO72" i="82"/>
  <c r="HN72" i="82"/>
  <c r="HM72" i="82"/>
  <c r="HL72" i="82"/>
  <c r="HK72" i="82"/>
  <c r="HJ72" i="82"/>
  <c r="HI72" i="82"/>
  <c r="HH72" i="82"/>
  <c r="HG72" i="82"/>
  <c r="HF72" i="82"/>
  <c r="HE72" i="82"/>
  <c r="HD72" i="82"/>
  <c r="HC72" i="82"/>
  <c r="HB72" i="82"/>
  <c r="HA72" i="82"/>
  <c r="GZ72" i="82"/>
  <c r="GY72" i="82"/>
  <c r="GX72" i="82"/>
  <c r="GW72" i="82"/>
  <c r="GV72" i="82"/>
  <c r="GU72" i="82"/>
  <c r="GT72" i="82"/>
  <c r="GS72" i="82"/>
  <c r="GR72" i="82"/>
  <c r="GQ72" i="82"/>
  <c r="GP72" i="82"/>
  <c r="GO72" i="82"/>
  <c r="GN72" i="82"/>
  <c r="GM72" i="82"/>
  <c r="GL72" i="82"/>
  <c r="GK72" i="82"/>
  <c r="GJ72" i="82"/>
  <c r="GI72" i="82"/>
  <c r="GH72" i="82"/>
  <c r="GG72" i="82"/>
  <c r="GF72" i="82"/>
  <c r="GE72" i="82"/>
  <c r="GD72" i="82"/>
  <c r="GC72" i="82"/>
  <c r="GB72" i="82"/>
  <c r="GA72" i="82"/>
  <c r="FZ72" i="82"/>
  <c r="FY72" i="82"/>
  <c r="FX72" i="82"/>
  <c r="FW72" i="82"/>
  <c r="FV72" i="82"/>
  <c r="FU72" i="82"/>
  <c r="FT72" i="82"/>
  <c r="FS72" i="82"/>
  <c r="FR72" i="82"/>
  <c r="FQ72" i="82"/>
  <c r="FP72" i="82"/>
  <c r="FO72" i="82"/>
  <c r="FN72" i="82"/>
  <c r="FM72" i="82"/>
  <c r="FL72" i="82"/>
  <c r="FK72" i="82"/>
  <c r="FJ72" i="82"/>
  <c r="FI72" i="82"/>
  <c r="FH72" i="82"/>
  <c r="FG72" i="82"/>
  <c r="FF72" i="82"/>
  <c r="FE72" i="82"/>
  <c r="FD72" i="82"/>
  <c r="FC72" i="82"/>
  <c r="FB72" i="82"/>
  <c r="FA72" i="82"/>
  <c r="EZ72" i="82"/>
  <c r="EY72" i="82"/>
  <c r="EX72" i="82"/>
  <c r="EW72" i="82"/>
  <c r="EV72" i="82"/>
  <c r="EU72" i="82"/>
  <c r="ET72" i="82"/>
  <c r="ES72" i="82"/>
  <c r="ER72" i="82"/>
  <c r="EQ72" i="82"/>
  <c r="EP72" i="82"/>
  <c r="EO72" i="82"/>
  <c r="EN72" i="82"/>
  <c r="EM72" i="82"/>
  <c r="EL72" i="82"/>
  <c r="EK72" i="82"/>
  <c r="EJ72" i="82"/>
  <c r="EI72" i="82"/>
  <c r="EH72" i="82"/>
  <c r="EG72" i="82"/>
  <c r="EF72" i="82"/>
  <c r="EE72" i="82"/>
  <c r="ED72" i="82"/>
  <c r="EC72" i="82"/>
  <c r="EB72" i="82"/>
  <c r="EA72" i="82"/>
  <c r="DZ72" i="82"/>
  <c r="DY72" i="82"/>
  <c r="DX72" i="82"/>
  <c r="DW72" i="82"/>
  <c r="DV72" i="82"/>
  <c r="DU72" i="82"/>
  <c r="DT72" i="82"/>
  <c r="DS72" i="82"/>
  <c r="DR72" i="82"/>
  <c r="DQ72" i="82"/>
  <c r="DP72" i="82"/>
  <c r="DO72" i="82"/>
  <c r="DN72" i="82"/>
  <c r="DM72" i="82"/>
  <c r="DL72" i="82"/>
  <c r="DK72" i="82"/>
  <c r="DJ72" i="82"/>
  <c r="DI72" i="82"/>
  <c r="DH72" i="82"/>
  <c r="DG72" i="82"/>
  <c r="DF72" i="82"/>
  <c r="DE72" i="82"/>
  <c r="DD72" i="82"/>
  <c r="DC72" i="82"/>
  <c r="DB72" i="82"/>
  <c r="DA72" i="82"/>
  <c r="CZ72" i="82"/>
  <c r="CY72" i="82"/>
  <c r="CX72" i="82"/>
  <c r="CW72" i="82"/>
  <c r="CV72" i="82"/>
  <c r="CU72" i="82"/>
  <c r="CT72" i="82"/>
  <c r="CS72" i="82"/>
  <c r="CR72" i="82"/>
  <c r="CQ72" i="82"/>
  <c r="CP72" i="82"/>
  <c r="CO72" i="82"/>
  <c r="CN72" i="82"/>
  <c r="CM72" i="82"/>
  <c r="CL72" i="82"/>
  <c r="CK72" i="82"/>
  <c r="CJ72" i="82"/>
  <c r="CI72" i="82"/>
  <c r="CH72" i="82"/>
  <c r="CG72" i="82"/>
  <c r="CF72" i="82"/>
  <c r="CE72" i="82"/>
  <c r="CD72" i="82"/>
  <c r="CC72" i="82"/>
  <c r="CB72" i="82"/>
  <c r="CA72" i="82"/>
  <c r="BZ72" i="82"/>
  <c r="BY72" i="82"/>
  <c r="BX72" i="82"/>
  <c r="BW72" i="82"/>
  <c r="BV72" i="82"/>
  <c r="BU72" i="82"/>
  <c r="BT72" i="82"/>
  <c r="BS72" i="82"/>
  <c r="BR72" i="82"/>
  <c r="BQ72" i="82"/>
  <c r="BP72" i="82"/>
  <c r="BO72" i="82"/>
  <c r="BN72" i="82"/>
  <c r="BM72" i="82"/>
  <c r="BL72" i="82"/>
  <c r="BK72" i="82"/>
  <c r="BJ72" i="82"/>
  <c r="BI72" i="82"/>
  <c r="BH72" i="82"/>
  <c r="BG72" i="82"/>
  <c r="BF72" i="82"/>
  <c r="BE72" i="82"/>
  <c r="BD72" i="82"/>
  <c r="BC72" i="82"/>
  <c r="AZ72" i="82"/>
  <c r="AY72" i="82"/>
  <c r="AX72" i="82"/>
  <c r="AW72" i="82"/>
  <c r="AV72" i="82"/>
  <c r="AS72" i="82"/>
  <c r="AR72" i="82"/>
  <c r="AQ72" i="82"/>
  <c r="AP72" i="82"/>
  <c r="AO72" i="82"/>
  <c r="AN72" i="82"/>
  <c r="AM72" i="82"/>
  <c r="AL72" i="82"/>
  <c r="AK72" i="82"/>
  <c r="AJ72" i="82"/>
  <c r="AI72" i="82"/>
  <c r="AH72" i="82"/>
  <c r="AE72" i="82"/>
  <c r="AD72" i="82"/>
  <c r="AC72" i="82"/>
  <c r="AB72" i="82"/>
  <c r="AA72" i="82"/>
  <c r="X72" i="82"/>
  <c r="W72" i="82"/>
  <c r="V72" i="82"/>
  <c r="U72" i="82"/>
  <c r="T72" i="82"/>
  <c r="S72" i="82"/>
  <c r="R72" i="82"/>
  <c r="Q72" i="82"/>
  <c r="P72" i="82"/>
  <c r="O72" i="82"/>
  <c r="N72" i="82"/>
  <c r="M72" i="82"/>
  <c r="J72" i="82"/>
  <c r="I72" i="82"/>
  <c r="H72" i="82"/>
  <c r="G72" i="82"/>
  <c r="F72" i="82"/>
  <c r="IU71" i="82"/>
  <c r="IT71" i="82"/>
  <c r="IS71" i="82"/>
  <c r="IR71" i="82"/>
  <c r="IQ71" i="82"/>
  <c r="IP71" i="82"/>
  <c r="IO71" i="82"/>
  <c r="IN71" i="82"/>
  <c r="IM71" i="82"/>
  <c r="IL71" i="82"/>
  <c r="IK71" i="82"/>
  <c r="IJ71" i="82"/>
  <c r="II71" i="82"/>
  <c r="IH71" i="82"/>
  <c r="IG71" i="82"/>
  <c r="IF71" i="82"/>
  <c r="IE71" i="82"/>
  <c r="ID71" i="82"/>
  <c r="IC71" i="82"/>
  <c r="IB71" i="82"/>
  <c r="IA71" i="82"/>
  <c r="HZ71" i="82"/>
  <c r="HY71" i="82"/>
  <c r="HX71" i="82"/>
  <c r="HW71" i="82"/>
  <c r="HV71" i="82"/>
  <c r="HU71" i="82"/>
  <c r="HT71" i="82"/>
  <c r="HS71" i="82"/>
  <c r="HR71" i="82"/>
  <c r="HQ71" i="82"/>
  <c r="HP71" i="82"/>
  <c r="HO71" i="82"/>
  <c r="HN71" i="82"/>
  <c r="HM71" i="82"/>
  <c r="HL71" i="82"/>
  <c r="HK71" i="82"/>
  <c r="HJ71" i="82"/>
  <c r="HI71" i="82"/>
  <c r="HH71" i="82"/>
  <c r="HG71" i="82"/>
  <c r="HF71" i="82"/>
  <c r="HE71" i="82"/>
  <c r="HD71" i="82"/>
  <c r="HC71" i="82"/>
  <c r="HB71" i="82"/>
  <c r="HA71" i="82"/>
  <c r="GZ71" i="82"/>
  <c r="GY71" i="82"/>
  <c r="GX71" i="82"/>
  <c r="GW71" i="82"/>
  <c r="GV71" i="82"/>
  <c r="GU71" i="82"/>
  <c r="GT71" i="82"/>
  <c r="GS71" i="82"/>
  <c r="GR71" i="82"/>
  <c r="GQ71" i="82"/>
  <c r="GP71" i="82"/>
  <c r="GO71" i="82"/>
  <c r="GN71" i="82"/>
  <c r="GM71" i="82"/>
  <c r="GL71" i="82"/>
  <c r="GK71" i="82"/>
  <c r="GJ71" i="82"/>
  <c r="GI71" i="82"/>
  <c r="GH71" i="82"/>
  <c r="GG71" i="82"/>
  <c r="GF71" i="82"/>
  <c r="GE71" i="82"/>
  <c r="GD71" i="82"/>
  <c r="GC71" i="82"/>
  <c r="GB71" i="82"/>
  <c r="GA71" i="82"/>
  <c r="FZ71" i="82"/>
  <c r="FY71" i="82"/>
  <c r="FX71" i="82"/>
  <c r="FW71" i="82"/>
  <c r="FV71" i="82"/>
  <c r="FU71" i="82"/>
  <c r="FT71" i="82"/>
  <c r="FS71" i="82"/>
  <c r="FR71" i="82"/>
  <c r="FQ71" i="82"/>
  <c r="FP71" i="82"/>
  <c r="FO71" i="82"/>
  <c r="FN71" i="82"/>
  <c r="FM71" i="82"/>
  <c r="FL71" i="82"/>
  <c r="FK71" i="82"/>
  <c r="FJ71" i="82"/>
  <c r="FI71" i="82"/>
  <c r="FH71" i="82"/>
  <c r="FG71" i="82"/>
  <c r="FF71" i="82"/>
  <c r="FE71" i="82"/>
  <c r="FD71" i="82"/>
  <c r="FC71" i="82"/>
  <c r="FB71" i="82"/>
  <c r="FA71" i="82"/>
  <c r="EZ71" i="82"/>
  <c r="EY71" i="82"/>
  <c r="EX71" i="82"/>
  <c r="EW71" i="82"/>
  <c r="EV71" i="82"/>
  <c r="EU71" i="82"/>
  <c r="ET71" i="82"/>
  <c r="ES71" i="82"/>
  <c r="ER71" i="82"/>
  <c r="EQ71" i="82"/>
  <c r="EP71" i="82"/>
  <c r="EO71" i="82"/>
  <c r="EN71" i="82"/>
  <c r="EM71" i="82"/>
  <c r="EL71" i="82"/>
  <c r="EK71" i="82"/>
  <c r="EJ71" i="82"/>
  <c r="EI71" i="82"/>
  <c r="EH71" i="82"/>
  <c r="EG71" i="82"/>
  <c r="EF71" i="82"/>
  <c r="EE71" i="82"/>
  <c r="ED71" i="82"/>
  <c r="EC71" i="82"/>
  <c r="EB71" i="82"/>
  <c r="EA71" i="82"/>
  <c r="DZ71" i="82"/>
  <c r="DY71" i="82"/>
  <c r="DX71" i="82"/>
  <c r="DW71" i="82"/>
  <c r="DV71" i="82"/>
  <c r="DU71" i="82"/>
  <c r="DT71" i="82"/>
  <c r="DS71" i="82"/>
  <c r="DR71" i="82"/>
  <c r="DQ71" i="82"/>
  <c r="DP71" i="82"/>
  <c r="DO71" i="82"/>
  <c r="DN71" i="82"/>
  <c r="DM71" i="82"/>
  <c r="DL71" i="82"/>
  <c r="DK71" i="82"/>
  <c r="DJ71" i="82"/>
  <c r="DI71" i="82"/>
  <c r="DH71" i="82"/>
  <c r="DG71" i="82"/>
  <c r="DF71" i="82"/>
  <c r="DE71" i="82"/>
  <c r="DD71" i="82"/>
  <c r="DC71" i="82"/>
  <c r="DB71" i="82"/>
  <c r="DA71" i="82"/>
  <c r="CZ71" i="82"/>
  <c r="CY71" i="82"/>
  <c r="CX71" i="82"/>
  <c r="CW71" i="82"/>
  <c r="CV71" i="82"/>
  <c r="CU71" i="82"/>
  <c r="CT71" i="82"/>
  <c r="CS71" i="82"/>
  <c r="CR71" i="82"/>
  <c r="CQ71" i="82"/>
  <c r="CP71" i="82"/>
  <c r="CO71" i="82"/>
  <c r="CN71" i="82"/>
  <c r="CM71" i="82"/>
  <c r="CL71" i="82"/>
  <c r="CK71" i="82"/>
  <c r="CJ71" i="82"/>
  <c r="CI71" i="82"/>
  <c r="CH71" i="82"/>
  <c r="CG71" i="82"/>
  <c r="CF71" i="82"/>
  <c r="CE71" i="82"/>
  <c r="CD71" i="82"/>
  <c r="CC71" i="82"/>
  <c r="CB71" i="82"/>
  <c r="CA71" i="82"/>
  <c r="BZ71" i="82"/>
  <c r="BY71" i="82"/>
  <c r="BX71" i="82"/>
  <c r="BW71" i="82"/>
  <c r="BV71" i="82"/>
  <c r="BU71" i="82"/>
  <c r="BT71" i="82"/>
  <c r="BS71" i="82"/>
  <c r="BR71" i="82"/>
  <c r="BQ71" i="82"/>
  <c r="BP71" i="82"/>
  <c r="BO71" i="82"/>
  <c r="BN71" i="82"/>
  <c r="BM71" i="82"/>
  <c r="BL71" i="82"/>
  <c r="BK71" i="82"/>
  <c r="BJ71" i="82"/>
  <c r="BI71" i="82"/>
  <c r="BH71" i="82"/>
  <c r="BG71" i="82"/>
  <c r="BF71" i="82"/>
  <c r="BE71" i="82"/>
  <c r="BD71" i="82"/>
  <c r="BC71" i="82"/>
  <c r="AZ71" i="82"/>
  <c r="AY71" i="82"/>
  <c r="AX71" i="82"/>
  <c r="AW71" i="82"/>
  <c r="AV71" i="82"/>
  <c r="AS71" i="82"/>
  <c r="AR71" i="82"/>
  <c r="AQ71" i="82"/>
  <c r="AP71" i="82"/>
  <c r="AO71" i="82"/>
  <c r="AN71" i="82"/>
  <c r="AM71" i="82"/>
  <c r="AL71" i="82"/>
  <c r="AK71" i="82"/>
  <c r="AJ71" i="82"/>
  <c r="AI71" i="82"/>
  <c r="AH71" i="82"/>
  <c r="AE71" i="82"/>
  <c r="AD71" i="82"/>
  <c r="AC71" i="82"/>
  <c r="AB71" i="82"/>
  <c r="AA71" i="82"/>
  <c r="X71" i="82"/>
  <c r="W71" i="82"/>
  <c r="V71" i="82"/>
  <c r="U71" i="82"/>
  <c r="T71" i="82"/>
  <c r="S71" i="82"/>
  <c r="R71" i="82"/>
  <c r="Q71" i="82"/>
  <c r="P71" i="82"/>
  <c r="O71" i="82"/>
  <c r="N71" i="82"/>
  <c r="M71" i="82"/>
  <c r="J71" i="82"/>
  <c r="I71" i="82"/>
  <c r="H71" i="82"/>
  <c r="G71" i="82"/>
  <c r="F71" i="82"/>
  <c r="IU70" i="82"/>
  <c r="IT70" i="82"/>
  <c r="IS70" i="82"/>
  <c r="IR70" i="82"/>
  <c r="IQ70" i="82"/>
  <c r="IP70" i="82"/>
  <c r="IO70" i="82"/>
  <c r="IN70" i="82"/>
  <c r="IM70" i="82"/>
  <c r="IL70" i="82"/>
  <c r="IK70" i="82"/>
  <c r="IJ70" i="82"/>
  <c r="II70" i="82"/>
  <c r="IH70" i="82"/>
  <c r="IG70" i="82"/>
  <c r="IF70" i="82"/>
  <c r="IE70" i="82"/>
  <c r="ID70" i="82"/>
  <c r="IC70" i="82"/>
  <c r="IB70" i="82"/>
  <c r="IA70" i="82"/>
  <c r="HZ70" i="82"/>
  <c r="HY70" i="82"/>
  <c r="HX70" i="82"/>
  <c r="HW70" i="82"/>
  <c r="HV70" i="82"/>
  <c r="HU70" i="82"/>
  <c r="HT70" i="82"/>
  <c r="HS70" i="82"/>
  <c r="HR70" i="82"/>
  <c r="HQ70" i="82"/>
  <c r="HP70" i="82"/>
  <c r="HO70" i="82"/>
  <c r="HN70" i="82"/>
  <c r="HM70" i="82"/>
  <c r="HL70" i="82"/>
  <c r="HK70" i="82"/>
  <c r="HJ70" i="82"/>
  <c r="HI70" i="82"/>
  <c r="HH70" i="82"/>
  <c r="HG70" i="82"/>
  <c r="HF70" i="82"/>
  <c r="HE70" i="82"/>
  <c r="HD70" i="82"/>
  <c r="HC70" i="82"/>
  <c r="HB70" i="82"/>
  <c r="HA70" i="82"/>
  <c r="GZ70" i="82"/>
  <c r="GY70" i="82"/>
  <c r="GX70" i="82"/>
  <c r="GW70" i="82"/>
  <c r="GV70" i="82"/>
  <c r="GU70" i="82"/>
  <c r="GT70" i="82"/>
  <c r="GS70" i="82"/>
  <c r="GR70" i="82"/>
  <c r="GQ70" i="82"/>
  <c r="GP70" i="82"/>
  <c r="GO70" i="82"/>
  <c r="GN70" i="82"/>
  <c r="GM70" i="82"/>
  <c r="GL70" i="82"/>
  <c r="GK70" i="82"/>
  <c r="GJ70" i="82"/>
  <c r="GI70" i="82"/>
  <c r="GH70" i="82"/>
  <c r="GG70" i="82"/>
  <c r="GF70" i="82"/>
  <c r="GE70" i="82"/>
  <c r="GD70" i="82"/>
  <c r="GC70" i="82"/>
  <c r="GB70" i="82"/>
  <c r="GA70" i="82"/>
  <c r="FZ70" i="82"/>
  <c r="FY70" i="82"/>
  <c r="FX70" i="82"/>
  <c r="FW70" i="82"/>
  <c r="FV70" i="82"/>
  <c r="FU70" i="82"/>
  <c r="FT70" i="82"/>
  <c r="FS70" i="82"/>
  <c r="FR70" i="82"/>
  <c r="FQ70" i="82"/>
  <c r="FP70" i="82"/>
  <c r="FO70" i="82"/>
  <c r="FN70" i="82"/>
  <c r="FM70" i="82"/>
  <c r="FL70" i="82"/>
  <c r="FK70" i="82"/>
  <c r="FJ70" i="82"/>
  <c r="FI70" i="82"/>
  <c r="FH70" i="82"/>
  <c r="FG70" i="82"/>
  <c r="FF70" i="82"/>
  <c r="FE70" i="82"/>
  <c r="FD70" i="82"/>
  <c r="FC70" i="82"/>
  <c r="FB70" i="82"/>
  <c r="FA70" i="82"/>
  <c r="EZ70" i="82"/>
  <c r="EY70" i="82"/>
  <c r="EX70" i="82"/>
  <c r="EW70" i="82"/>
  <c r="EV70" i="82"/>
  <c r="EU70" i="82"/>
  <c r="ET70" i="82"/>
  <c r="ES70" i="82"/>
  <c r="ER70" i="82"/>
  <c r="EQ70" i="82"/>
  <c r="EP70" i="82"/>
  <c r="EO70" i="82"/>
  <c r="EN70" i="82"/>
  <c r="EM70" i="82"/>
  <c r="EL70" i="82"/>
  <c r="EK70" i="82"/>
  <c r="EJ70" i="82"/>
  <c r="EI70" i="82"/>
  <c r="EH70" i="82"/>
  <c r="EG70" i="82"/>
  <c r="EF70" i="82"/>
  <c r="EE70" i="82"/>
  <c r="ED70" i="82"/>
  <c r="EC70" i="82"/>
  <c r="EB70" i="82"/>
  <c r="EA70" i="82"/>
  <c r="DZ70" i="82"/>
  <c r="DY70" i="82"/>
  <c r="DX70" i="82"/>
  <c r="DW70" i="82"/>
  <c r="DV70" i="82"/>
  <c r="DU70" i="82"/>
  <c r="DT70" i="82"/>
  <c r="DS70" i="82"/>
  <c r="DR70" i="82"/>
  <c r="DQ70" i="82"/>
  <c r="DP70" i="82"/>
  <c r="DO70" i="82"/>
  <c r="DN70" i="82"/>
  <c r="DM70" i="82"/>
  <c r="DL70" i="82"/>
  <c r="DK70" i="82"/>
  <c r="DJ70" i="82"/>
  <c r="DI70" i="82"/>
  <c r="DH70" i="82"/>
  <c r="DG70" i="82"/>
  <c r="DF70" i="82"/>
  <c r="DE70" i="82"/>
  <c r="DD70" i="82"/>
  <c r="DC70" i="82"/>
  <c r="DB70" i="82"/>
  <c r="DA70" i="82"/>
  <c r="CZ70" i="82"/>
  <c r="CY70" i="82"/>
  <c r="CX70" i="82"/>
  <c r="CW70" i="82"/>
  <c r="CV70" i="82"/>
  <c r="CU70" i="82"/>
  <c r="CT70" i="82"/>
  <c r="CS70" i="82"/>
  <c r="CR70" i="82"/>
  <c r="CQ70" i="82"/>
  <c r="CP70" i="82"/>
  <c r="CO70" i="82"/>
  <c r="CN70" i="82"/>
  <c r="CM70" i="82"/>
  <c r="CL70" i="82"/>
  <c r="CK70" i="82"/>
  <c r="CJ70" i="82"/>
  <c r="CI70" i="82"/>
  <c r="CH70" i="82"/>
  <c r="CG70" i="82"/>
  <c r="CF70" i="82"/>
  <c r="CE70" i="82"/>
  <c r="CD70" i="82"/>
  <c r="CC70" i="82"/>
  <c r="CB70" i="82"/>
  <c r="CA70" i="82"/>
  <c r="BZ70" i="82"/>
  <c r="BY70" i="82"/>
  <c r="BX70" i="82"/>
  <c r="BW70" i="82"/>
  <c r="BV70" i="82"/>
  <c r="BU70" i="82"/>
  <c r="BT70" i="82"/>
  <c r="BS70" i="82"/>
  <c r="BR70" i="82"/>
  <c r="BQ70" i="82"/>
  <c r="BP70" i="82"/>
  <c r="BO70" i="82"/>
  <c r="BN70" i="82"/>
  <c r="BM70" i="82"/>
  <c r="BL70" i="82"/>
  <c r="BK70" i="82"/>
  <c r="BJ70" i="82"/>
  <c r="BG70" i="82"/>
  <c r="BF70" i="82"/>
  <c r="BE70" i="82"/>
  <c r="BD70" i="82"/>
  <c r="BC70" i="82"/>
  <c r="AZ70" i="82"/>
  <c r="AY70" i="82"/>
  <c r="AX70" i="82"/>
  <c r="AW70" i="82"/>
  <c r="AV70" i="82"/>
  <c r="AS70" i="82"/>
  <c r="AR70" i="82"/>
  <c r="AQ70" i="82"/>
  <c r="AP70" i="82"/>
  <c r="AO70" i="82"/>
  <c r="AM70" i="82"/>
  <c r="AL70" i="82"/>
  <c r="AK70" i="82"/>
  <c r="AJ70" i="82"/>
  <c r="AI70" i="82"/>
  <c r="AH70" i="82"/>
  <c r="AE70" i="82"/>
  <c r="AD70" i="82"/>
  <c r="AC70" i="82"/>
  <c r="AB70" i="82"/>
  <c r="AA70" i="82"/>
  <c r="X70" i="82"/>
  <c r="W70" i="82"/>
  <c r="V70" i="82"/>
  <c r="U70" i="82"/>
  <c r="T70" i="82"/>
  <c r="Q70" i="82"/>
  <c r="P70" i="82"/>
  <c r="O70" i="82"/>
  <c r="N70" i="82"/>
  <c r="M70" i="82"/>
  <c r="J70" i="82"/>
  <c r="I70" i="82"/>
  <c r="H70" i="82"/>
  <c r="G70" i="82"/>
  <c r="F70" i="82"/>
  <c r="IU69" i="82"/>
  <c r="IT69" i="82"/>
  <c r="IS69" i="82"/>
  <c r="IR69" i="82"/>
  <c r="IQ69" i="82"/>
  <c r="IP69" i="82"/>
  <c r="IO69" i="82"/>
  <c r="IN69" i="82"/>
  <c r="IM69" i="82"/>
  <c r="IL69" i="82"/>
  <c r="IK69" i="82"/>
  <c r="IJ69" i="82"/>
  <c r="II69" i="82"/>
  <c r="IH69" i="82"/>
  <c r="IG69" i="82"/>
  <c r="IF69" i="82"/>
  <c r="IE69" i="82"/>
  <c r="ID69" i="82"/>
  <c r="IC69" i="82"/>
  <c r="IB69" i="82"/>
  <c r="IA69" i="82"/>
  <c r="HZ69" i="82"/>
  <c r="HY69" i="82"/>
  <c r="HX69" i="82"/>
  <c r="HW69" i="82"/>
  <c r="HV69" i="82"/>
  <c r="HU69" i="82"/>
  <c r="HT69" i="82"/>
  <c r="HS69" i="82"/>
  <c r="HR69" i="82"/>
  <c r="HQ69" i="82"/>
  <c r="HP69" i="82"/>
  <c r="HO69" i="82"/>
  <c r="HN69" i="82"/>
  <c r="HM69" i="82"/>
  <c r="HL69" i="82"/>
  <c r="HK69" i="82"/>
  <c r="HJ69" i="82"/>
  <c r="HI69" i="82"/>
  <c r="HH69" i="82"/>
  <c r="HG69" i="82"/>
  <c r="HF69" i="82"/>
  <c r="HE69" i="82"/>
  <c r="HD69" i="82"/>
  <c r="HC69" i="82"/>
  <c r="HB69" i="82"/>
  <c r="HA69" i="82"/>
  <c r="GZ69" i="82"/>
  <c r="GY69" i="82"/>
  <c r="GX69" i="82"/>
  <c r="GW69" i="82"/>
  <c r="GV69" i="82"/>
  <c r="GU69" i="82"/>
  <c r="GT69" i="82"/>
  <c r="GS69" i="82"/>
  <c r="GR69" i="82"/>
  <c r="GQ69" i="82"/>
  <c r="GP69" i="82"/>
  <c r="GO69" i="82"/>
  <c r="GN69" i="82"/>
  <c r="GM69" i="82"/>
  <c r="GL69" i="82"/>
  <c r="GK69" i="82"/>
  <c r="GJ69" i="82"/>
  <c r="GI69" i="82"/>
  <c r="GH69" i="82"/>
  <c r="GG69" i="82"/>
  <c r="GF69" i="82"/>
  <c r="GE69" i="82"/>
  <c r="GD69" i="82"/>
  <c r="GC69" i="82"/>
  <c r="GB69" i="82"/>
  <c r="GA69" i="82"/>
  <c r="FZ69" i="82"/>
  <c r="FY69" i="82"/>
  <c r="FX69" i="82"/>
  <c r="FW69" i="82"/>
  <c r="FV69" i="82"/>
  <c r="FU69" i="82"/>
  <c r="FT69" i="82"/>
  <c r="FS69" i="82"/>
  <c r="FR69" i="82"/>
  <c r="FQ69" i="82"/>
  <c r="FP69" i="82"/>
  <c r="FO69" i="82"/>
  <c r="FN69" i="82"/>
  <c r="FM69" i="82"/>
  <c r="FL69" i="82"/>
  <c r="FK69" i="82"/>
  <c r="FJ69" i="82"/>
  <c r="FI69" i="82"/>
  <c r="FH69" i="82"/>
  <c r="FG69" i="82"/>
  <c r="FF69" i="82"/>
  <c r="FE69" i="82"/>
  <c r="FD69" i="82"/>
  <c r="FC69" i="82"/>
  <c r="FB69" i="82"/>
  <c r="FA69" i="82"/>
  <c r="EZ69" i="82"/>
  <c r="EY69" i="82"/>
  <c r="EX69" i="82"/>
  <c r="EW69" i="82"/>
  <c r="EV69" i="82"/>
  <c r="EU69" i="82"/>
  <c r="ET69" i="82"/>
  <c r="ES69" i="82"/>
  <c r="ER69" i="82"/>
  <c r="EQ69" i="82"/>
  <c r="EP69" i="82"/>
  <c r="EO69" i="82"/>
  <c r="EN69" i="82"/>
  <c r="EM69" i="82"/>
  <c r="EL69" i="82"/>
  <c r="EK69" i="82"/>
  <c r="EJ69" i="82"/>
  <c r="EI69" i="82"/>
  <c r="EH69" i="82"/>
  <c r="EG69" i="82"/>
  <c r="EF69" i="82"/>
  <c r="EE69" i="82"/>
  <c r="ED69" i="82"/>
  <c r="EC69" i="82"/>
  <c r="EB69" i="82"/>
  <c r="EA69" i="82"/>
  <c r="DZ69" i="82"/>
  <c r="DY69" i="82"/>
  <c r="DX69" i="82"/>
  <c r="DW69" i="82"/>
  <c r="DV69" i="82"/>
  <c r="DU69" i="82"/>
  <c r="DT69" i="82"/>
  <c r="DS69" i="82"/>
  <c r="DR69" i="82"/>
  <c r="DQ69" i="82"/>
  <c r="DP69" i="82"/>
  <c r="DO69" i="82"/>
  <c r="DN69" i="82"/>
  <c r="DM69" i="82"/>
  <c r="DL69" i="82"/>
  <c r="DK69" i="82"/>
  <c r="DJ69" i="82"/>
  <c r="DI69" i="82"/>
  <c r="DH69" i="82"/>
  <c r="DG69" i="82"/>
  <c r="DF69" i="82"/>
  <c r="DE69" i="82"/>
  <c r="DD69" i="82"/>
  <c r="DC69" i="82"/>
  <c r="DB69" i="82"/>
  <c r="DA69" i="82"/>
  <c r="CZ69" i="82"/>
  <c r="CY69" i="82"/>
  <c r="CX69" i="82"/>
  <c r="CW69" i="82"/>
  <c r="CV69" i="82"/>
  <c r="CU69" i="82"/>
  <c r="CT69" i="82"/>
  <c r="CS69" i="82"/>
  <c r="CR69" i="82"/>
  <c r="CQ69" i="82"/>
  <c r="CP69" i="82"/>
  <c r="CO69" i="82"/>
  <c r="CN69" i="82"/>
  <c r="CM69" i="82"/>
  <c r="CL69" i="82"/>
  <c r="CK69" i="82"/>
  <c r="CJ69" i="82"/>
  <c r="CI69" i="82"/>
  <c r="CH69" i="82"/>
  <c r="CG69" i="82"/>
  <c r="CF69" i="82"/>
  <c r="CE69" i="82"/>
  <c r="CD69" i="82"/>
  <c r="CC69" i="82"/>
  <c r="CB69" i="82"/>
  <c r="CA69" i="82"/>
  <c r="BZ69" i="82"/>
  <c r="BY69" i="82"/>
  <c r="BX69" i="82"/>
  <c r="BW69" i="82"/>
  <c r="BV69" i="82"/>
  <c r="BU69" i="82"/>
  <c r="BT69" i="82"/>
  <c r="BS69" i="82"/>
  <c r="BR69" i="82"/>
  <c r="BQ69" i="82"/>
  <c r="BP69" i="82"/>
  <c r="BO69" i="82"/>
  <c r="BN69" i="82"/>
  <c r="BM69" i="82"/>
  <c r="BL69" i="82"/>
  <c r="BK69" i="82"/>
  <c r="BJ69" i="82"/>
  <c r="BG69" i="82"/>
  <c r="BF69" i="82"/>
  <c r="BE69" i="82"/>
  <c r="BD69" i="82"/>
  <c r="BC69" i="82"/>
  <c r="AZ69" i="82"/>
  <c r="AY69" i="82"/>
  <c r="AX69" i="82"/>
  <c r="AW69" i="82"/>
  <c r="AV69" i="82"/>
  <c r="AS69" i="82"/>
  <c r="AR69" i="82"/>
  <c r="AQ69" i="82"/>
  <c r="AP69" i="82"/>
  <c r="AO69" i="82"/>
  <c r="AM69" i="82"/>
  <c r="AL69" i="82"/>
  <c r="AK69" i="82"/>
  <c r="AJ69" i="82"/>
  <c r="AI69" i="82"/>
  <c r="AH69" i="82"/>
  <c r="AE69" i="82"/>
  <c r="AD69" i="82"/>
  <c r="AC69" i="82"/>
  <c r="AB69" i="82"/>
  <c r="AA69" i="82"/>
  <c r="X69" i="82"/>
  <c r="W69" i="82"/>
  <c r="V69" i="82"/>
  <c r="U69" i="82"/>
  <c r="T69" i="82"/>
  <c r="Q69" i="82"/>
  <c r="P69" i="82"/>
  <c r="O69" i="82"/>
  <c r="N69" i="82"/>
  <c r="M69" i="82"/>
  <c r="J69" i="82"/>
  <c r="I69" i="82"/>
  <c r="H69" i="82"/>
  <c r="G69" i="82"/>
  <c r="F69" i="82"/>
  <c r="IU68" i="82"/>
  <c r="IT68" i="82"/>
  <c r="IS68" i="82"/>
  <c r="IR68" i="82"/>
  <c r="IQ68" i="82"/>
  <c r="IP68" i="82"/>
  <c r="IO68" i="82"/>
  <c r="IN68" i="82"/>
  <c r="IM68" i="82"/>
  <c r="IL68" i="82"/>
  <c r="IK68" i="82"/>
  <c r="IJ68" i="82"/>
  <c r="II68" i="82"/>
  <c r="IH68" i="82"/>
  <c r="IG68" i="82"/>
  <c r="IF68" i="82"/>
  <c r="IE68" i="82"/>
  <c r="ID68" i="82"/>
  <c r="IC68" i="82"/>
  <c r="IB68" i="82"/>
  <c r="IA68" i="82"/>
  <c r="HZ68" i="82"/>
  <c r="HY68" i="82"/>
  <c r="HX68" i="82"/>
  <c r="HW68" i="82"/>
  <c r="HV68" i="82"/>
  <c r="HU68" i="82"/>
  <c r="HT68" i="82"/>
  <c r="HS68" i="82"/>
  <c r="HR68" i="82"/>
  <c r="HQ68" i="82"/>
  <c r="HP68" i="82"/>
  <c r="HO68" i="82"/>
  <c r="HN68" i="82"/>
  <c r="HM68" i="82"/>
  <c r="HL68" i="82"/>
  <c r="HK68" i="82"/>
  <c r="HJ68" i="82"/>
  <c r="HI68" i="82"/>
  <c r="HH68" i="82"/>
  <c r="HG68" i="82"/>
  <c r="HF68" i="82"/>
  <c r="HE68" i="82"/>
  <c r="HD68" i="82"/>
  <c r="HC68" i="82"/>
  <c r="HB68" i="82"/>
  <c r="HA68" i="82"/>
  <c r="GZ68" i="82"/>
  <c r="GY68" i="82"/>
  <c r="GX68" i="82"/>
  <c r="GW68" i="82"/>
  <c r="GV68" i="82"/>
  <c r="GU68" i="82"/>
  <c r="GT68" i="82"/>
  <c r="GS68" i="82"/>
  <c r="GR68" i="82"/>
  <c r="GQ68" i="82"/>
  <c r="GP68" i="82"/>
  <c r="GO68" i="82"/>
  <c r="GN68" i="82"/>
  <c r="GM68" i="82"/>
  <c r="GL68" i="82"/>
  <c r="GK68" i="82"/>
  <c r="GJ68" i="82"/>
  <c r="GI68" i="82"/>
  <c r="GH68" i="82"/>
  <c r="GG68" i="82"/>
  <c r="GF68" i="82"/>
  <c r="GE68" i="82"/>
  <c r="GD68" i="82"/>
  <c r="GC68" i="82"/>
  <c r="GB68" i="82"/>
  <c r="GA68" i="82"/>
  <c r="FZ68" i="82"/>
  <c r="FY68" i="82"/>
  <c r="FX68" i="82"/>
  <c r="FW68" i="82"/>
  <c r="FV68" i="82"/>
  <c r="FU68" i="82"/>
  <c r="FT68" i="82"/>
  <c r="FS68" i="82"/>
  <c r="FR68" i="82"/>
  <c r="FQ68" i="82"/>
  <c r="FP68" i="82"/>
  <c r="FO68" i="82"/>
  <c r="FN68" i="82"/>
  <c r="FM68" i="82"/>
  <c r="FL68" i="82"/>
  <c r="FK68" i="82"/>
  <c r="FJ68" i="82"/>
  <c r="FI68" i="82"/>
  <c r="FH68" i="82"/>
  <c r="FG68" i="82"/>
  <c r="FF68" i="82"/>
  <c r="FE68" i="82"/>
  <c r="FD68" i="82"/>
  <c r="FC68" i="82"/>
  <c r="FB68" i="82"/>
  <c r="FA68" i="82"/>
  <c r="EZ68" i="82"/>
  <c r="EY68" i="82"/>
  <c r="EX68" i="82"/>
  <c r="EW68" i="82"/>
  <c r="EV68" i="82"/>
  <c r="EU68" i="82"/>
  <c r="ET68" i="82"/>
  <c r="ES68" i="82"/>
  <c r="ER68" i="82"/>
  <c r="EQ68" i="82"/>
  <c r="EP68" i="82"/>
  <c r="EO68" i="82"/>
  <c r="EN68" i="82"/>
  <c r="EM68" i="82"/>
  <c r="EL68" i="82"/>
  <c r="EK68" i="82"/>
  <c r="EJ68" i="82"/>
  <c r="EI68" i="82"/>
  <c r="EH68" i="82"/>
  <c r="EG68" i="82"/>
  <c r="EF68" i="82"/>
  <c r="EE68" i="82"/>
  <c r="ED68" i="82"/>
  <c r="EC68" i="82"/>
  <c r="EB68" i="82"/>
  <c r="EA68" i="82"/>
  <c r="DZ68" i="82"/>
  <c r="DY68" i="82"/>
  <c r="DX68" i="82"/>
  <c r="DW68" i="82"/>
  <c r="DV68" i="82"/>
  <c r="DU68" i="82"/>
  <c r="DT68" i="82"/>
  <c r="DS68" i="82"/>
  <c r="DR68" i="82"/>
  <c r="DQ68" i="82"/>
  <c r="DP68" i="82"/>
  <c r="DO68" i="82"/>
  <c r="DN68" i="82"/>
  <c r="DM68" i="82"/>
  <c r="DL68" i="82"/>
  <c r="DK68" i="82"/>
  <c r="DJ68" i="82"/>
  <c r="DI68" i="82"/>
  <c r="DH68" i="82"/>
  <c r="DG68" i="82"/>
  <c r="DF68" i="82"/>
  <c r="DE68" i="82"/>
  <c r="DD68" i="82"/>
  <c r="DC68" i="82"/>
  <c r="DB68" i="82"/>
  <c r="DA68" i="82"/>
  <c r="CZ68" i="82"/>
  <c r="CY68" i="82"/>
  <c r="CX68" i="82"/>
  <c r="CW68" i="82"/>
  <c r="CV68" i="82"/>
  <c r="CU68" i="82"/>
  <c r="CT68" i="82"/>
  <c r="CS68" i="82"/>
  <c r="CR68" i="82"/>
  <c r="CQ68" i="82"/>
  <c r="CP68" i="82"/>
  <c r="CO68" i="82"/>
  <c r="CN68" i="82"/>
  <c r="CM68" i="82"/>
  <c r="CL68" i="82"/>
  <c r="CK68" i="82"/>
  <c r="CJ68" i="82"/>
  <c r="CI68" i="82"/>
  <c r="CH68" i="82"/>
  <c r="CG68" i="82"/>
  <c r="CF68" i="82"/>
  <c r="CE68" i="82"/>
  <c r="CD68" i="82"/>
  <c r="CC68" i="82"/>
  <c r="CB68" i="82"/>
  <c r="CA68" i="82"/>
  <c r="BZ68" i="82"/>
  <c r="BY68" i="82"/>
  <c r="BX68" i="82"/>
  <c r="BW68" i="82"/>
  <c r="BV68" i="82"/>
  <c r="BU68" i="82"/>
  <c r="BT68" i="82"/>
  <c r="BS68" i="82"/>
  <c r="BR68" i="82"/>
  <c r="BQ68" i="82"/>
  <c r="BP68" i="82"/>
  <c r="BO68" i="82"/>
  <c r="BN68" i="82"/>
  <c r="BM68" i="82"/>
  <c r="BL68" i="82"/>
  <c r="BK68" i="82"/>
  <c r="BJ68" i="82"/>
  <c r="BG68" i="82"/>
  <c r="BF68" i="82"/>
  <c r="BE68" i="82"/>
  <c r="BD68" i="82"/>
  <c r="BC68" i="82"/>
  <c r="AZ68" i="82"/>
  <c r="AY68" i="82"/>
  <c r="AX68" i="82"/>
  <c r="AW68" i="82"/>
  <c r="AV68" i="82"/>
  <c r="AS68" i="82"/>
  <c r="AR68" i="82"/>
  <c r="AQ68" i="82"/>
  <c r="AP68" i="82"/>
  <c r="AO68" i="82"/>
  <c r="AM68" i="82"/>
  <c r="AL68" i="82"/>
  <c r="AK68" i="82"/>
  <c r="AJ68" i="82"/>
  <c r="AI68" i="82"/>
  <c r="AH68" i="82"/>
  <c r="AE68" i="82"/>
  <c r="AD68" i="82"/>
  <c r="AC68" i="82"/>
  <c r="AB68" i="82"/>
  <c r="AA68" i="82"/>
  <c r="X68" i="82"/>
  <c r="W68" i="82"/>
  <c r="V68" i="82"/>
  <c r="U68" i="82"/>
  <c r="T68" i="82"/>
  <c r="Q68" i="82"/>
  <c r="P68" i="82"/>
  <c r="O68" i="82"/>
  <c r="N68" i="82"/>
  <c r="M68" i="82"/>
  <c r="J68" i="82"/>
  <c r="I68" i="82"/>
  <c r="H68" i="82"/>
  <c r="G68" i="82"/>
  <c r="F68" i="82"/>
  <c r="IU67" i="82"/>
  <c r="IT67" i="82"/>
  <c r="IS67" i="82"/>
  <c r="IR67" i="82"/>
  <c r="IQ67" i="82"/>
  <c r="IP67" i="82"/>
  <c r="IO67" i="82"/>
  <c r="IN67" i="82"/>
  <c r="IM67" i="82"/>
  <c r="IL67" i="82"/>
  <c r="IK67" i="82"/>
  <c r="IJ67" i="82"/>
  <c r="II67" i="82"/>
  <c r="IH67" i="82"/>
  <c r="IG67" i="82"/>
  <c r="IF67" i="82"/>
  <c r="IE67" i="82"/>
  <c r="ID67" i="82"/>
  <c r="IC67" i="82"/>
  <c r="IB67" i="82"/>
  <c r="IA67" i="82"/>
  <c r="HZ67" i="82"/>
  <c r="HY67" i="82"/>
  <c r="HX67" i="82"/>
  <c r="HW67" i="82"/>
  <c r="HV67" i="82"/>
  <c r="HU67" i="82"/>
  <c r="HT67" i="82"/>
  <c r="HS67" i="82"/>
  <c r="HR67" i="82"/>
  <c r="HQ67" i="82"/>
  <c r="HP67" i="82"/>
  <c r="HO67" i="82"/>
  <c r="HN67" i="82"/>
  <c r="HM67" i="82"/>
  <c r="HL67" i="82"/>
  <c r="HK67" i="82"/>
  <c r="HJ67" i="82"/>
  <c r="HI67" i="82"/>
  <c r="HH67" i="82"/>
  <c r="HG67" i="82"/>
  <c r="HF67" i="82"/>
  <c r="HE67" i="82"/>
  <c r="HD67" i="82"/>
  <c r="HC67" i="82"/>
  <c r="HB67" i="82"/>
  <c r="HA67" i="82"/>
  <c r="GZ67" i="82"/>
  <c r="GY67" i="82"/>
  <c r="GX67" i="82"/>
  <c r="GW67" i="82"/>
  <c r="GV67" i="82"/>
  <c r="GU67" i="82"/>
  <c r="GT67" i="82"/>
  <c r="GS67" i="82"/>
  <c r="GR67" i="82"/>
  <c r="GQ67" i="82"/>
  <c r="GP67" i="82"/>
  <c r="GO67" i="82"/>
  <c r="GN67" i="82"/>
  <c r="GM67" i="82"/>
  <c r="GL67" i="82"/>
  <c r="GK67" i="82"/>
  <c r="GJ67" i="82"/>
  <c r="GI67" i="82"/>
  <c r="GH67" i="82"/>
  <c r="GG67" i="82"/>
  <c r="GF67" i="82"/>
  <c r="GE67" i="82"/>
  <c r="GD67" i="82"/>
  <c r="GC67" i="82"/>
  <c r="GB67" i="82"/>
  <c r="GA67" i="82"/>
  <c r="FZ67" i="82"/>
  <c r="FY67" i="82"/>
  <c r="FX67" i="82"/>
  <c r="FW67" i="82"/>
  <c r="FV67" i="82"/>
  <c r="FU67" i="82"/>
  <c r="FT67" i="82"/>
  <c r="FS67" i="82"/>
  <c r="FR67" i="82"/>
  <c r="FQ67" i="82"/>
  <c r="FP67" i="82"/>
  <c r="FO67" i="82"/>
  <c r="FN67" i="82"/>
  <c r="FM67" i="82"/>
  <c r="FL67" i="82"/>
  <c r="FK67" i="82"/>
  <c r="FJ67" i="82"/>
  <c r="FI67" i="82"/>
  <c r="FH67" i="82"/>
  <c r="FG67" i="82"/>
  <c r="FF67" i="82"/>
  <c r="FE67" i="82"/>
  <c r="FD67" i="82"/>
  <c r="FC67" i="82"/>
  <c r="FB67" i="82"/>
  <c r="FA67" i="82"/>
  <c r="EZ67" i="82"/>
  <c r="EY67" i="82"/>
  <c r="EX67" i="82"/>
  <c r="EW67" i="82"/>
  <c r="EV67" i="82"/>
  <c r="EU67" i="82"/>
  <c r="ET67" i="82"/>
  <c r="ES67" i="82"/>
  <c r="ER67" i="82"/>
  <c r="EQ67" i="82"/>
  <c r="EP67" i="82"/>
  <c r="EO67" i="82"/>
  <c r="EN67" i="82"/>
  <c r="EM67" i="82"/>
  <c r="EL67" i="82"/>
  <c r="EK67" i="82"/>
  <c r="EJ67" i="82"/>
  <c r="EI67" i="82"/>
  <c r="EH67" i="82"/>
  <c r="EG67" i="82"/>
  <c r="EF67" i="82"/>
  <c r="EE67" i="82"/>
  <c r="ED67" i="82"/>
  <c r="EC67" i="82"/>
  <c r="EB67" i="82"/>
  <c r="EA67" i="82"/>
  <c r="DZ67" i="82"/>
  <c r="DY67" i="82"/>
  <c r="DX67" i="82"/>
  <c r="DW67" i="82"/>
  <c r="DV67" i="82"/>
  <c r="DU67" i="82"/>
  <c r="DT67" i="82"/>
  <c r="DS67" i="82"/>
  <c r="DR67" i="82"/>
  <c r="DQ67" i="82"/>
  <c r="DP67" i="82"/>
  <c r="DO67" i="82"/>
  <c r="DN67" i="82"/>
  <c r="DM67" i="82"/>
  <c r="DL67" i="82"/>
  <c r="DK67" i="82"/>
  <c r="DJ67" i="82"/>
  <c r="DI67" i="82"/>
  <c r="DH67" i="82"/>
  <c r="DG67" i="82"/>
  <c r="DF67" i="82"/>
  <c r="DE67" i="82"/>
  <c r="DD67" i="82"/>
  <c r="DC67" i="82"/>
  <c r="DB67" i="82"/>
  <c r="DA67" i="82"/>
  <c r="CZ67" i="82"/>
  <c r="CY67" i="82"/>
  <c r="CX67" i="82"/>
  <c r="CW67" i="82"/>
  <c r="CV67" i="82"/>
  <c r="CU67" i="82"/>
  <c r="CT67" i="82"/>
  <c r="CS67" i="82"/>
  <c r="CR67" i="82"/>
  <c r="CQ67" i="82"/>
  <c r="CP67" i="82"/>
  <c r="CO67" i="82"/>
  <c r="CN67" i="82"/>
  <c r="CM67" i="82"/>
  <c r="CL67" i="82"/>
  <c r="CK67" i="82"/>
  <c r="CJ67" i="82"/>
  <c r="CI67" i="82"/>
  <c r="CH67" i="82"/>
  <c r="CG67" i="82"/>
  <c r="CF67" i="82"/>
  <c r="CE67" i="82"/>
  <c r="CD67" i="82"/>
  <c r="CC67" i="82"/>
  <c r="CB67" i="82"/>
  <c r="CA67" i="82"/>
  <c r="BZ67" i="82"/>
  <c r="BY67" i="82"/>
  <c r="BX67" i="82"/>
  <c r="BW67" i="82"/>
  <c r="BV67" i="82"/>
  <c r="BU67" i="82"/>
  <c r="BT67" i="82"/>
  <c r="BS67" i="82"/>
  <c r="BR67" i="82"/>
  <c r="BQ67" i="82"/>
  <c r="BP67" i="82"/>
  <c r="BO67" i="82"/>
  <c r="BN67" i="82"/>
  <c r="BM67" i="82"/>
  <c r="BL67" i="82"/>
  <c r="BK67" i="82"/>
  <c r="BJ67" i="82"/>
  <c r="BG67" i="82"/>
  <c r="BF67" i="82"/>
  <c r="BE67" i="82"/>
  <c r="BD67" i="82"/>
  <c r="BC67" i="82"/>
  <c r="AZ67" i="82"/>
  <c r="AY67" i="82"/>
  <c r="AX67" i="82"/>
  <c r="AW67" i="82"/>
  <c r="AV67" i="82"/>
  <c r="AS67" i="82"/>
  <c r="AR67" i="82"/>
  <c r="AQ67" i="82"/>
  <c r="AP67" i="82"/>
  <c r="AO67" i="82"/>
  <c r="AM67" i="82"/>
  <c r="AL67" i="82"/>
  <c r="AK67" i="82"/>
  <c r="AJ67" i="82"/>
  <c r="AI67" i="82"/>
  <c r="AH67" i="82"/>
  <c r="AE67" i="82"/>
  <c r="AD67" i="82"/>
  <c r="AC67" i="82"/>
  <c r="AB67" i="82"/>
  <c r="AA67" i="82"/>
  <c r="X67" i="82"/>
  <c r="W67" i="82"/>
  <c r="V67" i="82"/>
  <c r="U67" i="82"/>
  <c r="T67" i="82"/>
  <c r="Q67" i="82"/>
  <c r="P67" i="82"/>
  <c r="O67" i="82"/>
  <c r="N67" i="82"/>
  <c r="M67" i="82"/>
  <c r="J67" i="82"/>
  <c r="I67" i="82"/>
  <c r="H67" i="82"/>
  <c r="G67" i="82"/>
  <c r="F67" i="82"/>
  <c r="B67" i="82"/>
  <c r="A67" i="82"/>
  <c r="IU66" i="82"/>
  <c r="IT66" i="82"/>
  <c r="IS66" i="82"/>
  <c r="IR66" i="82"/>
  <c r="IQ66" i="82"/>
  <c r="IP66" i="82"/>
  <c r="IO66" i="82"/>
  <c r="IN66" i="82"/>
  <c r="IM66" i="82"/>
  <c r="IL66" i="82"/>
  <c r="IK66" i="82"/>
  <c r="IJ66" i="82"/>
  <c r="II66" i="82"/>
  <c r="IH66" i="82"/>
  <c r="IG66" i="82"/>
  <c r="IF66" i="82"/>
  <c r="IE66" i="82"/>
  <c r="ID66" i="82"/>
  <c r="IC66" i="82"/>
  <c r="IB66" i="82"/>
  <c r="IA66" i="82"/>
  <c r="HZ66" i="82"/>
  <c r="HY66" i="82"/>
  <c r="HX66" i="82"/>
  <c r="HW66" i="82"/>
  <c r="HV66" i="82"/>
  <c r="HU66" i="82"/>
  <c r="HT66" i="82"/>
  <c r="HS66" i="82"/>
  <c r="HR66" i="82"/>
  <c r="HQ66" i="82"/>
  <c r="HP66" i="82"/>
  <c r="HO66" i="82"/>
  <c r="HN66" i="82"/>
  <c r="HM66" i="82"/>
  <c r="HL66" i="82"/>
  <c r="HK66" i="82"/>
  <c r="HJ66" i="82"/>
  <c r="HI66" i="82"/>
  <c r="HH66" i="82"/>
  <c r="HG66" i="82"/>
  <c r="HF66" i="82"/>
  <c r="HE66" i="82"/>
  <c r="HD66" i="82"/>
  <c r="HC66" i="82"/>
  <c r="HB66" i="82"/>
  <c r="HA66" i="82"/>
  <c r="GZ66" i="82"/>
  <c r="GY66" i="82"/>
  <c r="GX66" i="82"/>
  <c r="GW66" i="82"/>
  <c r="GV66" i="82"/>
  <c r="GU66" i="82"/>
  <c r="GT66" i="82"/>
  <c r="GS66" i="82"/>
  <c r="GR66" i="82"/>
  <c r="GQ66" i="82"/>
  <c r="GP66" i="82"/>
  <c r="GO66" i="82"/>
  <c r="GN66" i="82"/>
  <c r="GM66" i="82"/>
  <c r="GL66" i="82"/>
  <c r="GK66" i="82"/>
  <c r="GJ66" i="82"/>
  <c r="GI66" i="82"/>
  <c r="GH66" i="82"/>
  <c r="GG66" i="82"/>
  <c r="GF66" i="82"/>
  <c r="GE66" i="82"/>
  <c r="GD66" i="82"/>
  <c r="GC66" i="82"/>
  <c r="GB66" i="82"/>
  <c r="GA66" i="82"/>
  <c r="FZ66" i="82"/>
  <c r="FY66" i="82"/>
  <c r="FX66" i="82"/>
  <c r="FW66" i="82"/>
  <c r="FV66" i="82"/>
  <c r="FU66" i="82"/>
  <c r="FT66" i="82"/>
  <c r="FS66" i="82"/>
  <c r="FR66" i="82"/>
  <c r="FQ66" i="82"/>
  <c r="FP66" i="82"/>
  <c r="FO66" i="82"/>
  <c r="FN66" i="82"/>
  <c r="FM66" i="82"/>
  <c r="FL66" i="82"/>
  <c r="FK66" i="82"/>
  <c r="FJ66" i="82"/>
  <c r="FI66" i="82"/>
  <c r="FH66" i="82"/>
  <c r="FG66" i="82"/>
  <c r="FF66" i="82"/>
  <c r="FE66" i="82"/>
  <c r="FD66" i="82"/>
  <c r="FC66" i="82"/>
  <c r="FB66" i="82"/>
  <c r="FA66" i="82"/>
  <c r="EZ66" i="82"/>
  <c r="EY66" i="82"/>
  <c r="EX66" i="82"/>
  <c r="EW66" i="82"/>
  <c r="EV66" i="82"/>
  <c r="EU66" i="82"/>
  <c r="ET66" i="82"/>
  <c r="ES66" i="82"/>
  <c r="ER66" i="82"/>
  <c r="EQ66" i="82"/>
  <c r="EP66" i="82"/>
  <c r="EO66" i="82"/>
  <c r="EN66" i="82"/>
  <c r="EM66" i="82"/>
  <c r="EL66" i="82"/>
  <c r="EK66" i="82"/>
  <c r="EJ66" i="82"/>
  <c r="EI66" i="82"/>
  <c r="EH66" i="82"/>
  <c r="EG66" i="82"/>
  <c r="EF66" i="82"/>
  <c r="EE66" i="82"/>
  <c r="ED66" i="82"/>
  <c r="EC66" i="82"/>
  <c r="EB66" i="82"/>
  <c r="EA66" i="82"/>
  <c r="DZ66" i="82"/>
  <c r="DY66" i="82"/>
  <c r="DX66" i="82"/>
  <c r="DW66" i="82"/>
  <c r="DV66" i="82"/>
  <c r="DU66" i="82"/>
  <c r="DT66" i="82"/>
  <c r="DS66" i="82"/>
  <c r="DR66" i="82"/>
  <c r="DQ66" i="82"/>
  <c r="DP66" i="82"/>
  <c r="DO66" i="82"/>
  <c r="DN66" i="82"/>
  <c r="DM66" i="82"/>
  <c r="DL66" i="82"/>
  <c r="DK66" i="82"/>
  <c r="DJ66" i="82"/>
  <c r="DI66" i="82"/>
  <c r="DH66" i="82"/>
  <c r="DG66" i="82"/>
  <c r="DF66" i="82"/>
  <c r="DE66" i="82"/>
  <c r="DD66" i="82"/>
  <c r="DC66" i="82"/>
  <c r="DB66" i="82"/>
  <c r="DA66" i="82"/>
  <c r="CZ66" i="82"/>
  <c r="CY66" i="82"/>
  <c r="CX66" i="82"/>
  <c r="CW66" i="82"/>
  <c r="CV66" i="82"/>
  <c r="CU66" i="82"/>
  <c r="CT66" i="82"/>
  <c r="CS66" i="82"/>
  <c r="CR66" i="82"/>
  <c r="CQ66" i="82"/>
  <c r="CP66" i="82"/>
  <c r="CO66" i="82"/>
  <c r="CN66" i="82"/>
  <c r="CM66" i="82"/>
  <c r="CL66" i="82"/>
  <c r="CK66" i="82"/>
  <c r="CJ66" i="82"/>
  <c r="CI66" i="82"/>
  <c r="CH66" i="82"/>
  <c r="CG66" i="82"/>
  <c r="CF66" i="82"/>
  <c r="CE66" i="82"/>
  <c r="CD66" i="82"/>
  <c r="CC66" i="82"/>
  <c r="CB66" i="82"/>
  <c r="CA66" i="82"/>
  <c r="BZ66" i="82"/>
  <c r="BY66" i="82"/>
  <c r="BX66" i="82"/>
  <c r="BW66" i="82"/>
  <c r="BV66" i="82"/>
  <c r="BU66" i="82"/>
  <c r="BT66" i="82"/>
  <c r="BS66" i="82"/>
  <c r="BR66" i="82"/>
  <c r="BQ66" i="82"/>
  <c r="BP66" i="82"/>
  <c r="BO66" i="82"/>
  <c r="BN66" i="82"/>
  <c r="BM66" i="82"/>
  <c r="BL66" i="82"/>
  <c r="BK66" i="82"/>
  <c r="BJ66" i="82"/>
  <c r="BG66" i="82"/>
  <c r="BF66" i="82"/>
  <c r="BE66" i="82"/>
  <c r="BD66" i="82"/>
  <c r="BC66" i="82"/>
  <c r="BA66" i="82"/>
  <c r="AZ66" i="82"/>
  <c r="AY66" i="82"/>
  <c r="AX66" i="82"/>
  <c r="AW66" i="82"/>
  <c r="AV66" i="82"/>
  <c r="AS66" i="82"/>
  <c r="AR66" i="82"/>
  <c r="AQ66" i="82"/>
  <c r="AP66" i="82"/>
  <c r="AO66" i="82"/>
  <c r="AL66" i="82"/>
  <c r="AK66" i="82"/>
  <c r="AJ66" i="82"/>
  <c r="AI66" i="82"/>
  <c r="AH66" i="82"/>
  <c r="AE66" i="82"/>
  <c r="AD66" i="82"/>
  <c r="AC66" i="82"/>
  <c r="AB66" i="82"/>
  <c r="AA66" i="82"/>
  <c r="X66" i="82"/>
  <c r="W66" i="82"/>
  <c r="V66" i="82"/>
  <c r="U66" i="82"/>
  <c r="T66" i="82"/>
  <c r="Q66" i="82"/>
  <c r="P66" i="82"/>
  <c r="O66" i="82"/>
  <c r="N66" i="82"/>
  <c r="M66" i="82"/>
  <c r="J66" i="82"/>
  <c r="I66" i="82"/>
  <c r="H66" i="82"/>
  <c r="G66" i="82"/>
  <c r="F66" i="82"/>
  <c r="E66" i="82"/>
  <c r="B66" i="82"/>
  <c r="A66" i="82"/>
  <c r="IU65" i="82"/>
  <c r="IT65" i="82"/>
  <c r="IS65" i="82"/>
  <c r="IR65" i="82"/>
  <c r="IQ65" i="82"/>
  <c r="IP65" i="82"/>
  <c r="IO65" i="82"/>
  <c r="IN65" i="82"/>
  <c r="IM65" i="82"/>
  <c r="IL65" i="82"/>
  <c r="IK65" i="82"/>
  <c r="IJ65" i="82"/>
  <c r="II65" i="82"/>
  <c r="IH65" i="82"/>
  <c r="IG65" i="82"/>
  <c r="IF65" i="82"/>
  <c r="IE65" i="82"/>
  <c r="ID65" i="82"/>
  <c r="IC65" i="82"/>
  <c r="IB65" i="82"/>
  <c r="IA65" i="82"/>
  <c r="HZ65" i="82"/>
  <c r="HY65" i="82"/>
  <c r="HX65" i="82"/>
  <c r="HW65" i="82"/>
  <c r="HV65" i="82"/>
  <c r="HU65" i="82"/>
  <c r="HT65" i="82"/>
  <c r="HS65" i="82"/>
  <c r="HR65" i="82"/>
  <c r="HQ65" i="82"/>
  <c r="HP65" i="82"/>
  <c r="HO65" i="82"/>
  <c r="HN65" i="82"/>
  <c r="HM65" i="82"/>
  <c r="HL65" i="82"/>
  <c r="HK65" i="82"/>
  <c r="HJ65" i="82"/>
  <c r="HI65" i="82"/>
  <c r="HH65" i="82"/>
  <c r="HG65" i="82"/>
  <c r="HF65" i="82"/>
  <c r="HE65" i="82"/>
  <c r="HD65" i="82"/>
  <c r="HC65" i="82"/>
  <c r="HB65" i="82"/>
  <c r="HA65" i="82"/>
  <c r="GZ65" i="82"/>
  <c r="GY65" i="82"/>
  <c r="GX65" i="82"/>
  <c r="GW65" i="82"/>
  <c r="GV65" i="82"/>
  <c r="GU65" i="82"/>
  <c r="GT65" i="82"/>
  <c r="GS65" i="82"/>
  <c r="GR65" i="82"/>
  <c r="GQ65" i="82"/>
  <c r="GP65" i="82"/>
  <c r="GO65" i="82"/>
  <c r="GN65" i="82"/>
  <c r="GM65" i="82"/>
  <c r="GL65" i="82"/>
  <c r="GK65" i="82"/>
  <c r="GJ65" i="82"/>
  <c r="GI65" i="82"/>
  <c r="GH65" i="82"/>
  <c r="GG65" i="82"/>
  <c r="GF65" i="82"/>
  <c r="GE65" i="82"/>
  <c r="GD65" i="82"/>
  <c r="GC65" i="82"/>
  <c r="GB65" i="82"/>
  <c r="GA65" i="82"/>
  <c r="FZ65" i="82"/>
  <c r="FY65" i="82"/>
  <c r="FX65" i="82"/>
  <c r="FW65" i="82"/>
  <c r="FV65" i="82"/>
  <c r="FU65" i="82"/>
  <c r="FT65" i="82"/>
  <c r="FS65" i="82"/>
  <c r="FR65" i="82"/>
  <c r="FQ65" i="82"/>
  <c r="FP65" i="82"/>
  <c r="FO65" i="82"/>
  <c r="FN65" i="82"/>
  <c r="FM65" i="82"/>
  <c r="FL65" i="82"/>
  <c r="FK65" i="82"/>
  <c r="FJ65" i="82"/>
  <c r="FI65" i="82"/>
  <c r="FH65" i="82"/>
  <c r="FG65" i="82"/>
  <c r="FF65" i="82"/>
  <c r="FE65" i="82"/>
  <c r="FD65" i="82"/>
  <c r="FC65" i="82"/>
  <c r="FB65" i="82"/>
  <c r="FA65" i="82"/>
  <c r="EZ65" i="82"/>
  <c r="EY65" i="82"/>
  <c r="EX65" i="82"/>
  <c r="EW65" i="82"/>
  <c r="EV65" i="82"/>
  <c r="EU65" i="82"/>
  <c r="ET65" i="82"/>
  <c r="ES65" i="82"/>
  <c r="ER65" i="82"/>
  <c r="EQ65" i="82"/>
  <c r="EP65" i="82"/>
  <c r="EO65" i="82"/>
  <c r="EN65" i="82"/>
  <c r="EM65" i="82"/>
  <c r="EL65" i="82"/>
  <c r="EK65" i="82"/>
  <c r="EJ65" i="82"/>
  <c r="EI65" i="82"/>
  <c r="EH65" i="82"/>
  <c r="EG65" i="82"/>
  <c r="EF65" i="82"/>
  <c r="EE65" i="82"/>
  <c r="ED65" i="82"/>
  <c r="EC65" i="82"/>
  <c r="EB65" i="82"/>
  <c r="EA65" i="82"/>
  <c r="DZ65" i="82"/>
  <c r="DY65" i="82"/>
  <c r="DX65" i="82"/>
  <c r="DW65" i="82"/>
  <c r="DV65" i="82"/>
  <c r="DU65" i="82"/>
  <c r="DT65" i="82"/>
  <c r="DS65" i="82"/>
  <c r="DR65" i="82"/>
  <c r="DQ65" i="82"/>
  <c r="DP65" i="82"/>
  <c r="DO65" i="82"/>
  <c r="DN65" i="82"/>
  <c r="DM65" i="82"/>
  <c r="DL65" i="82"/>
  <c r="DK65" i="82"/>
  <c r="DJ65" i="82"/>
  <c r="DI65" i="82"/>
  <c r="DH65" i="82"/>
  <c r="DG65" i="82"/>
  <c r="DF65" i="82"/>
  <c r="DE65" i="82"/>
  <c r="DD65" i="82"/>
  <c r="DC65" i="82"/>
  <c r="DB65" i="82"/>
  <c r="DA65" i="82"/>
  <c r="CZ65" i="82"/>
  <c r="CY65" i="82"/>
  <c r="CX65" i="82"/>
  <c r="CW65" i="82"/>
  <c r="CV65" i="82"/>
  <c r="CU65" i="82"/>
  <c r="CT65" i="82"/>
  <c r="CS65" i="82"/>
  <c r="CR65" i="82"/>
  <c r="CQ65" i="82"/>
  <c r="CP65" i="82"/>
  <c r="CO65" i="82"/>
  <c r="CN65" i="82"/>
  <c r="CM65" i="82"/>
  <c r="CL65" i="82"/>
  <c r="CK65" i="82"/>
  <c r="CJ65" i="82"/>
  <c r="CI65" i="82"/>
  <c r="CH65" i="82"/>
  <c r="CG65" i="82"/>
  <c r="CF65" i="82"/>
  <c r="CE65" i="82"/>
  <c r="CD65" i="82"/>
  <c r="CC65" i="82"/>
  <c r="CB65" i="82"/>
  <c r="CA65" i="82"/>
  <c r="BZ65" i="82"/>
  <c r="BY65" i="82"/>
  <c r="BX65" i="82"/>
  <c r="BW65" i="82"/>
  <c r="BV65" i="82"/>
  <c r="BU65" i="82"/>
  <c r="BT65" i="82"/>
  <c r="BS65" i="82"/>
  <c r="BR65" i="82"/>
  <c r="BQ65" i="82"/>
  <c r="BP65" i="82"/>
  <c r="BO65" i="82"/>
  <c r="BN65" i="82"/>
  <c r="BM65" i="82"/>
  <c r="BL65" i="82"/>
  <c r="BK65" i="82"/>
  <c r="BJ65" i="82"/>
  <c r="BG65" i="82"/>
  <c r="BF65" i="82"/>
  <c r="BE65" i="82"/>
  <c r="BD65" i="82"/>
  <c r="BC65" i="82"/>
  <c r="AZ65" i="82"/>
  <c r="AY65" i="82"/>
  <c r="AX65" i="82"/>
  <c r="AW65" i="82"/>
  <c r="AV65" i="82"/>
  <c r="AT65" i="82"/>
  <c r="AS65" i="82"/>
  <c r="AR65" i="82"/>
  <c r="AQ65" i="82"/>
  <c r="AP65" i="82"/>
  <c r="AO65" i="82"/>
  <c r="AL65" i="82"/>
  <c r="AK65" i="82"/>
  <c r="AJ65" i="82"/>
  <c r="AI65" i="82"/>
  <c r="AH65" i="82"/>
  <c r="AE65" i="82"/>
  <c r="AD65" i="82"/>
  <c r="AC65" i="82"/>
  <c r="AB65" i="82"/>
  <c r="AA65" i="82"/>
  <c r="X65" i="82"/>
  <c r="W65" i="82"/>
  <c r="V65" i="82"/>
  <c r="U65" i="82"/>
  <c r="T65" i="82"/>
  <c r="S65" i="82"/>
  <c r="Q65" i="82"/>
  <c r="P65" i="82"/>
  <c r="O65" i="82"/>
  <c r="N65" i="82"/>
  <c r="M65" i="82"/>
  <c r="J65" i="82"/>
  <c r="I65" i="82"/>
  <c r="H65" i="82"/>
  <c r="G65" i="82"/>
  <c r="F65" i="82"/>
  <c r="B65" i="82"/>
  <c r="A65" i="82"/>
  <c r="IU64" i="82"/>
  <c r="IT64" i="82"/>
  <c r="IS64" i="82"/>
  <c r="IR64" i="82"/>
  <c r="IQ64" i="82"/>
  <c r="IP64" i="82"/>
  <c r="IO64" i="82"/>
  <c r="IN64" i="82"/>
  <c r="IM64" i="82"/>
  <c r="IL64" i="82"/>
  <c r="IK64" i="82"/>
  <c r="IJ64" i="82"/>
  <c r="II64" i="82"/>
  <c r="IH64" i="82"/>
  <c r="IG64" i="82"/>
  <c r="IF64" i="82"/>
  <c r="IE64" i="82"/>
  <c r="ID64" i="82"/>
  <c r="IC64" i="82"/>
  <c r="IB64" i="82"/>
  <c r="IA64" i="82"/>
  <c r="HZ64" i="82"/>
  <c r="HY64" i="82"/>
  <c r="HX64" i="82"/>
  <c r="HW64" i="82"/>
  <c r="HV64" i="82"/>
  <c r="HU64" i="82"/>
  <c r="HT64" i="82"/>
  <c r="HS64" i="82"/>
  <c r="HR64" i="82"/>
  <c r="HQ64" i="82"/>
  <c r="HP64" i="82"/>
  <c r="HO64" i="82"/>
  <c r="HN64" i="82"/>
  <c r="HM64" i="82"/>
  <c r="HL64" i="82"/>
  <c r="HK64" i="82"/>
  <c r="HJ64" i="82"/>
  <c r="HI64" i="82"/>
  <c r="HH64" i="82"/>
  <c r="HG64" i="82"/>
  <c r="HF64" i="82"/>
  <c r="HE64" i="82"/>
  <c r="HD64" i="82"/>
  <c r="HC64" i="82"/>
  <c r="HB64" i="82"/>
  <c r="HA64" i="82"/>
  <c r="GZ64" i="82"/>
  <c r="GY64" i="82"/>
  <c r="GX64" i="82"/>
  <c r="GW64" i="82"/>
  <c r="GV64" i="82"/>
  <c r="GU64" i="82"/>
  <c r="GT64" i="82"/>
  <c r="GS64" i="82"/>
  <c r="GR64" i="82"/>
  <c r="GQ64" i="82"/>
  <c r="GP64" i="82"/>
  <c r="GO64" i="82"/>
  <c r="GN64" i="82"/>
  <c r="GM64" i="82"/>
  <c r="GL64" i="82"/>
  <c r="GK64" i="82"/>
  <c r="GJ64" i="82"/>
  <c r="GI64" i="82"/>
  <c r="GH64" i="82"/>
  <c r="GG64" i="82"/>
  <c r="GF64" i="82"/>
  <c r="GE64" i="82"/>
  <c r="GD64" i="82"/>
  <c r="GC64" i="82"/>
  <c r="GB64" i="82"/>
  <c r="GA64" i="82"/>
  <c r="FZ64" i="82"/>
  <c r="FY64" i="82"/>
  <c r="FX64" i="82"/>
  <c r="FW64" i="82"/>
  <c r="FV64" i="82"/>
  <c r="FU64" i="82"/>
  <c r="FT64" i="82"/>
  <c r="FS64" i="82"/>
  <c r="FR64" i="82"/>
  <c r="FQ64" i="82"/>
  <c r="FP64" i="82"/>
  <c r="FO64" i="82"/>
  <c r="FN64" i="82"/>
  <c r="FM64" i="82"/>
  <c r="FL64" i="82"/>
  <c r="FK64" i="82"/>
  <c r="FJ64" i="82"/>
  <c r="FI64" i="82"/>
  <c r="FH64" i="82"/>
  <c r="FG64" i="82"/>
  <c r="FF64" i="82"/>
  <c r="FE64" i="82"/>
  <c r="FD64" i="82"/>
  <c r="FC64" i="82"/>
  <c r="FB64" i="82"/>
  <c r="FA64" i="82"/>
  <c r="EZ64" i="82"/>
  <c r="EY64" i="82"/>
  <c r="EX64" i="82"/>
  <c r="EW64" i="82"/>
  <c r="EV64" i="82"/>
  <c r="EU64" i="82"/>
  <c r="ET64" i="82"/>
  <c r="ES64" i="82"/>
  <c r="ER64" i="82"/>
  <c r="EQ64" i="82"/>
  <c r="EP64" i="82"/>
  <c r="EO64" i="82"/>
  <c r="EN64" i="82"/>
  <c r="EM64" i="82"/>
  <c r="EL64" i="82"/>
  <c r="EK64" i="82"/>
  <c r="EJ64" i="82"/>
  <c r="EI64" i="82"/>
  <c r="EH64" i="82"/>
  <c r="EG64" i="82"/>
  <c r="EF64" i="82"/>
  <c r="EE64" i="82"/>
  <c r="ED64" i="82"/>
  <c r="EC64" i="82"/>
  <c r="EB64" i="82"/>
  <c r="EA64" i="82"/>
  <c r="DZ64" i="82"/>
  <c r="DY64" i="82"/>
  <c r="DX64" i="82"/>
  <c r="DW64" i="82"/>
  <c r="DV64" i="82"/>
  <c r="DU64" i="82"/>
  <c r="DT64" i="82"/>
  <c r="DS64" i="82"/>
  <c r="DR64" i="82"/>
  <c r="DQ64" i="82"/>
  <c r="DP64" i="82"/>
  <c r="DO64" i="82"/>
  <c r="DN64" i="82"/>
  <c r="DM64" i="82"/>
  <c r="DL64" i="82"/>
  <c r="DK64" i="82"/>
  <c r="DJ64" i="82"/>
  <c r="DI64" i="82"/>
  <c r="DH64" i="82"/>
  <c r="DG64" i="82"/>
  <c r="DF64" i="82"/>
  <c r="DE64" i="82"/>
  <c r="DD64" i="82"/>
  <c r="DC64" i="82"/>
  <c r="DB64" i="82"/>
  <c r="DA64" i="82"/>
  <c r="CZ64" i="82"/>
  <c r="CY64" i="82"/>
  <c r="CX64" i="82"/>
  <c r="CW64" i="82"/>
  <c r="CV64" i="82"/>
  <c r="CU64" i="82"/>
  <c r="CT64" i="82"/>
  <c r="CS64" i="82"/>
  <c r="CR64" i="82"/>
  <c r="CQ64" i="82"/>
  <c r="CP64" i="82"/>
  <c r="CO64" i="82"/>
  <c r="CN64" i="82"/>
  <c r="CM64" i="82"/>
  <c r="CL64" i="82"/>
  <c r="CK64" i="82"/>
  <c r="CJ64" i="82"/>
  <c r="CI64" i="82"/>
  <c r="CH64" i="82"/>
  <c r="CG64" i="82"/>
  <c r="CF64" i="82"/>
  <c r="CE64" i="82"/>
  <c r="CD64" i="82"/>
  <c r="CC64" i="82"/>
  <c r="CB64" i="82"/>
  <c r="CA64" i="82"/>
  <c r="BZ64" i="82"/>
  <c r="BY64" i="82"/>
  <c r="BX64" i="82"/>
  <c r="BW64" i="82"/>
  <c r="BV64" i="82"/>
  <c r="BU64" i="82"/>
  <c r="BT64" i="82"/>
  <c r="BS64" i="82"/>
  <c r="BR64" i="82"/>
  <c r="BQ64" i="82"/>
  <c r="BP64" i="82"/>
  <c r="BO64" i="82"/>
  <c r="BN64" i="82"/>
  <c r="BM64" i="82"/>
  <c r="BL64" i="82"/>
  <c r="BK64" i="82"/>
  <c r="BJ64" i="82"/>
  <c r="BH64" i="82"/>
  <c r="BG64" i="82"/>
  <c r="BF64" i="82"/>
  <c r="BE64" i="82"/>
  <c r="BD64" i="82"/>
  <c r="BC64" i="82"/>
  <c r="AZ64" i="82"/>
  <c r="AY64" i="82"/>
  <c r="AX64" i="82"/>
  <c r="AW64" i="82"/>
  <c r="AV64" i="82"/>
  <c r="AS64" i="82"/>
  <c r="AR64" i="82"/>
  <c r="AQ64" i="82"/>
  <c r="AP64" i="82"/>
  <c r="AO64" i="82"/>
  <c r="AL64" i="82"/>
  <c r="AK64" i="82"/>
  <c r="AJ64" i="82"/>
  <c r="AI64" i="82"/>
  <c r="AH64" i="82"/>
  <c r="AE64" i="82"/>
  <c r="AD64" i="82"/>
  <c r="AC64" i="82"/>
  <c r="AB64" i="82"/>
  <c r="AA64" i="82"/>
  <c r="X64" i="82"/>
  <c r="W64" i="82"/>
  <c r="V64" i="82"/>
  <c r="U64" i="82"/>
  <c r="T64" i="82"/>
  <c r="Q64" i="82"/>
  <c r="P64" i="82"/>
  <c r="O64" i="82"/>
  <c r="N64" i="82"/>
  <c r="M64" i="82"/>
  <c r="J64" i="82"/>
  <c r="I64" i="82"/>
  <c r="H64" i="82"/>
  <c r="G64" i="82"/>
  <c r="F64" i="82"/>
  <c r="B64" i="82"/>
  <c r="A64" i="82"/>
  <c r="IU63" i="82"/>
  <c r="IT63" i="82"/>
  <c r="IS63" i="82"/>
  <c r="IR63" i="82"/>
  <c r="IQ63" i="82"/>
  <c r="IP63" i="82"/>
  <c r="IO63" i="82"/>
  <c r="IN63" i="82"/>
  <c r="IM63" i="82"/>
  <c r="IL63" i="82"/>
  <c r="IK63" i="82"/>
  <c r="IJ63" i="82"/>
  <c r="II63" i="82"/>
  <c r="IH63" i="82"/>
  <c r="IG63" i="82"/>
  <c r="IF63" i="82"/>
  <c r="IE63" i="82"/>
  <c r="ID63" i="82"/>
  <c r="IC63" i="82"/>
  <c r="IB63" i="82"/>
  <c r="IA63" i="82"/>
  <c r="HZ63" i="82"/>
  <c r="HY63" i="82"/>
  <c r="HX63" i="82"/>
  <c r="HW63" i="82"/>
  <c r="HV63" i="82"/>
  <c r="HU63" i="82"/>
  <c r="HT63" i="82"/>
  <c r="HS63" i="82"/>
  <c r="HR63" i="82"/>
  <c r="HQ63" i="82"/>
  <c r="HP63" i="82"/>
  <c r="HO63" i="82"/>
  <c r="HN63" i="82"/>
  <c r="HM63" i="82"/>
  <c r="HL63" i="82"/>
  <c r="HK63" i="82"/>
  <c r="HJ63" i="82"/>
  <c r="HI63" i="82"/>
  <c r="HH63" i="82"/>
  <c r="HG63" i="82"/>
  <c r="HF63" i="82"/>
  <c r="HE63" i="82"/>
  <c r="HD63" i="82"/>
  <c r="HC63" i="82"/>
  <c r="HB63" i="82"/>
  <c r="HA63" i="82"/>
  <c r="GZ63" i="82"/>
  <c r="GY63" i="82"/>
  <c r="GX63" i="82"/>
  <c r="GW63" i="82"/>
  <c r="GV63" i="82"/>
  <c r="GU63" i="82"/>
  <c r="GT63" i="82"/>
  <c r="GS63" i="82"/>
  <c r="GR63" i="82"/>
  <c r="GQ63" i="82"/>
  <c r="GP63" i="82"/>
  <c r="GO63" i="82"/>
  <c r="GN63" i="82"/>
  <c r="GM63" i="82"/>
  <c r="GL63" i="82"/>
  <c r="GK63" i="82"/>
  <c r="GJ63" i="82"/>
  <c r="GI63" i="82"/>
  <c r="GH63" i="82"/>
  <c r="GG63" i="82"/>
  <c r="GF63" i="82"/>
  <c r="GE63" i="82"/>
  <c r="GD63" i="82"/>
  <c r="GC63" i="82"/>
  <c r="GB63" i="82"/>
  <c r="GA63" i="82"/>
  <c r="FZ63" i="82"/>
  <c r="FY63" i="82"/>
  <c r="FX63" i="82"/>
  <c r="FW63" i="82"/>
  <c r="FV63" i="82"/>
  <c r="FU63" i="82"/>
  <c r="FT63" i="82"/>
  <c r="FS63" i="82"/>
  <c r="FR63" i="82"/>
  <c r="FQ63" i="82"/>
  <c r="FP63" i="82"/>
  <c r="FO63" i="82"/>
  <c r="FN63" i="82"/>
  <c r="FM63" i="82"/>
  <c r="FL63" i="82"/>
  <c r="FK63" i="82"/>
  <c r="FJ63" i="82"/>
  <c r="FI63" i="82"/>
  <c r="FH63" i="82"/>
  <c r="FG63" i="82"/>
  <c r="FF63" i="82"/>
  <c r="FE63" i="82"/>
  <c r="FD63" i="82"/>
  <c r="FC63" i="82"/>
  <c r="FB63" i="82"/>
  <c r="FA63" i="82"/>
  <c r="EZ63" i="82"/>
  <c r="EY63" i="82"/>
  <c r="EX63" i="82"/>
  <c r="EW63" i="82"/>
  <c r="EV63" i="82"/>
  <c r="EU63" i="82"/>
  <c r="ET63" i="82"/>
  <c r="ES63" i="82"/>
  <c r="ER63" i="82"/>
  <c r="EQ63" i="82"/>
  <c r="EP63" i="82"/>
  <c r="EO63" i="82"/>
  <c r="EN63" i="82"/>
  <c r="EM63" i="82"/>
  <c r="EL63" i="82"/>
  <c r="EK63" i="82"/>
  <c r="EJ63" i="82"/>
  <c r="EI63" i="82"/>
  <c r="EH63" i="82"/>
  <c r="EG63" i="82"/>
  <c r="EF63" i="82"/>
  <c r="EE63" i="82"/>
  <c r="ED63" i="82"/>
  <c r="EC63" i="82"/>
  <c r="EB63" i="82"/>
  <c r="EA63" i="82"/>
  <c r="DZ63" i="82"/>
  <c r="DY63" i="82"/>
  <c r="DX63" i="82"/>
  <c r="DW63" i="82"/>
  <c r="DV63" i="82"/>
  <c r="DU63" i="82"/>
  <c r="DT63" i="82"/>
  <c r="DS63" i="82"/>
  <c r="DR63" i="82"/>
  <c r="DQ63" i="82"/>
  <c r="DP63" i="82"/>
  <c r="DO63" i="82"/>
  <c r="DN63" i="82"/>
  <c r="DM63" i="82"/>
  <c r="DL63" i="82"/>
  <c r="DK63" i="82"/>
  <c r="DJ63" i="82"/>
  <c r="DI63" i="82"/>
  <c r="DH63" i="82"/>
  <c r="DG63" i="82"/>
  <c r="DF63" i="82"/>
  <c r="DE63" i="82"/>
  <c r="DD63" i="82"/>
  <c r="DC63" i="82"/>
  <c r="DB63" i="82"/>
  <c r="DA63" i="82"/>
  <c r="CZ63" i="82"/>
  <c r="CY63" i="82"/>
  <c r="CX63" i="82"/>
  <c r="CW63" i="82"/>
  <c r="CV63" i="82"/>
  <c r="CU63" i="82"/>
  <c r="CT63" i="82"/>
  <c r="CS63" i="82"/>
  <c r="CR63" i="82"/>
  <c r="CQ63" i="82"/>
  <c r="CP63" i="82"/>
  <c r="CO63" i="82"/>
  <c r="CN63" i="82"/>
  <c r="CM63" i="82"/>
  <c r="CL63" i="82"/>
  <c r="CK63" i="82"/>
  <c r="CJ63" i="82"/>
  <c r="CI63" i="82"/>
  <c r="CH63" i="82"/>
  <c r="CG63" i="82"/>
  <c r="CF63" i="82"/>
  <c r="CE63" i="82"/>
  <c r="CD63" i="82"/>
  <c r="CC63" i="82"/>
  <c r="CB63" i="82"/>
  <c r="CA63" i="82"/>
  <c r="BZ63" i="82"/>
  <c r="BY63" i="82"/>
  <c r="BX63" i="82"/>
  <c r="BW63" i="82"/>
  <c r="BV63" i="82"/>
  <c r="BU63" i="82"/>
  <c r="BT63" i="82"/>
  <c r="BS63" i="82"/>
  <c r="BR63" i="82"/>
  <c r="BQ63" i="82"/>
  <c r="BP63" i="82"/>
  <c r="BO63" i="82"/>
  <c r="BN63" i="82"/>
  <c r="BM63" i="82"/>
  <c r="BL63" i="82"/>
  <c r="BK63" i="82"/>
  <c r="BJ63" i="82"/>
  <c r="BG63" i="82"/>
  <c r="BF63" i="82"/>
  <c r="BE63" i="82"/>
  <c r="BD63" i="82"/>
  <c r="BC63" i="82"/>
  <c r="AZ63" i="82"/>
  <c r="AY63" i="82"/>
  <c r="AX63" i="82"/>
  <c r="AW63" i="82"/>
  <c r="AV63" i="82"/>
  <c r="AU63" i="82"/>
  <c r="AS63" i="82"/>
  <c r="AR63" i="82"/>
  <c r="AQ63" i="82"/>
  <c r="AP63" i="82"/>
  <c r="AO63" i="82"/>
  <c r="AL63" i="82"/>
  <c r="AK63" i="82"/>
  <c r="AJ63" i="82"/>
  <c r="AI63" i="82"/>
  <c r="AH63" i="82"/>
  <c r="AE63" i="82"/>
  <c r="AD63" i="82"/>
  <c r="AC63" i="82"/>
  <c r="AB63" i="82"/>
  <c r="AA63" i="82"/>
  <c r="Z63" i="82"/>
  <c r="X63" i="82"/>
  <c r="W63" i="82"/>
  <c r="V63" i="82"/>
  <c r="U63" i="82"/>
  <c r="T63" i="82"/>
  <c r="Q63" i="82"/>
  <c r="P63" i="82"/>
  <c r="O63" i="82"/>
  <c r="N63" i="82"/>
  <c r="M63" i="82"/>
  <c r="K63" i="82"/>
  <c r="J63" i="82"/>
  <c r="I63" i="82"/>
  <c r="H63" i="82"/>
  <c r="G63" i="82"/>
  <c r="F63" i="82"/>
  <c r="B63" i="82"/>
  <c r="A63" i="82"/>
  <c r="EU53" i="82" s="1"/>
  <c r="IU62" i="82"/>
  <c r="IT62" i="82"/>
  <c r="IS62" i="82"/>
  <c r="IR62" i="82"/>
  <c r="IQ62" i="82"/>
  <c r="IP62" i="82"/>
  <c r="IO62" i="82"/>
  <c r="IN62" i="82"/>
  <c r="IM62" i="82"/>
  <c r="IL62" i="82"/>
  <c r="IK62" i="82"/>
  <c r="IJ62" i="82"/>
  <c r="II62" i="82"/>
  <c r="IH62" i="82"/>
  <c r="IG62" i="82"/>
  <c r="IF62" i="82"/>
  <c r="IE62" i="82"/>
  <c r="ID62" i="82"/>
  <c r="IC62" i="82"/>
  <c r="IB62" i="82"/>
  <c r="IA62" i="82"/>
  <c r="HZ62" i="82"/>
  <c r="HY62" i="82"/>
  <c r="HX62" i="82"/>
  <c r="HW62" i="82"/>
  <c r="HV62" i="82"/>
  <c r="HU62" i="82"/>
  <c r="HT62" i="82"/>
  <c r="HS62" i="82"/>
  <c r="HR62" i="82"/>
  <c r="HQ62" i="82"/>
  <c r="HP62" i="82"/>
  <c r="HO62" i="82"/>
  <c r="HN62" i="82"/>
  <c r="HM62" i="82"/>
  <c r="HL62" i="82"/>
  <c r="HK62" i="82"/>
  <c r="HJ62" i="82"/>
  <c r="HI62" i="82"/>
  <c r="HH62" i="82"/>
  <c r="HG62" i="82"/>
  <c r="HF62" i="82"/>
  <c r="HE62" i="82"/>
  <c r="HD62" i="82"/>
  <c r="HC62" i="82"/>
  <c r="HB62" i="82"/>
  <c r="HA62" i="82"/>
  <c r="GZ62" i="82"/>
  <c r="GY62" i="82"/>
  <c r="GX62" i="82"/>
  <c r="GW62" i="82"/>
  <c r="GV62" i="82"/>
  <c r="GU62" i="82"/>
  <c r="GT62" i="82"/>
  <c r="GS62" i="82"/>
  <c r="GR62" i="82"/>
  <c r="GQ62" i="82"/>
  <c r="GP62" i="82"/>
  <c r="GO62" i="82"/>
  <c r="GN62" i="82"/>
  <c r="GM62" i="82"/>
  <c r="GL62" i="82"/>
  <c r="GK62" i="82"/>
  <c r="GJ62" i="82"/>
  <c r="GI62" i="82"/>
  <c r="GH62" i="82"/>
  <c r="GG62" i="82"/>
  <c r="GF62" i="82"/>
  <c r="GE62" i="82"/>
  <c r="GD62" i="82"/>
  <c r="GC62" i="82"/>
  <c r="GB62" i="82"/>
  <c r="GA62" i="82"/>
  <c r="FZ62" i="82"/>
  <c r="FY62" i="82"/>
  <c r="FX62" i="82"/>
  <c r="FW62" i="82"/>
  <c r="FV62" i="82"/>
  <c r="FU62" i="82"/>
  <c r="FT62" i="82"/>
  <c r="FS62" i="82"/>
  <c r="FR62" i="82"/>
  <c r="FQ62" i="82"/>
  <c r="FP62" i="82"/>
  <c r="FO62" i="82"/>
  <c r="FN62" i="82"/>
  <c r="FM62" i="82"/>
  <c r="FL62" i="82"/>
  <c r="FK62" i="82"/>
  <c r="FJ62" i="82"/>
  <c r="FI62" i="82"/>
  <c r="FH62" i="82"/>
  <c r="FG62" i="82"/>
  <c r="FF62" i="82"/>
  <c r="FE62" i="82"/>
  <c r="FD62" i="82"/>
  <c r="FC62" i="82"/>
  <c r="FB62" i="82"/>
  <c r="FA62" i="82"/>
  <c r="EZ62" i="82"/>
  <c r="EY62" i="82"/>
  <c r="EX62" i="82"/>
  <c r="EW62" i="82"/>
  <c r="EV62" i="82"/>
  <c r="EU62" i="82"/>
  <c r="ET62" i="82"/>
  <c r="ES62" i="82"/>
  <c r="ER62" i="82"/>
  <c r="EQ62" i="82"/>
  <c r="EP62" i="82"/>
  <c r="EO62" i="82"/>
  <c r="EN62" i="82"/>
  <c r="EM62" i="82"/>
  <c r="EL62" i="82"/>
  <c r="EK62" i="82"/>
  <c r="EJ62" i="82"/>
  <c r="EI62" i="82"/>
  <c r="EH62" i="82"/>
  <c r="EG62" i="82"/>
  <c r="EF62" i="82"/>
  <c r="EE62" i="82"/>
  <c r="ED62" i="82"/>
  <c r="EC62" i="82"/>
  <c r="EB62" i="82"/>
  <c r="EA62" i="82"/>
  <c r="DZ62" i="82"/>
  <c r="DY62" i="82"/>
  <c r="DX62" i="82"/>
  <c r="DW62" i="82"/>
  <c r="DV62" i="82"/>
  <c r="DU62" i="82"/>
  <c r="DT62" i="82"/>
  <c r="DS62" i="82"/>
  <c r="DR62" i="82"/>
  <c r="DQ62" i="82"/>
  <c r="DP62" i="82"/>
  <c r="DO62" i="82"/>
  <c r="DN62" i="82"/>
  <c r="DM62" i="82"/>
  <c r="DL62" i="82"/>
  <c r="DK62" i="82"/>
  <c r="DJ62" i="82"/>
  <c r="DI62" i="82"/>
  <c r="DH62" i="82"/>
  <c r="DG62" i="82"/>
  <c r="DF62" i="82"/>
  <c r="DE62" i="82"/>
  <c r="DD62" i="82"/>
  <c r="DC62" i="82"/>
  <c r="DB62" i="82"/>
  <c r="DA62" i="82"/>
  <c r="CZ62" i="82"/>
  <c r="CY62" i="82"/>
  <c r="CX62" i="82"/>
  <c r="CW62" i="82"/>
  <c r="CV62" i="82"/>
  <c r="CU62" i="82"/>
  <c r="CT62" i="82"/>
  <c r="CS62" i="82"/>
  <c r="CR62" i="82"/>
  <c r="CQ62" i="82"/>
  <c r="CP62" i="82"/>
  <c r="CO62" i="82"/>
  <c r="CN62" i="82"/>
  <c r="CM62" i="82"/>
  <c r="CL62" i="82"/>
  <c r="CK62" i="82"/>
  <c r="CJ62" i="82"/>
  <c r="CI62" i="82"/>
  <c r="CH62" i="82"/>
  <c r="CG62" i="82"/>
  <c r="CF62" i="82"/>
  <c r="CE62" i="82"/>
  <c r="CD62" i="82"/>
  <c r="CC62" i="82"/>
  <c r="CB62" i="82"/>
  <c r="CA62" i="82"/>
  <c r="BZ62" i="82"/>
  <c r="BY62" i="82"/>
  <c r="BX62" i="82"/>
  <c r="BW62" i="82"/>
  <c r="BV62" i="82"/>
  <c r="BU62" i="82"/>
  <c r="BT62" i="82"/>
  <c r="BS62" i="82"/>
  <c r="BR62" i="82"/>
  <c r="BQ62" i="82"/>
  <c r="BP62" i="82"/>
  <c r="BO62" i="82"/>
  <c r="BN62" i="82"/>
  <c r="BM62" i="82"/>
  <c r="BL62" i="82"/>
  <c r="BK62" i="82"/>
  <c r="BJ62" i="82"/>
  <c r="BI62" i="82"/>
  <c r="BG62" i="82"/>
  <c r="BF62" i="82"/>
  <c r="BE62" i="82"/>
  <c r="BD62" i="82"/>
  <c r="BC62" i="82"/>
  <c r="AZ62" i="82"/>
  <c r="AY62" i="82"/>
  <c r="AX62" i="82"/>
  <c r="AW62" i="82"/>
  <c r="AV62" i="82"/>
  <c r="AS62" i="82"/>
  <c r="AR62" i="82"/>
  <c r="AQ62" i="82"/>
  <c r="AP62" i="82"/>
  <c r="AO62" i="82"/>
  <c r="AN62" i="82"/>
  <c r="AL62" i="82"/>
  <c r="AK62" i="82"/>
  <c r="AJ62" i="82"/>
  <c r="AI62" i="82"/>
  <c r="AH62" i="82"/>
  <c r="AE62" i="82"/>
  <c r="AD62" i="82"/>
  <c r="AC62" i="82"/>
  <c r="AB62" i="82"/>
  <c r="AA62" i="82"/>
  <c r="Y62" i="82"/>
  <c r="X62" i="82"/>
  <c r="W62" i="82"/>
  <c r="V62" i="82"/>
  <c r="U62" i="82"/>
  <c r="T62" i="82"/>
  <c r="Q62" i="82"/>
  <c r="P62" i="82"/>
  <c r="O62" i="82"/>
  <c r="N62" i="82"/>
  <c r="M62" i="82"/>
  <c r="J62" i="82"/>
  <c r="I62" i="82"/>
  <c r="H62" i="82"/>
  <c r="G62" i="82"/>
  <c r="F62" i="82"/>
  <c r="D62" i="82"/>
  <c r="B62" i="82"/>
  <c r="A62" i="82"/>
  <c r="IU61" i="82"/>
  <c r="IT61" i="82"/>
  <c r="IS61" i="82"/>
  <c r="IR61" i="82"/>
  <c r="IQ61" i="82"/>
  <c r="IP61" i="82"/>
  <c r="IO61" i="82"/>
  <c r="IN61" i="82"/>
  <c r="IM61" i="82"/>
  <c r="IL61" i="82"/>
  <c r="IK61" i="82"/>
  <c r="IJ61" i="82"/>
  <c r="II61" i="82"/>
  <c r="IH61" i="82"/>
  <c r="IG61" i="82"/>
  <c r="IF61" i="82"/>
  <c r="IE61" i="82"/>
  <c r="ID61" i="82"/>
  <c r="IC61" i="82"/>
  <c r="IB61" i="82"/>
  <c r="IA61" i="82"/>
  <c r="HZ61" i="82"/>
  <c r="HY61" i="82"/>
  <c r="HX61" i="82"/>
  <c r="HW61" i="82"/>
  <c r="HV61" i="82"/>
  <c r="HU61" i="82"/>
  <c r="HT61" i="82"/>
  <c r="HS61" i="82"/>
  <c r="HR61" i="82"/>
  <c r="HQ61" i="82"/>
  <c r="HP61" i="82"/>
  <c r="HO61" i="82"/>
  <c r="HN61" i="82"/>
  <c r="HM61" i="82"/>
  <c r="HL61" i="82"/>
  <c r="HK61" i="82"/>
  <c r="HJ61" i="82"/>
  <c r="HI61" i="82"/>
  <c r="HH61" i="82"/>
  <c r="HG61" i="82"/>
  <c r="HF61" i="82"/>
  <c r="HE61" i="82"/>
  <c r="HD61" i="82"/>
  <c r="HC61" i="82"/>
  <c r="HB61" i="82"/>
  <c r="HA61" i="82"/>
  <c r="GZ61" i="82"/>
  <c r="GY61" i="82"/>
  <c r="GX61" i="82"/>
  <c r="GW61" i="82"/>
  <c r="GV61" i="82"/>
  <c r="GU61" i="82"/>
  <c r="GT61" i="82"/>
  <c r="GS61" i="82"/>
  <c r="GR61" i="82"/>
  <c r="GQ61" i="82"/>
  <c r="GP61" i="82"/>
  <c r="GO61" i="82"/>
  <c r="GN61" i="82"/>
  <c r="GM61" i="82"/>
  <c r="GL61" i="82"/>
  <c r="GK61" i="82"/>
  <c r="GJ61" i="82"/>
  <c r="GI61" i="82"/>
  <c r="GH61" i="82"/>
  <c r="GG61" i="82"/>
  <c r="GF61" i="82"/>
  <c r="GE61" i="82"/>
  <c r="GD61" i="82"/>
  <c r="GC61" i="82"/>
  <c r="GB61" i="82"/>
  <c r="GA61" i="82"/>
  <c r="FZ61" i="82"/>
  <c r="FY61" i="82"/>
  <c r="FX61" i="82"/>
  <c r="FW61" i="82"/>
  <c r="FV61" i="82"/>
  <c r="FU61" i="82"/>
  <c r="FT61" i="82"/>
  <c r="FS61" i="82"/>
  <c r="FR61" i="82"/>
  <c r="FQ61" i="82"/>
  <c r="FP61" i="82"/>
  <c r="FO61" i="82"/>
  <c r="FN61" i="82"/>
  <c r="FM61" i="82"/>
  <c r="FL61" i="82"/>
  <c r="FK61" i="82"/>
  <c r="FJ61" i="82"/>
  <c r="FI61" i="82"/>
  <c r="FH61" i="82"/>
  <c r="FG61" i="82"/>
  <c r="FF61" i="82"/>
  <c r="FE61" i="82"/>
  <c r="FD61" i="82"/>
  <c r="FC61" i="82"/>
  <c r="FB61" i="82"/>
  <c r="FA61" i="82"/>
  <c r="EZ61" i="82"/>
  <c r="EY61" i="82"/>
  <c r="EX61" i="82"/>
  <c r="EW61" i="82"/>
  <c r="EV61" i="82"/>
  <c r="EU61" i="82"/>
  <c r="ET61" i="82"/>
  <c r="ES61" i="82"/>
  <c r="ER61" i="82"/>
  <c r="EQ61" i="82"/>
  <c r="EP61" i="82"/>
  <c r="EO61" i="82"/>
  <c r="EN61" i="82"/>
  <c r="EM61" i="82"/>
  <c r="EL61" i="82"/>
  <c r="EK61" i="82"/>
  <c r="EJ61" i="82"/>
  <c r="EI61" i="82"/>
  <c r="EH61" i="82"/>
  <c r="EG61" i="82"/>
  <c r="EF61" i="82"/>
  <c r="EE61" i="82"/>
  <c r="ED61" i="82"/>
  <c r="EC61" i="82"/>
  <c r="EB61" i="82"/>
  <c r="EA61" i="82"/>
  <c r="DZ61" i="82"/>
  <c r="DY61" i="82"/>
  <c r="DX61" i="82"/>
  <c r="DW61" i="82"/>
  <c r="DV61" i="82"/>
  <c r="DU61" i="82"/>
  <c r="DT61" i="82"/>
  <c r="DS61" i="82"/>
  <c r="DR61" i="82"/>
  <c r="DQ61" i="82"/>
  <c r="DP61" i="82"/>
  <c r="DO61" i="82"/>
  <c r="DN61" i="82"/>
  <c r="DM61" i="82"/>
  <c r="DL61" i="82"/>
  <c r="DK61" i="82"/>
  <c r="DJ61" i="82"/>
  <c r="DI61" i="82"/>
  <c r="DH61" i="82"/>
  <c r="DG61" i="82"/>
  <c r="DF61" i="82"/>
  <c r="DE61" i="82"/>
  <c r="DD61" i="82"/>
  <c r="DC61" i="82"/>
  <c r="DB61" i="82"/>
  <c r="DA61" i="82"/>
  <c r="CZ61" i="82"/>
  <c r="CY61" i="82"/>
  <c r="CX61" i="82"/>
  <c r="CW61" i="82"/>
  <c r="CV61" i="82"/>
  <c r="CU61" i="82"/>
  <c r="CT61" i="82"/>
  <c r="CS61" i="82"/>
  <c r="CR61" i="82"/>
  <c r="CQ61" i="82"/>
  <c r="CP61" i="82"/>
  <c r="CO61" i="82"/>
  <c r="CN61" i="82"/>
  <c r="CM61" i="82"/>
  <c r="CL61" i="82"/>
  <c r="CK61" i="82"/>
  <c r="CJ61" i="82"/>
  <c r="CI61" i="82"/>
  <c r="CH61" i="82"/>
  <c r="CG61" i="82"/>
  <c r="CF61" i="82"/>
  <c r="CE61" i="82"/>
  <c r="CD61" i="82"/>
  <c r="CC61" i="82"/>
  <c r="CB61" i="82"/>
  <c r="CA61" i="82"/>
  <c r="BZ61" i="82"/>
  <c r="BY61" i="82"/>
  <c r="BX61" i="82"/>
  <c r="BW61" i="82"/>
  <c r="BV61" i="82"/>
  <c r="BU61" i="82"/>
  <c r="BT61" i="82"/>
  <c r="BS61" i="82"/>
  <c r="BR61" i="82"/>
  <c r="BQ61" i="82"/>
  <c r="BP61" i="82"/>
  <c r="BO61" i="82"/>
  <c r="BN61" i="82"/>
  <c r="BM61" i="82"/>
  <c r="BL61" i="82"/>
  <c r="BK61" i="82"/>
  <c r="BJ61" i="82"/>
  <c r="BG61" i="82"/>
  <c r="BF61" i="82"/>
  <c r="BE61" i="82"/>
  <c r="BD61" i="82"/>
  <c r="BC61" i="82"/>
  <c r="BB61" i="82"/>
  <c r="AZ61" i="82"/>
  <c r="AY61" i="82"/>
  <c r="AX61" i="82"/>
  <c r="AW61" i="82"/>
  <c r="AV61" i="82"/>
  <c r="AS61" i="82"/>
  <c r="AR61" i="82"/>
  <c r="AQ61" i="82"/>
  <c r="AP61" i="82"/>
  <c r="AO61" i="82"/>
  <c r="AM61" i="82"/>
  <c r="AL61" i="82"/>
  <c r="AK61" i="82"/>
  <c r="AJ61" i="82"/>
  <c r="AI61" i="82"/>
  <c r="AH61" i="82"/>
  <c r="AE61" i="82"/>
  <c r="AD61" i="82"/>
  <c r="AC61" i="82"/>
  <c r="AB61" i="82"/>
  <c r="AA61" i="82"/>
  <c r="X61" i="82"/>
  <c r="W61" i="82"/>
  <c r="V61" i="82"/>
  <c r="U61" i="82"/>
  <c r="T61" i="82"/>
  <c r="R61" i="82"/>
  <c r="Q61" i="82"/>
  <c r="P61" i="82"/>
  <c r="O61" i="82"/>
  <c r="N61" i="82"/>
  <c r="M61" i="82"/>
  <c r="J61" i="82"/>
  <c r="I61" i="82"/>
  <c r="H61" i="82"/>
  <c r="G61" i="82"/>
  <c r="F61" i="82"/>
  <c r="B61" i="82"/>
  <c r="A61" i="82"/>
  <c r="IU60" i="82"/>
  <c r="IT60" i="82"/>
  <c r="IS60" i="82"/>
  <c r="IR60" i="82"/>
  <c r="IQ60" i="82"/>
  <c r="IP60" i="82"/>
  <c r="IO60" i="82"/>
  <c r="IN60" i="82"/>
  <c r="IM60" i="82"/>
  <c r="IL60" i="82"/>
  <c r="IK60" i="82"/>
  <c r="IJ60" i="82"/>
  <c r="II60" i="82"/>
  <c r="IH60" i="82"/>
  <c r="IG60" i="82"/>
  <c r="IF60" i="82"/>
  <c r="IE60" i="82"/>
  <c r="ID60" i="82"/>
  <c r="IC60" i="82"/>
  <c r="IB60" i="82"/>
  <c r="IA60" i="82"/>
  <c r="HZ60" i="82"/>
  <c r="HY60" i="82"/>
  <c r="HX60" i="82"/>
  <c r="HW60" i="82"/>
  <c r="HV60" i="82"/>
  <c r="HU60" i="82"/>
  <c r="HT60" i="82"/>
  <c r="HS60" i="82"/>
  <c r="HR60" i="82"/>
  <c r="HQ60" i="82"/>
  <c r="HP60" i="82"/>
  <c r="HO60" i="82"/>
  <c r="HN60" i="82"/>
  <c r="HM60" i="82"/>
  <c r="HL60" i="82"/>
  <c r="HK60" i="82"/>
  <c r="HJ60" i="82"/>
  <c r="HI60" i="82"/>
  <c r="HH60" i="82"/>
  <c r="HG60" i="82"/>
  <c r="HF60" i="82"/>
  <c r="HE60" i="82"/>
  <c r="HD60" i="82"/>
  <c r="HC60" i="82"/>
  <c r="HB60" i="82"/>
  <c r="HA60" i="82"/>
  <c r="GZ60" i="82"/>
  <c r="GY60" i="82"/>
  <c r="GX60" i="82"/>
  <c r="GW60" i="82"/>
  <c r="GV60" i="82"/>
  <c r="GU60" i="82"/>
  <c r="GT60" i="82"/>
  <c r="GS60" i="82"/>
  <c r="GR60" i="82"/>
  <c r="GQ60" i="82"/>
  <c r="GP60" i="82"/>
  <c r="GO60" i="82"/>
  <c r="GN60" i="82"/>
  <c r="GM60" i="82"/>
  <c r="GL60" i="82"/>
  <c r="GK60" i="82"/>
  <c r="GJ60" i="82"/>
  <c r="GI60" i="82"/>
  <c r="GH60" i="82"/>
  <c r="GG60" i="82"/>
  <c r="GF60" i="82"/>
  <c r="GE60" i="82"/>
  <c r="GD60" i="82"/>
  <c r="GC60" i="82"/>
  <c r="GB60" i="82"/>
  <c r="GA60" i="82"/>
  <c r="FZ60" i="82"/>
  <c r="FY60" i="82"/>
  <c r="FX60" i="82"/>
  <c r="FW60" i="82"/>
  <c r="FV60" i="82"/>
  <c r="FU60" i="82"/>
  <c r="FT60" i="82"/>
  <c r="FS60" i="82"/>
  <c r="FR60" i="82"/>
  <c r="FQ60" i="82"/>
  <c r="FP60" i="82"/>
  <c r="FO60" i="82"/>
  <c r="FN60" i="82"/>
  <c r="FM60" i="82"/>
  <c r="FL60" i="82"/>
  <c r="FK60" i="82"/>
  <c r="FJ60" i="82"/>
  <c r="FI60" i="82"/>
  <c r="FH60" i="82"/>
  <c r="FG60" i="82"/>
  <c r="FF60" i="82"/>
  <c r="FE60" i="82"/>
  <c r="FD60" i="82"/>
  <c r="FC60" i="82"/>
  <c r="FB60" i="82"/>
  <c r="FA60" i="82"/>
  <c r="EZ60" i="82"/>
  <c r="EY60" i="82"/>
  <c r="EX60" i="82"/>
  <c r="EW60" i="82"/>
  <c r="EV60" i="82"/>
  <c r="EU60" i="82"/>
  <c r="ET60" i="82"/>
  <c r="ES60" i="82"/>
  <c r="ER60" i="82"/>
  <c r="EQ60" i="82"/>
  <c r="EP60" i="82"/>
  <c r="EO60" i="82"/>
  <c r="EN60" i="82"/>
  <c r="EM60" i="82"/>
  <c r="EL60" i="82"/>
  <c r="EK60" i="82"/>
  <c r="EJ60" i="82"/>
  <c r="EI60" i="82"/>
  <c r="EH60" i="82"/>
  <c r="EG60" i="82"/>
  <c r="EF60" i="82"/>
  <c r="EE60" i="82"/>
  <c r="ED60" i="82"/>
  <c r="EC60" i="82"/>
  <c r="EB60" i="82"/>
  <c r="EA60" i="82"/>
  <c r="DZ60" i="82"/>
  <c r="DY60" i="82"/>
  <c r="DX60" i="82"/>
  <c r="DW60" i="82"/>
  <c r="DV60" i="82"/>
  <c r="DU60" i="82"/>
  <c r="DT60" i="82"/>
  <c r="DS60" i="82"/>
  <c r="DR60" i="82"/>
  <c r="DQ60" i="82"/>
  <c r="DP60" i="82"/>
  <c r="DO60" i="82"/>
  <c r="DN60" i="82"/>
  <c r="DM60" i="82"/>
  <c r="DL60" i="82"/>
  <c r="DK60" i="82"/>
  <c r="DJ60" i="82"/>
  <c r="DI60" i="82"/>
  <c r="DH60" i="82"/>
  <c r="DG60" i="82"/>
  <c r="DF60" i="82"/>
  <c r="DE60" i="82"/>
  <c r="DD60" i="82"/>
  <c r="DC60" i="82"/>
  <c r="DB60" i="82"/>
  <c r="DA60" i="82"/>
  <c r="CZ60" i="82"/>
  <c r="CY60" i="82"/>
  <c r="CX60" i="82"/>
  <c r="CW60" i="82"/>
  <c r="CV60" i="82"/>
  <c r="CU60" i="82"/>
  <c r="CT60" i="82"/>
  <c r="CS60" i="82"/>
  <c r="CR60" i="82"/>
  <c r="CQ60" i="82"/>
  <c r="CP60" i="82"/>
  <c r="CO60" i="82"/>
  <c r="CN60" i="82"/>
  <c r="CM60" i="82"/>
  <c r="CL60" i="82"/>
  <c r="CK60" i="82"/>
  <c r="CJ60" i="82"/>
  <c r="CI60" i="82"/>
  <c r="CH60" i="82"/>
  <c r="CG60" i="82"/>
  <c r="CF60" i="82"/>
  <c r="CE60" i="82"/>
  <c r="CD60" i="82"/>
  <c r="CC60" i="82"/>
  <c r="CB60" i="82"/>
  <c r="CA60" i="82"/>
  <c r="BZ60" i="82"/>
  <c r="BY60" i="82"/>
  <c r="BX60" i="82"/>
  <c r="BW60" i="82"/>
  <c r="BV60" i="82"/>
  <c r="BU60" i="82"/>
  <c r="BT60" i="82"/>
  <c r="BS60" i="82"/>
  <c r="BR60" i="82"/>
  <c r="BQ60" i="82"/>
  <c r="BP60" i="82"/>
  <c r="BO60" i="82"/>
  <c r="BN60" i="82"/>
  <c r="BM60" i="82"/>
  <c r="BL60" i="82"/>
  <c r="BK60" i="82"/>
  <c r="BJ60" i="82"/>
  <c r="BG60" i="82"/>
  <c r="BF60" i="82"/>
  <c r="BE60" i="82"/>
  <c r="BD60" i="82"/>
  <c r="BC60" i="82"/>
  <c r="BA60" i="82"/>
  <c r="AZ60" i="82"/>
  <c r="AY60" i="82"/>
  <c r="AX60" i="82"/>
  <c r="AW60" i="82"/>
  <c r="AV60" i="82"/>
  <c r="AS60" i="82"/>
  <c r="AR60" i="82"/>
  <c r="AQ60" i="82"/>
  <c r="AP60" i="82"/>
  <c r="AO60" i="82"/>
  <c r="AL60" i="82"/>
  <c r="AK60" i="82"/>
  <c r="AJ60" i="82"/>
  <c r="AI60" i="82"/>
  <c r="AH60" i="82"/>
  <c r="AF60" i="82"/>
  <c r="AE60" i="82"/>
  <c r="AD60" i="82"/>
  <c r="AC60" i="82"/>
  <c r="AB60" i="82"/>
  <c r="AA60" i="82"/>
  <c r="X60" i="82"/>
  <c r="W60" i="82"/>
  <c r="V60" i="82"/>
  <c r="U60" i="82"/>
  <c r="T60" i="82"/>
  <c r="Q60" i="82"/>
  <c r="P60" i="82"/>
  <c r="O60" i="82"/>
  <c r="N60" i="82"/>
  <c r="M60" i="82"/>
  <c r="J60" i="82"/>
  <c r="I60" i="82"/>
  <c r="H60" i="82"/>
  <c r="G60" i="82"/>
  <c r="F60" i="82"/>
  <c r="E60" i="82"/>
  <c r="B60" i="82"/>
  <c r="A60" i="82"/>
  <c r="IU59" i="82"/>
  <c r="IT59" i="82"/>
  <c r="IS59" i="82"/>
  <c r="IR59" i="82"/>
  <c r="IQ59" i="82"/>
  <c r="IP59" i="82"/>
  <c r="IO59" i="82"/>
  <c r="IN59" i="82"/>
  <c r="IM59" i="82"/>
  <c r="IL59" i="82"/>
  <c r="IK59" i="82"/>
  <c r="IJ59" i="82"/>
  <c r="II59" i="82"/>
  <c r="IH59" i="82"/>
  <c r="IG59" i="82"/>
  <c r="IF59" i="82"/>
  <c r="IE59" i="82"/>
  <c r="ID59" i="82"/>
  <c r="IC59" i="82"/>
  <c r="IB59" i="82"/>
  <c r="IA59" i="82"/>
  <c r="HZ59" i="82"/>
  <c r="HY59" i="82"/>
  <c r="HX59" i="82"/>
  <c r="HW59" i="82"/>
  <c r="HV59" i="82"/>
  <c r="HU59" i="82"/>
  <c r="HT59" i="82"/>
  <c r="HS59" i="82"/>
  <c r="HR59" i="82"/>
  <c r="HQ59" i="82"/>
  <c r="HP59" i="82"/>
  <c r="HO59" i="82"/>
  <c r="HN59" i="82"/>
  <c r="HM59" i="82"/>
  <c r="HL59" i="82"/>
  <c r="HK59" i="82"/>
  <c r="HJ59" i="82"/>
  <c r="HI59" i="82"/>
  <c r="HH59" i="82"/>
  <c r="HG59" i="82"/>
  <c r="HF59" i="82"/>
  <c r="HE59" i="82"/>
  <c r="HD59" i="82"/>
  <c r="HC59" i="82"/>
  <c r="HB59" i="82"/>
  <c r="HA59" i="82"/>
  <c r="GZ59" i="82"/>
  <c r="GY59" i="82"/>
  <c r="GX59" i="82"/>
  <c r="GW59" i="82"/>
  <c r="GV59" i="82"/>
  <c r="GU59" i="82"/>
  <c r="GT59" i="82"/>
  <c r="GS59" i="82"/>
  <c r="GR59" i="82"/>
  <c r="GQ59" i="82"/>
  <c r="GP59" i="82"/>
  <c r="GO59" i="82"/>
  <c r="GN59" i="82"/>
  <c r="GM59" i="82"/>
  <c r="GL59" i="82"/>
  <c r="GK59" i="82"/>
  <c r="GJ59" i="82"/>
  <c r="GI59" i="82"/>
  <c r="GH59" i="82"/>
  <c r="GG59" i="82"/>
  <c r="GF59" i="82"/>
  <c r="GE59" i="82"/>
  <c r="GD59" i="82"/>
  <c r="GC59" i="82"/>
  <c r="GB59" i="82"/>
  <c r="GA59" i="82"/>
  <c r="FZ59" i="82"/>
  <c r="FY59" i="82"/>
  <c r="FX59" i="82"/>
  <c r="FW59" i="82"/>
  <c r="FV59" i="82"/>
  <c r="FU59" i="82"/>
  <c r="FT59" i="82"/>
  <c r="FS59" i="82"/>
  <c r="FR59" i="82"/>
  <c r="FQ59" i="82"/>
  <c r="FP59" i="82"/>
  <c r="FO59" i="82"/>
  <c r="FN59" i="82"/>
  <c r="FM59" i="82"/>
  <c r="FL59" i="82"/>
  <c r="FK59" i="82"/>
  <c r="FJ59" i="82"/>
  <c r="FI59" i="82"/>
  <c r="FH59" i="82"/>
  <c r="FG59" i="82"/>
  <c r="FF59" i="82"/>
  <c r="FE59" i="82"/>
  <c r="FD59" i="82"/>
  <c r="FC59" i="82"/>
  <c r="FB59" i="82"/>
  <c r="FA59" i="82"/>
  <c r="EZ59" i="82"/>
  <c r="EY59" i="82"/>
  <c r="EX59" i="82"/>
  <c r="EW59" i="82"/>
  <c r="EV59" i="82"/>
  <c r="EU59" i="82"/>
  <c r="ET59" i="82"/>
  <c r="ES59" i="82"/>
  <c r="ER59" i="82"/>
  <c r="EQ59" i="82"/>
  <c r="EP59" i="82"/>
  <c r="EO59" i="82"/>
  <c r="EN59" i="82"/>
  <c r="EM59" i="82"/>
  <c r="EL59" i="82"/>
  <c r="EK59" i="82"/>
  <c r="EJ59" i="82"/>
  <c r="EI59" i="82"/>
  <c r="EH59" i="82"/>
  <c r="EG59" i="82"/>
  <c r="EF59" i="82"/>
  <c r="EE59" i="82"/>
  <c r="ED59" i="82"/>
  <c r="EC59" i="82"/>
  <c r="EB59" i="82"/>
  <c r="EA59" i="82"/>
  <c r="DZ59" i="82"/>
  <c r="DY59" i="82"/>
  <c r="DX59" i="82"/>
  <c r="DW59" i="82"/>
  <c r="DV59" i="82"/>
  <c r="DU59" i="82"/>
  <c r="DT59" i="82"/>
  <c r="DS59" i="82"/>
  <c r="DR59" i="82"/>
  <c r="DQ59" i="82"/>
  <c r="DP59" i="82"/>
  <c r="DO59" i="82"/>
  <c r="DN59" i="82"/>
  <c r="DM59" i="82"/>
  <c r="DL59" i="82"/>
  <c r="DK59" i="82"/>
  <c r="DJ59" i="82"/>
  <c r="DI59" i="82"/>
  <c r="DH59" i="82"/>
  <c r="DG59" i="82"/>
  <c r="DF59" i="82"/>
  <c r="DE59" i="82"/>
  <c r="DD59" i="82"/>
  <c r="DC59" i="82"/>
  <c r="DB59" i="82"/>
  <c r="DA59" i="82"/>
  <c r="CZ59" i="82"/>
  <c r="CY59" i="82"/>
  <c r="CX59" i="82"/>
  <c r="CW59" i="82"/>
  <c r="CV59" i="82"/>
  <c r="CU59" i="82"/>
  <c r="CT59" i="82"/>
  <c r="CS59" i="82"/>
  <c r="CR59" i="82"/>
  <c r="CQ59" i="82"/>
  <c r="CP59" i="82"/>
  <c r="CO59" i="82"/>
  <c r="CN59" i="82"/>
  <c r="CM59" i="82"/>
  <c r="CL59" i="82"/>
  <c r="CK59" i="82"/>
  <c r="CJ59" i="82"/>
  <c r="CI59" i="82"/>
  <c r="CH59" i="82"/>
  <c r="CG59" i="82"/>
  <c r="CF59" i="82"/>
  <c r="CE59" i="82"/>
  <c r="CD59" i="82"/>
  <c r="CC59" i="82"/>
  <c r="CB59" i="82"/>
  <c r="CA59" i="82"/>
  <c r="BZ59" i="82"/>
  <c r="BY59" i="82"/>
  <c r="BX59" i="82"/>
  <c r="BW59" i="82"/>
  <c r="BV59" i="82"/>
  <c r="BU59" i="82"/>
  <c r="BT59" i="82"/>
  <c r="BS59" i="82"/>
  <c r="BR59" i="82"/>
  <c r="BQ59" i="82"/>
  <c r="BP59" i="82"/>
  <c r="BO59" i="82"/>
  <c r="BN59" i="82"/>
  <c r="BM59" i="82"/>
  <c r="BL59" i="82"/>
  <c r="BK59" i="82"/>
  <c r="BJ59" i="82"/>
  <c r="BG59" i="82"/>
  <c r="BF59" i="82"/>
  <c r="BE59" i="82"/>
  <c r="BD59" i="82"/>
  <c r="BC59" i="82"/>
  <c r="AZ59" i="82"/>
  <c r="AY59" i="82"/>
  <c r="AX59" i="82"/>
  <c r="AW59" i="82"/>
  <c r="AV59" i="82"/>
  <c r="AT59" i="82"/>
  <c r="AS59" i="82"/>
  <c r="AR59" i="82"/>
  <c r="AQ59" i="82"/>
  <c r="AP59" i="82"/>
  <c r="AO59" i="82"/>
  <c r="AL59" i="82"/>
  <c r="AK59" i="82"/>
  <c r="AJ59" i="82"/>
  <c r="AI59" i="82"/>
  <c r="AH59" i="82"/>
  <c r="AE59" i="82"/>
  <c r="AD59" i="82"/>
  <c r="AC59" i="82"/>
  <c r="AB59" i="82"/>
  <c r="AA59" i="82"/>
  <c r="X59" i="82"/>
  <c r="W59" i="82"/>
  <c r="V59" i="82"/>
  <c r="U59" i="82"/>
  <c r="T59" i="82"/>
  <c r="S59" i="82"/>
  <c r="Q59" i="82"/>
  <c r="P59" i="82"/>
  <c r="O59" i="82"/>
  <c r="N59" i="82"/>
  <c r="M59" i="82"/>
  <c r="J59" i="82"/>
  <c r="I59" i="82"/>
  <c r="H59" i="82"/>
  <c r="G59" i="82"/>
  <c r="F59" i="82"/>
  <c r="B59" i="82"/>
  <c r="A59" i="82"/>
  <c r="IU58" i="82"/>
  <c r="IT58" i="82"/>
  <c r="IS58" i="82"/>
  <c r="IR58" i="82"/>
  <c r="IQ58" i="82"/>
  <c r="IP58" i="82"/>
  <c r="IO58" i="82"/>
  <c r="IN58" i="82"/>
  <c r="IM58" i="82"/>
  <c r="IL58" i="82"/>
  <c r="IK58" i="82"/>
  <c r="IJ58" i="82"/>
  <c r="II58" i="82"/>
  <c r="IH58" i="82"/>
  <c r="IG58" i="82"/>
  <c r="IF58" i="82"/>
  <c r="IE58" i="82"/>
  <c r="ID58" i="82"/>
  <c r="IC58" i="82"/>
  <c r="IB58" i="82"/>
  <c r="IA58" i="82"/>
  <c r="HZ58" i="82"/>
  <c r="HY58" i="82"/>
  <c r="HX58" i="82"/>
  <c r="HW58" i="82"/>
  <c r="HV58" i="82"/>
  <c r="HU58" i="82"/>
  <c r="HT58" i="82"/>
  <c r="HS58" i="82"/>
  <c r="HR58" i="82"/>
  <c r="HQ58" i="82"/>
  <c r="HP58" i="82"/>
  <c r="HO58" i="82"/>
  <c r="HN58" i="82"/>
  <c r="HM58" i="82"/>
  <c r="HL58" i="82"/>
  <c r="HK58" i="82"/>
  <c r="HJ58" i="82"/>
  <c r="HI58" i="82"/>
  <c r="HH58" i="82"/>
  <c r="HG58" i="82"/>
  <c r="HF58" i="82"/>
  <c r="HE58" i="82"/>
  <c r="HD58" i="82"/>
  <c r="HC58" i="82"/>
  <c r="HB58" i="82"/>
  <c r="HA58" i="82"/>
  <c r="GZ58" i="82"/>
  <c r="GY58" i="82"/>
  <c r="GX58" i="82"/>
  <c r="GW58" i="82"/>
  <c r="GV58" i="82"/>
  <c r="GU58" i="82"/>
  <c r="GT58" i="82"/>
  <c r="GS58" i="82"/>
  <c r="GR58" i="82"/>
  <c r="GQ58" i="82"/>
  <c r="GP58" i="82"/>
  <c r="GO58" i="82"/>
  <c r="GN58" i="82"/>
  <c r="GM58" i="82"/>
  <c r="GL58" i="82"/>
  <c r="GK58" i="82"/>
  <c r="GJ58" i="82"/>
  <c r="GI58" i="82"/>
  <c r="GH58" i="82"/>
  <c r="GG58" i="82"/>
  <c r="GF58" i="82"/>
  <c r="GE58" i="82"/>
  <c r="GD58" i="82"/>
  <c r="GC58" i="82"/>
  <c r="GB58" i="82"/>
  <c r="GA58" i="82"/>
  <c r="FZ58" i="82"/>
  <c r="FY58" i="82"/>
  <c r="FX58" i="82"/>
  <c r="FW58" i="82"/>
  <c r="FV58" i="82"/>
  <c r="FU58" i="82"/>
  <c r="FT58" i="82"/>
  <c r="FS58" i="82"/>
  <c r="FR58" i="82"/>
  <c r="FQ58" i="82"/>
  <c r="FP58" i="82"/>
  <c r="FO58" i="82"/>
  <c r="FN58" i="82"/>
  <c r="FM58" i="82"/>
  <c r="FL58" i="82"/>
  <c r="FK58" i="82"/>
  <c r="FJ58" i="82"/>
  <c r="FI58" i="82"/>
  <c r="FH58" i="82"/>
  <c r="FG58" i="82"/>
  <c r="FF58" i="82"/>
  <c r="FE58" i="82"/>
  <c r="FD58" i="82"/>
  <c r="FC58" i="82"/>
  <c r="FB58" i="82"/>
  <c r="FA58" i="82"/>
  <c r="EZ58" i="82"/>
  <c r="EY58" i="82"/>
  <c r="EX58" i="82"/>
  <c r="EW58" i="82"/>
  <c r="EV58" i="82"/>
  <c r="EU58" i="82"/>
  <c r="ET58" i="82"/>
  <c r="ES58" i="82"/>
  <c r="ER58" i="82"/>
  <c r="EQ58" i="82"/>
  <c r="EP58" i="82"/>
  <c r="EO58" i="82"/>
  <c r="EN58" i="82"/>
  <c r="EM58" i="82"/>
  <c r="EL58" i="82"/>
  <c r="EK58" i="82"/>
  <c r="EJ58" i="82"/>
  <c r="EI58" i="82"/>
  <c r="EH58" i="82"/>
  <c r="EG58" i="82"/>
  <c r="EF58" i="82"/>
  <c r="EE58" i="82"/>
  <c r="ED58" i="82"/>
  <c r="EC58" i="82"/>
  <c r="EB58" i="82"/>
  <c r="EA58" i="82"/>
  <c r="DZ58" i="82"/>
  <c r="DY58" i="82"/>
  <c r="DX58" i="82"/>
  <c r="DW58" i="82"/>
  <c r="DV58" i="82"/>
  <c r="DU58" i="82"/>
  <c r="DT58" i="82"/>
  <c r="DS58" i="82"/>
  <c r="DR58" i="82"/>
  <c r="DQ58" i="82"/>
  <c r="DP58" i="82"/>
  <c r="DO58" i="82"/>
  <c r="DN58" i="82"/>
  <c r="DM58" i="82"/>
  <c r="DL58" i="82"/>
  <c r="DK58" i="82"/>
  <c r="DJ58" i="82"/>
  <c r="DI58" i="82"/>
  <c r="DH58" i="82"/>
  <c r="DG58" i="82"/>
  <c r="DF58" i="82"/>
  <c r="DE58" i="82"/>
  <c r="DD58" i="82"/>
  <c r="DC58" i="82"/>
  <c r="DB58" i="82"/>
  <c r="DA58" i="82"/>
  <c r="CZ58" i="82"/>
  <c r="CY58" i="82"/>
  <c r="CX58" i="82"/>
  <c r="CW58" i="82"/>
  <c r="CV58" i="82"/>
  <c r="CU58" i="82"/>
  <c r="CT58" i="82"/>
  <c r="CS58" i="82"/>
  <c r="CR58" i="82"/>
  <c r="CQ58" i="82"/>
  <c r="CP58" i="82"/>
  <c r="CO58" i="82"/>
  <c r="CN58" i="82"/>
  <c r="CM58" i="82"/>
  <c r="CL58" i="82"/>
  <c r="CK58" i="82"/>
  <c r="CJ58" i="82"/>
  <c r="CI58" i="82"/>
  <c r="CH58" i="82"/>
  <c r="CG58" i="82"/>
  <c r="CF58" i="82"/>
  <c r="CE58" i="82"/>
  <c r="CD58" i="82"/>
  <c r="CC58" i="82"/>
  <c r="CB58" i="82"/>
  <c r="CA58" i="82"/>
  <c r="BZ58" i="82"/>
  <c r="BY58" i="82"/>
  <c r="BX58" i="82"/>
  <c r="BW58" i="82"/>
  <c r="BV58" i="82"/>
  <c r="BU58" i="82"/>
  <c r="BT58" i="82"/>
  <c r="BS58" i="82"/>
  <c r="BR58" i="82"/>
  <c r="BQ58" i="82"/>
  <c r="BP58" i="82"/>
  <c r="BO58" i="82"/>
  <c r="BN58" i="82"/>
  <c r="BM58" i="82"/>
  <c r="BL58" i="82"/>
  <c r="BK58" i="82"/>
  <c r="BJ58" i="82"/>
  <c r="BH58" i="82"/>
  <c r="BG58" i="82"/>
  <c r="BF58" i="82"/>
  <c r="BE58" i="82"/>
  <c r="BD58" i="82"/>
  <c r="BC58" i="82"/>
  <c r="AZ58" i="82"/>
  <c r="AY58" i="82"/>
  <c r="AX58" i="82"/>
  <c r="AW58" i="82"/>
  <c r="AV58" i="82"/>
  <c r="AS58" i="82"/>
  <c r="AR58" i="82"/>
  <c r="AQ58" i="82"/>
  <c r="AP58" i="82"/>
  <c r="AO58" i="82"/>
  <c r="AL58" i="82"/>
  <c r="AK58" i="82"/>
  <c r="AJ58" i="82"/>
  <c r="AI58" i="82"/>
  <c r="AH58" i="82"/>
  <c r="AE58" i="82"/>
  <c r="AD58" i="82"/>
  <c r="AC58" i="82"/>
  <c r="AB58" i="82"/>
  <c r="AA58" i="82"/>
  <c r="X58" i="82"/>
  <c r="W58" i="82"/>
  <c r="V58" i="82"/>
  <c r="U58" i="82"/>
  <c r="T58" i="82"/>
  <c r="Q58" i="82"/>
  <c r="P58" i="82"/>
  <c r="O58" i="82"/>
  <c r="N58" i="82"/>
  <c r="M58" i="82"/>
  <c r="J58" i="82"/>
  <c r="I58" i="82"/>
  <c r="H58" i="82"/>
  <c r="G58" i="82"/>
  <c r="F58" i="82"/>
  <c r="IU57" i="82"/>
  <c r="IT57" i="82"/>
  <c r="IS57" i="82"/>
  <c r="IR57" i="82"/>
  <c r="IQ57" i="82"/>
  <c r="IP57" i="82"/>
  <c r="IO57" i="82"/>
  <c r="IN57" i="82"/>
  <c r="IM57" i="82"/>
  <c r="IL57" i="82"/>
  <c r="IK57" i="82"/>
  <c r="IJ57" i="82"/>
  <c r="II57" i="82"/>
  <c r="IH57" i="82"/>
  <c r="IG57" i="82"/>
  <c r="IF57" i="82"/>
  <c r="IE57" i="82"/>
  <c r="ID57" i="82"/>
  <c r="IC57" i="82"/>
  <c r="IB57" i="82"/>
  <c r="IA57" i="82"/>
  <c r="HZ57" i="82"/>
  <c r="HY57" i="82"/>
  <c r="HX57" i="82"/>
  <c r="HW57" i="82"/>
  <c r="HV57" i="82"/>
  <c r="HU57" i="82"/>
  <c r="HT57" i="82"/>
  <c r="HS57" i="82"/>
  <c r="HR57" i="82"/>
  <c r="HQ57" i="82"/>
  <c r="HP57" i="82"/>
  <c r="HO57" i="82"/>
  <c r="HN57" i="82"/>
  <c r="HM57" i="82"/>
  <c r="HL57" i="82"/>
  <c r="HK57" i="82"/>
  <c r="HJ57" i="82"/>
  <c r="HI57" i="82"/>
  <c r="HH57" i="82"/>
  <c r="HG57" i="82"/>
  <c r="HF57" i="82"/>
  <c r="HE57" i="82"/>
  <c r="HD57" i="82"/>
  <c r="HC57" i="82"/>
  <c r="HB57" i="82"/>
  <c r="HA57" i="82"/>
  <c r="GZ57" i="82"/>
  <c r="GY57" i="82"/>
  <c r="GX57" i="82"/>
  <c r="GW57" i="82"/>
  <c r="GV57" i="82"/>
  <c r="GU57" i="82"/>
  <c r="GT57" i="82"/>
  <c r="GS57" i="82"/>
  <c r="GR57" i="82"/>
  <c r="GQ57" i="82"/>
  <c r="GP57" i="82"/>
  <c r="GO57" i="82"/>
  <c r="GN57" i="82"/>
  <c r="GM57" i="82"/>
  <c r="GL57" i="82"/>
  <c r="GK57" i="82"/>
  <c r="GJ57" i="82"/>
  <c r="GI57" i="82"/>
  <c r="GH57" i="82"/>
  <c r="GG57" i="82"/>
  <c r="GF57" i="82"/>
  <c r="GE57" i="82"/>
  <c r="GD57" i="82"/>
  <c r="GC57" i="82"/>
  <c r="GB57" i="82"/>
  <c r="GA57" i="82"/>
  <c r="FZ57" i="82"/>
  <c r="FY57" i="82"/>
  <c r="FX57" i="82"/>
  <c r="FW57" i="82"/>
  <c r="FV57" i="82"/>
  <c r="FU57" i="82"/>
  <c r="FT57" i="82"/>
  <c r="FS57" i="82"/>
  <c r="FR57" i="82"/>
  <c r="FQ57" i="82"/>
  <c r="FP57" i="82"/>
  <c r="FO57" i="82"/>
  <c r="FN57" i="82"/>
  <c r="FM57" i="82"/>
  <c r="FL57" i="82"/>
  <c r="FK57" i="82"/>
  <c r="FJ57" i="82"/>
  <c r="FI57" i="82"/>
  <c r="FH57" i="82"/>
  <c r="FG57" i="82"/>
  <c r="FF57" i="82"/>
  <c r="FE57" i="82"/>
  <c r="FD57" i="82"/>
  <c r="FC57" i="82"/>
  <c r="FB57" i="82"/>
  <c r="FA57" i="82"/>
  <c r="EZ57" i="82"/>
  <c r="EY57" i="82"/>
  <c r="EX57" i="82"/>
  <c r="EW57" i="82"/>
  <c r="EV57" i="82"/>
  <c r="EU57" i="82"/>
  <c r="ET57" i="82"/>
  <c r="ES57" i="82"/>
  <c r="ER57" i="82"/>
  <c r="EQ57" i="82"/>
  <c r="EP57" i="82"/>
  <c r="EO57" i="82"/>
  <c r="EN57" i="82"/>
  <c r="EM57" i="82"/>
  <c r="EL57" i="82"/>
  <c r="EK57" i="82"/>
  <c r="EJ57" i="82"/>
  <c r="EI57" i="82"/>
  <c r="EH57" i="82"/>
  <c r="EG57" i="82"/>
  <c r="EF57" i="82"/>
  <c r="EE57" i="82"/>
  <c r="ED57" i="82"/>
  <c r="EC57" i="82"/>
  <c r="EB57" i="82"/>
  <c r="EA57" i="82"/>
  <c r="DZ57" i="82"/>
  <c r="DY57" i="82"/>
  <c r="DX57" i="82"/>
  <c r="DW57" i="82"/>
  <c r="DV57" i="82"/>
  <c r="DU57" i="82"/>
  <c r="DT57" i="82"/>
  <c r="DS57" i="82"/>
  <c r="DR57" i="82"/>
  <c r="DQ57" i="82"/>
  <c r="DP57" i="82"/>
  <c r="DO57" i="82"/>
  <c r="DN57" i="82"/>
  <c r="DM57" i="82"/>
  <c r="DL57" i="82"/>
  <c r="DK57" i="82"/>
  <c r="DJ57" i="82"/>
  <c r="DI57" i="82"/>
  <c r="DH57" i="82"/>
  <c r="DG57" i="82"/>
  <c r="DF57" i="82"/>
  <c r="DE57" i="82"/>
  <c r="DD57" i="82"/>
  <c r="DC57" i="82"/>
  <c r="DB57" i="82"/>
  <c r="DA57" i="82"/>
  <c r="CZ57" i="82"/>
  <c r="CY57" i="82"/>
  <c r="CX57" i="82"/>
  <c r="CW57" i="82"/>
  <c r="CV57" i="82"/>
  <c r="CU57" i="82"/>
  <c r="CT57" i="82"/>
  <c r="CS57" i="82"/>
  <c r="CR57" i="82"/>
  <c r="CQ57" i="82"/>
  <c r="CP57" i="82"/>
  <c r="CO57" i="82"/>
  <c r="CN57" i="82"/>
  <c r="CM57" i="82"/>
  <c r="CL57" i="82"/>
  <c r="CK57" i="82"/>
  <c r="CJ57" i="82"/>
  <c r="CI57" i="82"/>
  <c r="CH57" i="82"/>
  <c r="CG57" i="82"/>
  <c r="CF57" i="82"/>
  <c r="CE57" i="82"/>
  <c r="CD57" i="82"/>
  <c r="CC57" i="82"/>
  <c r="CB57" i="82"/>
  <c r="CA57" i="82"/>
  <c r="BZ57" i="82"/>
  <c r="BY57" i="82"/>
  <c r="BX57" i="82"/>
  <c r="BW57" i="82"/>
  <c r="BV57" i="82"/>
  <c r="BU57" i="82"/>
  <c r="BT57" i="82"/>
  <c r="BS57" i="82"/>
  <c r="BR57" i="82"/>
  <c r="BQ57" i="82"/>
  <c r="BP57" i="82"/>
  <c r="BO57" i="82"/>
  <c r="BN57" i="82"/>
  <c r="BM57" i="82"/>
  <c r="BL57" i="82"/>
  <c r="BK57" i="82"/>
  <c r="BJ57" i="82"/>
  <c r="BG57" i="82"/>
  <c r="BF57" i="82"/>
  <c r="BE57" i="82"/>
  <c r="BD57" i="82"/>
  <c r="BC57" i="82"/>
  <c r="AZ57" i="82"/>
  <c r="AY57" i="82"/>
  <c r="AX57" i="82"/>
  <c r="AW57" i="82"/>
  <c r="AV57" i="82"/>
  <c r="AU57" i="82"/>
  <c r="AS57" i="82"/>
  <c r="AR57" i="82"/>
  <c r="AQ57" i="82"/>
  <c r="AP57" i="82"/>
  <c r="AO57" i="82"/>
  <c r="AL57" i="82"/>
  <c r="AK57" i="82"/>
  <c r="AJ57" i="82"/>
  <c r="AI57" i="82"/>
  <c r="AH57" i="82"/>
  <c r="AE57" i="82"/>
  <c r="AD57" i="82"/>
  <c r="AC57" i="82"/>
  <c r="AB57" i="82"/>
  <c r="AA57" i="82"/>
  <c r="Z57" i="82"/>
  <c r="X57" i="82"/>
  <c r="W57" i="82"/>
  <c r="V57" i="82"/>
  <c r="U57" i="82"/>
  <c r="T57" i="82"/>
  <c r="Q57" i="82"/>
  <c r="P57" i="82"/>
  <c r="O57" i="82"/>
  <c r="N57" i="82"/>
  <c r="M57" i="82"/>
  <c r="K57" i="82"/>
  <c r="J57" i="82"/>
  <c r="I57" i="82"/>
  <c r="H57" i="82"/>
  <c r="G57" i="82"/>
  <c r="F57" i="82"/>
  <c r="A57" i="82"/>
  <c r="IU56" i="82"/>
  <c r="IT56" i="82"/>
  <c r="IS56" i="82"/>
  <c r="IR56" i="82"/>
  <c r="IQ56" i="82"/>
  <c r="IP56" i="82"/>
  <c r="IO56" i="82"/>
  <c r="IN56" i="82"/>
  <c r="IM56" i="82"/>
  <c r="IL56" i="82"/>
  <c r="IK56" i="82"/>
  <c r="IJ56" i="82"/>
  <c r="II56" i="82"/>
  <c r="IH56" i="82"/>
  <c r="IG56" i="82"/>
  <c r="IF56" i="82"/>
  <c r="IE56" i="82"/>
  <c r="ID56" i="82"/>
  <c r="IC56" i="82"/>
  <c r="IB56" i="82"/>
  <c r="IA56" i="82"/>
  <c r="HZ56" i="82"/>
  <c r="HY56" i="82"/>
  <c r="HX56" i="82"/>
  <c r="HW56" i="82"/>
  <c r="HV56" i="82"/>
  <c r="HU56" i="82"/>
  <c r="HT56" i="82"/>
  <c r="HS56" i="82"/>
  <c r="HR56" i="82"/>
  <c r="HQ56" i="82"/>
  <c r="HP56" i="82"/>
  <c r="HO56" i="82"/>
  <c r="HN56" i="82"/>
  <c r="HM56" i="82"/>
  <c r="HL56" i="82"/>
  <c r="HK56" i="82"/>
  <c r="HJ56" i="82"/>
  <c r="HI56" i="82"/>
  <c r="HH56" i="82"/>
  <c r="HG56" i="82"/>
  <c r="HF56" i="82"/>
  <c r="HE56" i="82"/>
  <c r="HD56" i="82"/>
  <c r="HC56" i="82"/>
  <c r="HB56" i="82"/>
  <c r="HA56" i="82"/>
  <c r="GZ56" i="82"/>
  <c r="GY56" i="82"/>
  <c r="GX56" i="82"/>
  <c r="GW56" i="82"/>
  <c r="GV56" i="82"/>
  <c r="GU56" i="82"/>
  <c r="GT56" i="82"/>
  <c r="GS56" i="82"/>
  <c r="GR56" i="82"/>
  <c r="GQ56" i="82"/>
  <c r="GP56" i="82"/>
  <c r="GO56" i="82"/>
  <c r="GN56" i="82"/>
  <c r="GM56" i="82"/>
  <c r="GL56" i="82"/>
  <c r="GK56" i="82"/>
  <c r="GJ56" i="82"/>
  <c r="GI56" i="82"/>
  <c r="GH56" i="82"/>
  <c r="GG56" i="82"/>
  <c r="GF56" i="82"/>
  <c r="GE56" i="82"/>
  <c r="GD56" i="82"/>
  <c r="GC56" i="82"/>
  <c r="GB56" i="82"/>
  <c r="GA56" i="82"/>
  <c r="FZ56" i="82"/>
  <c r="FY56" i="82"/>
  <c r="FX56" i="82"/>
  <c r="FW56" i="82"/>
  <c r="FV56" i="82"/>
  <c r="FU56" i="82"/>
  <c r="FT56" i="82"/>
  <c r="FS56" i="82"/>
  <c r="FR56" i="82"/>
  <c r="FQ56" i="82"/>
  <c r="FP56" i="82"/>
  <c r="FO56" i="82"/>
  <c r="FN56" i="82"/>
  <c r="FM56" i="82"/>
  <c r="FL56" i="82"/>
  <c r="FK56" i="82"/>
  <c r="FJ56" i="82"/>
  <c r="FI56" i="82"/>
  <c r="FH56" i="82"/>
  <c r="FG56" i="82"/>
  <c r="FF56" i="82"/>
  <c r="FE56" i="82"/>
  <c r="FD56" i="82"/>
  <c r="FC56" i="82"/>
  <c r="FB56" i="82"/>
  <c r="FA56" i="82"/>
  <c r="EZ56" i="82"/>
  <c r="EY56" i="82"/>
  <c r="EX56" i="82"/>
  <c r="EW56" i="82"/>
  <c r="EV56" i="82"/>
  <c r="EU56" i="82"/>
  <c r="ET56" i="82"/>
  <c r="ES56" i="82"/>
  <c r="ER56" i="82"/>
  <c r="EQ56" i="82"/>
  <c r="EP56" i="82"/>
  <c r="EO56" i="82"/>
  <c r="EN56" i="82"/>
  <c r="EM56" i="82"/>
  <c r="EL56" i="82"/>
  <c r="EK56" i="82"/>
  <c r="EJ56" i="82"/>
  <c r="EI56" i="82"/>
  <c r="EH56" i="82"/>
  <c r="EG56" i="82"/>
  <c r="EF56" i="82"/>
  <c r="EE56" i="82"/>
  <c r="ED56" i="82"/>
  <c r="EC56" i="82"/>
  <c r="EB56" i="82"/>
  <c r="EA56" i="82"/>
  <c r="DZ56" i="82"/>
  <c r="DY56" i="82"/>
  <c r="DX56" i="82"/>
  <c r="DW56" i="82"/>
  <c r="DV56" i="82"/>
  <c r="DU56" i="82"/>
  <c r="DT56" i="82"/>
  <c r="DS56" i="82"/>
  <c r="DR56" i="82"/>
  <c r="DQ56" i="82"/>
  <c r="DP56" i="82"/>
  <c r="DO56" i="82"/>
  <c r="DN56" i="82"/>
  <c r="DM56" i="82"/>
  <c r="DL56" i="82"/>
  <c r="DK56" i="82"/>
  <c r="DJ56" i="82"/>
  <c r="DI56" i="82"/>
  <c r="DH56" i="82"/>
  <c r="DG56" i="82"/>
  <c r="DF56" i="82"/>
  <c r="DE56" i="82"/>
  <c r="DD56" i="82"/>
  <c r="DC56" i="82"/>
  <c r="DB56" i="82"/>
  <c r="DA56" i="82"/>
  <c r="CZ56" i="82"/>
  <c r="CY56" i="82"/>
  <c r="CX56" i="82"/>
  <c r="CW56" i="82"/>
  <c r="CV56" i="82"/>
  <c r="CU56" i="82"/>
  <c r="CT56" i="82"/>
  <c r="CS56" i="82"/>
  <c r="CR56" i="82"/>
  <c r="CQ56" i="82"/>
  <c r="CP56" i="82"/>
  <c r="CO56" i="82"/>
  <c r="CN56" i="82"/>
  <c r="CM56" i="82"/>
  <c r="CL56" i="82"/>
  <c r="CK56" i="82"/>
  <c r="CJ56" i="82"/>
  <c r="CI56" i="82"/>
  <c r="CH56" i="82"/>
  <c r="CG56" i="82"/>
  <c r="CF56" i="82"/>
  <c r="CE56" i="82"/>
  <c r="CD56" i="82"/>
  <c r="CC56" i="82"/>
  <c r="CB56" i="82"/>
  <c r="CA56" i="82"/>
  <c r="BZ56" i="82"/>
  <c r="BY56" i="82"/>
  <c r="BX56" i="82"/>
  <c r="BW56" i="82"/>
  <c r="BV56" i="82"/>
  <c r="BU56" i="82"/>
  <c r="BT56" i="82"/>
  <c r="BS56" i="82"/>
  <c r="BR56" i="82"/>
  <c r="BQ56" i="82"/>
  <c r="BP56" i="82"/>
  <c r="BO56" i="82"/>
  <c r="BN56" i="82"/>
  <c r="BM56" i="82"/>
  <c r="BL56" i="82"/>
  <c r="BK56" i="82"/>
  <c r="BJ56" i="82"/>
  <c r="BI56" i="82"/>
  <c r="BG56" i="82"/>
  <c r="BF56" i="82"/>
  <c r="BE56" i="82"/>
  <c r="BD56" i="82"/>
  <c r="BC56" i="82"/>
  <c r="AZ56" i="82"/>
  <c r="AY56" i="82"/>
  <c r="AX56" i="82"/>
  <c r="AW56" i="82"/>
  <c r="AV56" i="82"/>
  <c r="AS56" i="82"/>
  <c r="AR56" i="82"/>
  <c r="AQ56" i="82"/>
  <c r="AP56" i="82"/>
  <c r="AO56" i="82"/>
  <c r="AN56" i="82"/>
  <c r="AL56" i="82"/>
  <c r="AK56" i="82"/>
  <c r="AJ56" i="82"/>
  <c r="AI56" i="82"/>
  <c r="AH56" i="82"/>
  <c r="AE56" i="82"/>
  <c r="AD56" i="82"/>
  <c r="AC56" i="82"/>
  <c r="AB56" i="82"/>
  <c r="AA56" i="82"/>
  <c r="Z56" i="82"/>
  <c r="Y56" i="82"/>
  <c r="X56" i="82"/>
  <c r="W56" i="82"/>
  <c r="V56" i="82"/>
  <c r="U56" i="82"/>
  <c r="T56" i="82"/>
  <c r="Q56" i="82"/>
  <c r="P56" i="82"/>
  <c r="O56" i="82"/>
  <c r="N56" i="82"/>
  <c r="M56" i="82"/>
  <c r="J56" i="82"/>
  <c r="I56" i="82"/>
  <c r="H56" i="82"/>
  <c r="G56" i="82"/>
  <c r="F56" i="82"/>
  <c r="D56" i="82"/>
  <c r="A56" i="82"/>
  <c r="D53" i="82" s="1"/>
  <c r="IP55" i="82"/>
  <c r="IO55" i="82"/>
  <c r="IH55" i="82"/>
  <c r="IB55" i="82"/>
  <c r="IA55" i="82"/>
  <c r="HU55" i="82"/>
  <c r="HT55" i="82"/>
  <c r="HM55" i="82"/>
  <c r="HG55" i="82"/>
  <c r="HF55" i="82"/>
  <c r="GZ55" i="82"/>
  <c r="GY55" i="82"/>
  <c r="GR55" i="82"/>
  <c r="GL55" i="82"/>
  <c r="GK55" i="82"/>
  <c r="GE55" i="82"/>
  <c r="GD55" i="82"/>
  <c r="FW55" i="82"/>
  <c r="FQ55" i="82"/>
  <c r="FP55" i="82"/>
  <c r="FJ55" i="82"/>
  <c r="FI55" i="82"/>
  <c r="FB55" i="82"/>
  <c r="EV55" i="82"/>
  <c r="EU55" i="82"/>
  <c r="EO55" i="82"/>
  <c r="EN55" i="82"/>
  <c r="EG55" i="82"/>
  <c r="EA55" i="82"/>
  <c r="DZ55" i="82"/>
  <c r="DT55" i="82"/>
  <c r="DS55" i="82"/>
  <c r="DL55" i="82"/>
  <c r="DF55" i="82"/>
  <c r="DE55" i="82"/>
  <c r="CY55" i="82"/>
  <c r="CX55" i="82"/>
  <c r="CQ55" i="82"/>
  <c r="CK55" i="82"/>
  <c r="CJ55" i="82"/>
  <c r="CD55" i="82"/>
  <c r="CC55" i="82"/>
  <c r="BV55" i="82"/>
  <c r="BP55" i="82"/>
  <c r="BO55" i="82"/>
  <c r="BI55" i="82"/>
  <c r="BH55" i="82"/>
  <c r="BA55" i="82"/>
  <c r="AU55" i="82"/>
  <c r="AT55" i="82"/>
  <c r="AN55" i="82"/>
  <c r="AM55" i="82"/>
  <c r="AF55" i="82"/>
  <c r="Z55" i="82"/>
  <c r="Y55" i="82"/>
  <c r="S55" i="82"/>
  <c r="R55" i="82"/>
  <c r="K55" i="82"/>
  <c r="E55" i="82"/>
  <c r="D55" i="82"/>
  <c r="B55" i="82"/>
  <c r="A55" i="82"/>
  <c r="IU54" i="82"/>
  <c r="IT54" i="82"/>
  <c r="IS54" i="82"/>
  <c r="IR54" i="82"/>
  <c r="IQ54" i="82"/>
  <c r="IP54" i="82"/>
  <c r="IO54" i="82"/>
  <c r="IN54" i="82"/>
  <c r="IM54" i="82"/>
  <c r="IL54" i="82"/>
  <c r="IK54" i="82"/>
  <c r="IJ54" i="82"/>
  <c r="IH54" i="82"/>
  <c r="IG54" i="82"/>
  <c r="IF54" i="82"/>
  <c r="IE54" i="82"/>
  <c r="ID54" i="82"/>
  <c r="IC54" i="82"/>
  <c r="IB54" i="82"/>
  <c r="IA54" i="82"/>
  <c r="HZ54" i="82"/>
  <c r="HY54" i="82"/>
  <c r="HX54" i="82"/>
  <c r="HW54" i="82"/>
  <c r="HV54" i="82"/>
  <c r="HU54" i="82"/>
  <c r="HT54" i="82"/>
  <c r="HS54" i="82"/>
  <c r="HR54" i="82"/>
  <c r="HQ54" i="82"/>
  <c r="HP54" i="82"/>
  <c r="HO54" i="82"/>
  <c r="HN54" i="82"/>
  <c r="HN55" i="82" s="1"/>
  <c r="HM54" i="82"/>
  <c r="HL54" i="82"/>
  <c r="HK54" i="82"/>
  <c r="HJ54" i="82"/>
  <c r="HI54" i="82"/>
  <c r="HH54" i="82"/>
  <c r="HG54" i="82"/>
  <c r="HF54" i="82"/>
  <c r="HE54" i="82"/>
  <c r="HD54" i="82"/>
  <c r="HC54" i="82"/>
  <c r="HB54" i="82"/>
  <c r="HA54" i="82"/>
  <c r="GZ54" i="82"/>
  <c r="GY54" i="82"/>
  <c r="GX54" i="82"/>
  <c r="GW54" i="82"/>
  <c r="GV54" i="82"/>
  <c r="GU54" i="82"/>
  <c r="GT54" i="82"/>
  <c r="GR54" i="82"/>
  <c r="GQ54" i="82"/>
  <c r="GP54" i="82"/>
  <c r="GO54" i="82"/>
  <c r="GN54" i="82"/>
  <c r="GM54" i="82"/>
  <c r="GL54" i="82"/>
  <c r="GK54" i="82"/>
  <c r="GJ54" i="82"/>
  <c r="GI54" i="82"/>
  <c r="GH54" i="82"/>
  <c r="GG54" i="82"/>
  <c r="GF54" i="82"/>
  <c r="GE54" i="82"/>
  <c r="GD54" i="82"/>
  <c r="GC54" i="82"/>
  <c r="GB54" i="82"/>
  <c r="GA54" i="82"/>
  <c r="FZ54" i="82"/>
  <c r="FY54" i="82"/>
  <c r="FW54" i="82"/>
  <c r="FV54" i="82"/>
  <c r="FU54" i="82"/>
  <c r="FT54" i="82"/>
  <c r="FS54" i="82"/>
  <c r="FR54" i="82"/>
  <c r="FQ54" i="82"/>
  <c r="FP54" i="82"/>
  <c r="FO54" i="82"/>
  <c r="FN54" i="82"/>
  <c r="FM54" i="82"/>
  <c r="FL54" i="82"/>
  <c r="FK54" i="82"/>
  <c r="FJ54" i="82"/>
  <c r="FI54" i="82"/>
  <c r="FH54" i="82"/>
  <c r="FG54" i="82"/>
  <c r="FF54" i="82"/>
  <c r="FE54" i="82"/>
  <c r="FD54" i="82"/>
  <c r="FB54" i="82"/>
  <c r="FA54" i="82"/>
  <c r="EZ54" i="82"/>
  <c r="EY54" i="82"/>
  <c r="EX54" i="82"/>
  <c r="EW54" i="82"/>
  <c r="EV54" i="82"/>
  <c r="EU54" i="82"/>
  <c r="ET54" i="82"/>
  <c r="ES54" i="82"/>
  <c r="ER54" i="82"/>
  <c r="EQ54" i="82"/>
  <c r="EP54" i="82"/>
  <c r="EO54" i="82"/>
  <c r="EN54" i="82"/>
  <c r="EM54" i="82"/>
  <c r="EL54" i="82"/>
  <c r="EK54" i="82"/>
  <c r="EJ54" i="82"/>
  <c r="EI54" i="82"/>
  <c r="EG54" i="82"/>
  <c r="EF54" i="82"/>
  <c r="EE54" i="82"/>
  <c r="ED54" i="82"/>
  <c r="EC54" i="82"/>
  <c r="EB54" i="82"/>
  <c r="EA54" i="82"/>
  <c r="DZ54" i="82"/>
  <c r="DY54" i="82"/>
  <c r="DX54" i="82"/>
  <c r="DW54" i="82"/>
  <c r="DV54" i="82"/>
  <c r="DU54" i="82"/>
  <c r="DT54" i="82"/>
  <c r="DS54" i="82"/>
  <c r="DR54" i="82"/>
  <c r="DQ54" i="82"/>
  <c r="DP54" i="82"/>
  <c r="DO54" i="82"/>
  <c r="DN54" i="82"/>
  <c r="DL54" i="82"/>
  <c r="DK54" i="82"/>
  <c r="DJ54" i="82"/>
  <c r="DI54" i="82"/>
  <c r="DH54" i="82"/>
  <c r="DG54" i="82"/>
  <c r="DF54" i="82"/>
  <c r="DE54" i="82"/>
  <c r="DD54" i="82"/>
  <c r="DC54" i="82"/>
  <c r="DB54" i="82"/>
  <c r="DA54" i="82"/>
  <c r="CZ54" i="82"/>
  <c r="CY54" i="82"/>
  <c r="CX54" i="82"/>
  <c r="CW54" i="82"/>
  <c r="CV54" i="82"/>
  <c r="CU54" i="82"/>
  <c r="CT54" i="82"/>
  <c r="CS54" i="82"/>
  <c r="CQ54" i="82"/>
  <c r="CP54" i="82"/>
  <c r="CO54" i="82"/>
  <c r="CN54" i="82"/>
  <c r="CM54" i="82"/>
  <c r="CL54" i="82"/>
  <c r="CK54" i="82"/>
  <c r="CJ54" i="82"/>
  <c r="CI54" i="82"/>
  <c r="CH54" i="82"/>
  <c r="CG54" i="82"/>
  <c r="CF54" i="82"/>
  <c r="CE54" i="82"/>
  <c r="CD54" i="82"/>
  <c r="CC54" i="82"/>
  <c r="CB54" i="82"/>
  <c r="CA54" i="82"/>
  <c r="BZ54" i="82"/>
  <c r="BY54" i="82"/>
  <c r="BX54" i="82"/>
  <c r="BV54" i="82"/>
  <c r="BU54" i="82"/>
  <c r="BT54" i="82"/>
  <c r="BS54" i="82"/>
  <c r="BR54" i="82"/>
  <c r="BQ54" i="82"/>
  <c r="BP54" i="82"/>
  <c r="BO54" i="82"/>
  <c r="BN54" i="82"/>
  <c r="BM54" i="82"/>
  <c r="BL54" i="82"/>
  <c r="BK54" i="82"/>
  <c r="BJ54" i="82"/>
  <c r="BI54" i="82"/>
  <c r="BH54" i="82"/>
  <c r="BG54" i="82"/>
  <c r="BF54" i="82"/>
  <c r="BE54" i="82"/>
  <c r="BD54" i="82"/>
  <c r="BC54" i="82"/>
  <c r="BB54" i="82"/>
  <c r="BB66" i="82" s="1"/>
  <c r="BA54" i="82"/>
  <c r="AZ54" i="82"/>
  <c r="AY54" i="82"/>
  <c r="AX54" i="82"/>
  <c r="AW54" i="82"/>
  <c r="AV54" i="82"/>
  <c r="AU54" i="82"/>
  <c r="AT54" i="82"/>
  <c r="AS54" i="82"/>
  <c r="AR54" i="82"/>
  <c r="AQ54" i="82"/>
  <c r="AP54" i="82"/>
  <c r="AO54" i="82"/>
  <c r="AN54" i="82"/>
  <c r="AM54" i="82"/>
  <c r="AL54" i="82"/>
  <c r="AK54" i="82"/>
  <c r="AJ54" i="82"/>
  <c r="AI54" i="82"/>
  <c r="AH54" i="82"/>
  <c r="AF54" i="82"/>
  <c r="AE54" i="82"/>
  <c r="AD54" i="82"/>
  <c r="AC54" i="82"/>
  <c r="AB54" i="82"/>
  <c r="AA54" i="82"/>
  <c r="Z54" i="82"/>
  <c r="Y54" i="82"/>
  <c r="X54" i="82"/>
  <c r="W54" i="82"/>
  <c r="V54" i="82"/>
  <c r="U54" i="82"/>
  <c r="T54" i="82"/>
  <c r="S54" i="82"/>
  <c r="R54" i="82"/>
  <c r="Q54" i="82"/>
  <c r="P54" i="82"/>
  <c r="O54" i="82"/>
  <c r="N54" i="82"/>
  <c r="M54" i="82"/>
  <c r="K54" i="82"/>
  <c r="J54" i="82"/>
  <c r="I54" i="82"/>
  <c r="H54" i="82"/>
  <c r="G54" i="82"/>
  <c r="F54" i="82"/>
  <c r="E54" i="82"/>
  <c r="D54" i="82"/>
  <c r="IU53" i="82"/>
  <c r="IT53" i="82"/>
  <c r="IS53" i="82"/>
  <c r="IR53" i="82"/>
  <c r="IQ53" i="82"/>
  <c r="IP53" i="82"/>
  <c r="IO53" i="82"/>
  <c r="IK53" i="82"/>
  <c r="IJ53" i="82"/>
  <c r="II53" i="82"/>
  <c r="IH53" i="82"/>
  <c r="IB53" i="82"/>
  <c r="IA53" i="82"/>
  <c r="HZ53" i="82"/>
  <c r="HY53" i="82"/>
  <c r="HX53" i="82"/>
  <c r="HW53" i="82"/>
  <c r="HV53" i="82"/>
  <c r="HU53" i="82"/>
  <c r="HT53" i="82"/>
  <c r="HP53" i="82"/>
  <c r="HO53" i="82"/>
  <c r="HN53" i="82"/>
  <c r="HM53" i="82"/>
  <c r="HG53" i="82"/>
  <c r="HF53" i="82"/>
  <c r="HE53" i="82"/>
  <c r="HD53" i="82"/>
  <c r="HC53" i="82"/>
  <c r="HB53" i="82"/>
  <c r="HA53" i="82"/>
  <c r="GZ53" i="82"/>
  <c r="GY53" i="82"/>
  <c r="GU53" i="82"/>
  <c r="GT53" i="82"/>
  <c r="GS53" i="82"/>
  <c r="GR53" i="82"/>
  <c r="GL53" i="82"/>
  <c r="GK53" i="82"/>
  <c r="GJ53" i="82"/>
  <c r="GI53" i="82"/>
  <c r="GH53" i="82"/>
  <c r="GG53" i="82"/>
  <c r="GF53" i="82"/>
  <c r="GE53" i="82"/>
  <c r="GD53" i="82"/>
  <c r="FZ53" i="82"/>
  <c r="FY53" i="82"/>
  <c r="FX53" i="82"/>
  <c r="FW53" i="82"/>
  <c r="FQ53" i="82"/>
  <c r="FP53" i="82"/>
  <c r="FO53" i="82"/>
  <c r="FN53" i="82"/>
  <c r="FM53" i="82"/>
  <c r="FL53" i="82"/>
  <c r="FK53" i="82"/>
  <c r="FJ53" i="82"/>
  <c r="FI53" i="82"/>
  <c r="FE53" i="82"/>
  <c r="FD53" i="82"/>
  <c r="FC53" i="82"/>
  <c r="FB53" i="82"/>
  <c r="EV53" i="82"/>
  <c r="ET53" i="82"/>
  <c r="ES53" i="82"/>
  <c r="ER53" i="82"/>
  <c r="EQ53" i="82"/>
  <c r="EP53" i="82"/>
  <c r="EO53" i="82"/>
  <c r="EN53" i="82"/>
  <c r="EJ53" i="82"/>
  <c r="EI53" i="82"/>
  <c r="EH53" i="82"/>
  <c r="EG53" i="82"/>
  <c r="EA53" i="82"/>
  <c r="DZ53" i="82"/>
  <c r="DY53" i="82"/>
  <c r="DX53" i="82"/>
  <c r="DW53" i="82"/>
  <c r="DV53" i="82"/>
  <c r="DU53" i="82"/>
  <c r="DT53" i="82"/>
  <c r="DS53" i="82"/>
  <c r="DO53" i="82"/>
  <c r="DN53" i="82"/>
  <c r="DM53" i="82"/>
  <c r="DL53" i="82"/>
  <c r="DF53" i="82"/>
  <c r="DE53" i="82"/>
  <c r="DD53" i="82"/>
  <c r="DC53" i="82"/>
  <c r="DB53" i="82"/>
  <c r="DA53" i="82"/>
  <c r="CZ53" i="82"/>
  <c r="CY53" i="82"/>
  <c r="CX53" i="82"/>
  <c r="CT53" i="82"/>
  <c r="CS53" i="82"/>
  <c r="CR53" i="82"/>
  <c r="CQ53" i="82"/>
  <c r="CK53" i="82"/>
  <c r="CJ53" i="82"/>
  <c r="CI53" i="82"/>
  <c r="CH53" i="82"/>
  <c r="CG53" i="82"/>
  <c r="CF53" i="82"/>
  <c r="CE53" i="82"/>
  <c r="CD53" i="82"/>
  <c r="CC53" i="82"/>
  <c r="BY53" i="82"/>
  <c r="BX53" i="82"/>
  <c r="BW53" i="82"/>
  <c r="BV53" i="82"/>
  <c r="BP53" i="82"/>
  <c r="BO53" i="82"/>
  <c r="BN53" i="82"/>
  <c r="BM53" i="82"/>
  <c r="BK53" i="82"/>
  <c r="BJ53" i="82"/>
  <c r="BI53" i="82"/>
  <c r="BD53" i="82"/>
  <c r="BA53" i="82"/>
  <c r="AS53" i="82"/>
  <c r="AR53" i="82"/>
  <c r="AP53" i="82"/>
  <c r="AO53" i="82"/>
  <c r="AN53" i="82"/>
  <c r="AI53" i="82"/>
  <c r="AG53" i="82"/>
  <c r="Z53" i="82"/>
  <c r="Y53" i="82"/>
  <c r="V53" i="82"/>
  <c r="S53" i="82"/>
  <c r="O53" i="82"/>
  <c r="N53" i="82"/>
  <c r="H53" i="82"/>
  <c r="B51" i="82"/>
  <c r="E50" i="82"/>
  <c r="E49" i="82"/>
  <c r="B58" i="82" s="1"/>
  <c r="E48" i="82"/>
  <c r="AN70" i="82" s="1"/>
  <c r="E47" i="82"/>
  <c r="D79" i="82" s="1"/>
  <c r="IP9" i="82"/>
  <c r="IO9" i="82"/>
  <c r="IH9" i="82"/>
  <c r="IB9" i="82"/>
  <c r="IA9" i="82"/>
  <c r="HU9" i="82"/>
  <c r="HT9" i="82"/>
  <c r="HM9" i="82"/>
  <c r="HG9" i="82"/>
  <c r="HF9" i="82"/>
  <c r="GZ9" i="82"/>
  <c r="GY9" i="82"/>
  <c r="GR9" i="82"/>
  <c r="GL9" i="82"/>
  <c r="GK9" i="82"/>
  <c r="GE9" i="82"/>
  <c r="GD9" i="82"/>
  <c r="FW9" i="82"/>
  <c r="FQ9" i="82"/>
  <c r="FP9" i="82"/>
  <c r="FJ9" i="82"/>
  <c r="FI9" i="82"/>
  <c r="FB9" i="82"/>
  <c r="EV9" i="82"/>
  <c r="EU9" i="82"/>
  <c r="EO9" i="82"/>
  <c r="EN9" i="82"/>
  <c r="EG9" i="82"/>
  <c r="EA9" i="82"/>
  <c r="DZ9" i="82"/>
  <c r="DT9" i="82"/>
  <c r="DS9" i="82"/>
  <c r="DL9" i="82"/>
  <c r="DF9" i="82"/>
  <c r="DE9" i="82"/>
  <c r="CY9" i="82"/>
  <c r="CX9" i="82"/>
  <c r="CQ9" i="82"/>
  <c r="CK9" i="82"/>
  <c r="CJ9" i="82"/>
  <c r="CD9" i="82"/>
  <c r="CC9" i="82"/>
  <c r="BV9" i="82"/>
  <c r="BP9" i="82"/>
  <c r="BO9" i="82"/>
  <c r="BI9" i="82"/>
  <c r="BH9" i="82"/>
  <c r="BA9" i="82"/>
  <c r="AU9" i="82"/>
  <c r="AT9" i="82"/>
  <c r="AN9" i="82"/>
  <c r="AM9" i="82"/>
  <c r="AF9" i="82"/>
  <c r="Z9" i="82"/>
  <c r="Y9" i="82"/>
  <c r="S9" i="82"/>
  <c r="R9" i="82"/>
  <c r="K9" i="82"/>
  <c r="E9" i="82"/>
  <c r="D9" i="82"/>
  <c r="B9" i="82"/>
  <c r="A9" i="82"/>
  <c r="II8" i="82"/>
  <c r="II54" i="82" s="1"/>
  <c r="II55" i="82" s="1"/>
  <c r="HN8" i="82"/>
  <c r="HN9" i="82" s="1"/>
  <c r="GS8" i="82"/>
  <c r="GS9" i="82" s="1"/>
  <c r="FX8" i="82"/>
  <c r="FX9" i="82" s="1"/>
  <c r="FC8" i="82"/>
  <c r="FC54" i="82" s="1"/>
  <c r="FC55" i="82" s="1"/>
  <c r="EH8" i="82"/>
  <c r="EH54" i="82" s="1"/>
  <c r="EH55" i="82" s="1"/>
  <c r="DM8" i="82"/>
  <c r="DM9" i="82" s="1"/>
  <c r="CR8" i="82"/>
  <c r="CR9" i="82" s="1"/>
  <c r="BW8" i="82"/>
  <c r="BW54" i="82" s="1"/>
  <c r="BW55" i="82" s="1"/>
  <c r="BB8" i="82"/>
  <c r="BB9" i="82" s="1"/>
  <c r="AG8" i="82"/>
  <c r="AG9" i="82" s="1"/>
  <c r="L8" i="82"/>
  <c r="L9" i="82" s="1"/>
  <c r="IA7" i="82"/>
  <c r="HF7" i="82"/>
  <c r="GK7" i="82"/>
  <c r="FP7" i="82"/>
  <c r="EU7" i="82"/>
  <c r="DZ7" i="82"/>
  <c r="DE7" i="82"/>
  <c r="CJ7" i="82"/>
  <c r="BO7" i="82"/>
  <c r="AT7" i="82"/>
  <c r="Y7" i="82"/>
  <c r="D7" i="82"/>
  <c r="T10" i="1"/>
  <c r="S10" i="1"/>
  <c r="L10" i="1"/>
  <c r="K10" i="1"/>
  <c r="J10" i="1"/>
  <c r="S307" i="7"/>
  <c r="R307" i="7"/>
  <c r="Q307" i="7"/>
  <c r="P307" i="7"/>
  <c r="O307" i="7"/>
  <c r="N307" i="7"/>
  <c r="M307" i="7"/>
  <c r="L307" i="7"/>
  <c r="K307" i="7"/>
  <c r="J307" i="7"/>
  <c r="I307" i="7"/>
  <c r="H307" i="7"/>
  <c r="G307" i="7"/>
  <c r="F307" i="7"/>
  <c r="E307" i="7"/>
  <c r="D307" i="7"/>
  <c r="C307" i="7"/>
  <c r="B307" i="7"/>
  <c r="A307" i="7"/>
  <c r="S306" i="7"/>
  <c r="R306" i="7"/>
  <c r="Q306" i="7"/>
  <c r="P306" i="7"/>
  <c r="O306" i="7"/>
  <c r="N306" i="7"/>
  <c r="M306" i="7"/>
  <c r="L306" i="7"/>
  <c r="K306" i="7"/>
  <c r="J306" i="7"/>
  <c r="I306" i="7"/>
  <c r="H306" i="7"/>
  <c r="G306" i="7"/>
  <c r="F306" i="7"/>
  <c r="E306" i="7"/>
  <c r="D306" i="7"/>
  <c r="C306" i="7"/>
  <c r="B306" i="7"/>
  <c r="A306" i="7"/>
  <c r="S305" i="7"/>
  <c r="R305" i="7"/>
  <c r="Q305" i="7"/>
  <c r="P305" i="7"/>
  <c r="O305" i="7"/>
  <c r="N305" i="7"/>
  <c r="M305" i="7"/>
  <c r="L305" i="7"/>
  <c r="K305" i="7"/>
  <c r="J305" i="7"/>
  <c r="I305" i="7"/>
  <c r="H305" i="7"/>
  <c r="G305" i="7"/>
  <c r="F305" i="7"/>
  <c r="E305" i="7"/>
  <c r="D305" i="7"/>
  <c r="C305" i="7"/>
  <c r="B305" i="7"/>
  <c r="A305" i="7"/>
  <c r="S304" i="7"/>
  <c r="R304" i="7"/>
  <c r="Q304" i="7"/>
  <c r="P304" i="7"/>
  <c r="O304" i="7"/>
  <c r="N304" i="7"/>
  <c r="M304" i="7"/>
  <c r="L304" i="7"/>
  <c r="K304" i="7"/>
  <c r="J304" i="7"/>
  <c r="I304" i="7"/>
  <c r="H304" i="7"/>
  <c r="G304" i="7"/>
  <c r="F304" i="7"/>
  <c r="E304" i="7"/>
  <c r="D304" i="7"/>
  <c r="C304" i="7"/>
  <c r="B304" i="7"/>
  <c r="A304" i="7"/>
  <c r="S303" i="7"/>
  <c r="R303" i="7"/>
  <c r="Q303" i="7"/>
  <c r="P303" i="7"/>
  <c r="O303" i="7"/>
  <c r="N303" i="7"/>
  <c r="M303" i="7"/>
  <c r="L303" i="7"/>
  <c r="K303" i="7"/>
  <c r="J303" i="7"/>
  <c r="I303" i="7"/>
  <c r="H303" i="7"/>
  <c r="G303" i="7"/>
  <c r="F303" i="7"/>
  <c r="E303" i="7"/>
  <c r="D303" i="7"/>
  <c r="C303" i="7"/>
  <c r="B303" i="7"/>
  <c r="A303" i="7"/>
  <c r="S302" i="7"/>
  <c r="R302" i="7"/>
  <c r="Q302" i="7"/>
  <c r="P302" i="7"/>
  <c r="O302" i="7"/>
  <c r="N302" i="7"/>
  <c r="M302" i="7"/>
  <c r="L302" i="7"/>
  <c r="K302" i="7"/>
  <c r="J302" i="7"/>
  <c r="I302" i="7"/>
  <c r="H302" i="7"/>
  <c r="G302" i="7"/>
  <c r="F302" i="7"/>
  <c r="E302" i="7"/>
  <c r="D302" i="7"/>
  <c r="C302" i="7"/>
  <c r="B302" i="7"/>
  <c r="A302" i="7"/>
  <c r="S301" i="7"/>
  <c r="R301" i="7"/>
  <c r="Q301" i="7"/>
  <c r="P301" i="7"/>
  <c r="O301" i="7"/>
  <c r="N301" i="7"/>
  <c r="M301" i="7"/>
  <c r="L301" i="7"/>
  <c r="K301" i="7"/>
  <c r="J301" i="7"/>
  <c r="I301" i="7"/>
  <c r="H301" i="7"/>
  <c r="G301" i="7"/>
  <c r="F301" i="7"/>
  <c r="E301" i="7"/>
  <c r="D301" i="7"/>
  <c r="C301" i="7"/>
  <c r="B301" i="7"/>
  <c r="A301" i="7"/>
  <c r="S300" i="7"/>
  <c r="R300" i="7"/>
  <c r="Q300" i="7"/>
  <c r="P300" i="7"/>
  <c r="O300" i="7"/>
  <c r="N300" i="7"/>
  <c r="M300" i="7"/>
  <c r="L300" i="7"/>
  <c r="K300" i="7"/>
  <c r="J300" i="7"/>
  <c r="I300" i="7"/>
  <c r="H300" i="7"/>
  <c r="G300" i="7"/>
  <c r="F300" i="7"/>
  <c r="E300" i="7"/>
  <c r="D300" i="7"/>
  <c r="C300" i="7"/>
  <c r="B300" i="7"/>
  <c r="A300" i="7"/>
  <c r="S299" i="7"/>
  <c r="R299" i="7"/>
  <c r="Q299" i="7"/>
  <c r="P299" i="7"/>
  <c r="O299" i="7"/>
  <c r="N299" i="7"/>
  <c r="M299" i="7"/>
  <c r="L299" i="7"/>
  <c r="K299" i="7"/>
  <c r="J299" i="7"/>
  <c r="I299" i="7"/>
  <c r="H299" i="7"/>
  <c r="G299" i="7"/>
  <c r="F299" i="7"/>
  <c r="E299" i="7"/>
  <c r="D299" i="7"/>
  <c r="C299" i="7"/>
  <c r="B299" i="7"/>
  <c r="A299" i="7"/>
  <c r="S298" i="7"/>
  <c r="R298" i="7"/>
  <c r="Q298" i="7"/>
  <c r="P298" i="7"/>
  <c r="O298" i="7"/>
  <c r="N298" i="7"/>
  <c r="M298" i="7"/>
  <c r="L298" i="7"/>
  <c r="K298" i="7"/>
  <c r="J298" i="7"/>
  <c r="I298" i="7"/>
  <c r="H298" i="7"/>
  <c r="G298" i="7"/>
  <c r="F298" i="7"/>
  <c r="E298" i="7"/>
  <c r="D298" i="7"/>
  <c r="C298" i="7"/>
  <c r="B298" i="7"/>
  <c r="A298" i="7"/>
  <c r="S297" i="7"/>
  <c r="R297" i="7"/>
  <c r="Q297" i="7"/>
  <c r="P297" i="7"/>
  <c r="O297" i="7"/>
  <c r="N297" i="7"/>
  <c r="M297" i="7"/>
  <c r="L297" i="7"/>
  <c r="K297" i="7"/>
  <c r="J297" i="7"/>
  <c r="I297" i="7"/>
  <c r="H297" i="7"/>
  <c r="G297" i="7"/>
  <c r="F297" i="7"/>
  <c r="E297" i="7"/>
  <c r="D297" i="7"/>
  <c r="C297" i="7"/>
  <c r="B297" i="7"/>
  <c r="A297" i="7"/>
  <c r="S296" i="7"/>
  <c r="R296" i="7"/>
  <c r="Q296" i="7"/>
  <c r="P296" i="7"/>
  <c r="O296" i="7"/>
  <c r="N296" i="7"/>
  <c r="M296" i="7"/>
  <c r="L296" i="7"/>
  <c r="K296" i="7"/>
  <c r="J296" i="7"/>
  <c r="I296" i="7"/>
  <c r="H296" i="7"/>
  <c r="G296" i="7"/>
  <c r="F296" i="7"/>
  <c r="E296" i="7"/>
  <c r="D296" i="7"/>
  <c r="C296" i="7"/>
  <c r="B296" i="7"/>
  <c r="A296" i="7"/>
  <c r="S295" i="7"/>
  <c r="R295" i="7"/>
  <c r="Q295" i="7"/>
  <c r="P295" i="7"/>
  <c r="O295" i="7"/>
  <c r="N295" i="7"/>
  <c r="M295" i="7"/>
  <c r="L295" i="7"/>
  <c r="K295" i="7"/>
  <c r="J295" i="7"/>
  <c r="I295" i="7"/>
  <c r="H295" i="7"/>
  <c r="G295" i="7"/>
  <c r="F295" i="7"/>
  <c r="E295" i="7"/>
  <c r="D295" i="7"/>
  <c r="C295" i="7"/>
  <c r="B295" i="7"/>
  <c r="A295" i="7"/>
  <c r="S294" i="7"/>
  <c r="R294" i="7"/>
  <c r="Q294" i="7"/>
  <c r="P294" i="7"/>
  <c r="O294" i="7"/>
  <c r="N294" i="7"/>
  <c r="M294" i="7"/>
  <c r="L294" i="7"/>
  <c r="K294" i="7"/>
  <c r="J294" i="7"/>
  <c r="I294" i="7"/>
  <c r="H294" i="7"/>
  <c r="G294" i="7"/>
  <c r="F294" i="7"/>
  <c r="E294" i="7"/>
  <c r="D294" i="7"/>
  <c r="C294" i="7"/>
  <c r="B294" i="7"/>
  <c r="A294" i="7"/>
  <c r="S293" i="7"/>
  <c r="R293" i="7"/>
  <c r="Q293" i="7"/>
  <c r="P293" i="7"/>
  <c r="O293" i="7"/>
  <c r="N293" i="7"/>
  <c r="M293" i="7"/>
  <c r="L293" i="7"/>
  <c r="K293" i="7"/>
  <c r="J293" i="7"/>
  <c r="I293" i="7"/>
  <c r="H293" i="7"/>
  <c r="G293" i="7"/>
  <c r="F293" i="7"/>
  <c r="E293" i="7"/>
  <c r="D293" i="7"/>
  <c r="C293" i="7"/>
  <c r="B293" i="7"/>
  <c r="A293" i="7"/>
  <c r="S292" i="7"/>
  <c r="R292" i="7"/>
  <c r="Q292" i="7"/>
  <c r="P292" i="7"/>
  <c r="O292" i="7"/>
  <c r="N292" i="7"/>
  <c r="M292" i="7"/>
  <c r="L292" i="7"/>
  <c r="K292" i="7"/>
  <c r="J292" i="7"/>
  <c r="I292" i="7"/>
  <c r="H292" i="7"/>
  <c r="G292" i="7"/>
  <c r="F292" i="7"/>
  <c r="E292" i="7"/>
  <c r="D292" i="7"/>
  <c r="C292" i="7"/>
  <c r="B292" i="7"/>
  <c r="A292" i="7"/>
  <c r="S291" i="7"/>
  <c r="R291" i="7"/>
  <c r="Q291" i="7"/>
  <c r="P291" i="7"/>
  <c r="O291" i="7"/>
  <c r="N291" i="7"/>
  <c r="M291" i="7"/>
  <c r="L291" i="7"/>
  <c r="K291" i="7"/>
  <c r="J291" i="7"/>
  <c r="I291" i="7"/>
  <c r="H291" i="7"/>
  <c r="G291" i="7"/>
  <c r="F291" i="7"/>
  <c r="E291" i="7"/>
  <c r="D291" i="7"/>
  <c r="C291" i="7"/>
  <c r="B291" i="7"/>
  <c r="A291" i="7"/>
  <c r="S290" i="7"/>
  <c r="R290" i="7"/>
  <c r="Q290" i="7"/>
  <c r="P290" i="7"/>
  <c r="O290" i="7"/>
  <c r="N290" i="7"/>
  <c r="M290" i="7"/>
  <c r="L290" i="7"/>
  <c r="K290" i="7"/>
  <c r="J290" i="7"/>
  <c r="I290" i="7"/>
  <c r="H290" i="7"/>
  <c r="G290" i="7"/>
  <c r="F290" i="7"/>
  <c r="E290" i="7"/>
  <c r="D290" i="7"/>
  <c r="C290" i="7"/>
  <c r="B290" i="7"/>
  <c r="A290" i="7"/>
  <c r="S289" i="7"/>
  <c r="R289" i="7"/>
  <c r="Q289" i="7"/>
  <c r="P289" i="7"/>
  <c r="O289" i="7"/>
  <c r="N289" i="7"/>
  <c r="M289" i="7"/>
  <c r="L289" i="7"/>
  <c r="K289" i="7"/>
  <c r="J289" i="7"/>
  <c r="I289" i="7"/>
  <c r="H289" i="7"/>
  <c r="G289" i="7"/>
  <c r="F289" i="7"/>
  <c r="E289" i="7"/>
  <c r="D289" i="7"/>
  <c r="C289" i="7"/>
  <c r="B289" i="7"/>
  <c r="A289" i="7"/>
  <c r="S288" i="7"/>
  <c r="R288" i="7"/>
  <c r="Q288" i="7"/>
  <c r="P288" i="7"/>
  <c r="O288" i="7"/>
  <c r="N288" i="7"/>
  <c r="M288" i="7"/>
  <c r="L288" i="7"/>
  <c r="K288" i="7"/>
  <c r="J288" i="7"/>
  <c r="I288" i="7"/>
  <c r="H288" i="7"/>
  <c r="G288" i="7"/>
  <c r="F288" i="7"/>
  <c r="E288" i="7"/>
  <c r="D288" i="7"/>
  <c r="C288" i="7"/>
  <c r="B288" i="7"/>
  <c r="A288" i="7"/>
  <c r="S287" i="7"/>
  <c r="R287" i="7"/>
  <c r="Q287" i="7"/>
  <c r="P287" i="7"/>
  <c r="O287" i="7"/>
  <c r="N287" i="7"/>
  <c r="M287" i="7"/>
  <c r="L287" i="7"/>
  <c r="K287" i="7"/>
  <c r="J287" i="7"/>
  <c r="I287" i="7"/>
  <c r="H287" i="7"/>
  <c r="G287" i="7"/>
  <c r="F287" i="7"/>
  <c r="E287" i="7"/>
  <c r="D287" i="7"/>
  <c r="C287" i="7"/>
  <c r="B287" i="7"/>
  <c r="A287" i="7"/>
  <c r="S286" i="7"/>
  <c r="R286" i="7"/>
  <c r="Q286" i="7"/>
  <c r="P286" i="7"/>
  <c r="O286" i="7"/>
  <c r="N286" i="7"/>
  <c r="M286" i="7"/>
  <c r="L286" i="7"/>
  <c r="K286" i="7"/>
  <c r="J286" i="7"/>
  <c r="I286" i="7"/>
  <c r="H286" i="7"/>
  <c r="G286" i="7"/>
  <c r="F286" i="7"/>
  <c r="E286" i="7"/>
  <c r="D286" i="7"/>
  <c r="C286" i="7"/>
  <c r="B286" i="7"/>
  <c r="A286" i="7"/>
  <c r="S285" i="7"/>
  <c r="R285" i="7"/>
  <c r="Q285" i="7"/>
  <c r="P285" i="7"/>
  <c r="O285" i="7"/>
  <c r="N285" i="7"/>
  <c r="M285" i="7"/>
  <c r="L285" i="7"/>
  <c r="K285" i="7"/>
  <c r="J285" i="7"/>
  <c r="I285" i="7"/>
  <c r="H285" i="7"/>
  <c r="G285" i="7"/>
  <c r="F285" i="7"/>
  <c r="E285" i="7"/>
  <c r="D285" i="7"/>
  <c r="C285" i="7"/>
  <c r="B285" i="7"/>
  <c r="A285" i="7"/>
  <c r="S284" i="7"/>
  <c r="R284" i="7"/>
  <c r="Q284" i="7"/>
  <c r="P284" i="7"/>
  <c r="O284" i="7"/>
  <c r="N284" i="7"/>
  <c r="M284" i="7"/>
  <c r="L284" i="7"/>
  <c r="K284" i="7"/>
  <c r="J284" i="7"/>
  <c r="I284" i="7"/>
  <c r="H284" i="7"/>
  <c r="G284" i="7"/>
  <c r="F284" i="7"/>
  <c r="E284" i="7"/>
  <c r="D284" i="7"/>
  <c r="C284" i="7"/>
  <c r="B284" i="7"/>
  <c r="A284" i="7"/>
  <c r="S283" i="7"/>
  <c r="R283" i="7"/>
  <c r="Q283" i="7"/>
  <c r="P283" i="7"/>
  <c r="O283" i="7"/>
  <c r="N283" i="7"/>
  <c r="M283" i="7"/>
  <c r="L283" i="7"/>
  <c r="K283" i="7"/>
  <c r="J283" i="7"/>
  <c r="I283" i="7"/>
  <c r="H283" i="7"/>
  <c r="G283" i="7"/>
  <c r="F283" i="7"/>
  <c r="E283" i="7"/>
  <c r="D283" i="7"/>
  <c r="C283" i="7"/>
  <c r="B283" i="7"/>
  <c r="A283" i="7"/>
  <c r="S282" i="7"/>
  <c r="R282" i="7"/>
  <c r="Q282" i="7"/>
  <c r="P282" i="7"/>
  <c r="O282" i="7"/>
  <c r="N282" i="7"/>
  <c r="M282" i="7"/>
  <c r="L282" i="7"/>
  <c r="K282" i="7"/>
  <c r="J282" i="7"/>
  <c r="I282" i="7"/>
  <c r="H282" i="7"/>
  <c r="G282" i="7"/>
  <c r="F282" i="7"/>
  <c r="E282" i="7"/>
  <c r="D282" i="7"/>
  <c r="C282" i="7"/>
  <c r="B282" i="7"/>
  <c r="A282" i="7"/>
  <c r="S281" i="7"/>
  <c r="R281" i="7"/>
  <c r="Q281" i="7"/>
  <c r="P281" i="7"/>
  <c r="O281" i="7"/>
  <c r="N281" i="7"/>
  <c r="M281" i="7"/>
  <c r="L281" i="7"/>
  <c r="K281" i="7"/>
  <c r="J281" i="7"/>
  <c r="I281" i="7"/>
  <c r="H281" i="7"/>
  <c r="G281" i="7"/>
  <c r="F281" i="7"/>
  <c r="E281" i="7"/>
  <c r="D281" i="7"/>
  <c r="C281" i="7"/>
  <c r="B281" i="7"/>
  <c r="A281" i="7"/>
  <c r="S280" i="7"/>
  <c r="R280" i="7"/>
  <c r="Q280" i="7"/>
  <c r="P280" i="7"/>
  <c r="O280" i="7"/>
  <c r="N280" i="7"/>
  <c r="M280" i="7"/>
  <c r="L280" i="7"/>
  <c r="K280" i="7"/>
  <c r="J280" i="7"/>
  <c r="I280" i="7"/>
  <c r="H280" i="7"/>
  <c r="G280" i="7"/>
  <c r="F280" i="7"/>
  <c r="E280" i="7"/>
  <c r="D280" i="7"/>
  <c r="C280" i="7"/>
  <c r="B280" i="7"/>
  <c r="A280" i="7"/>
  <c r="S279" i="7"/>
  <c r="R279" i="7"/>
  <c r="Q279" i="7"/>
  <c r="P279" i="7"/>
  <c r="O279" i="7"/>
  <c r="N279" i="7"/>
  <c r="M279" i="7"/>
  <c r="L279" i="7"/>
  <c r="K279" i="7"/>
  <c r="J279" i="7"/>
  <c r="I279" i="7"/>
  <c r="H279" i="7"/>
  <c r="G279" i="7"/>
  <c r="F279" i="7"/>
  <c r="E279" i="7"/>
  <c r="D279" i="7"/>
  <c r="C279" i="7"/>
  <c r="B279" i="7"/>
  <c r="A279" i="7"/>
  <c r="S278" i="7"/>
  <c r="R278" i="7"/>
  <c r="Q278" i="7"/>
  <c r="P278" i="7"/>
  <c r="O278" i="7"/>
  <c r="N278" i="7"/>
  <c r="M278" i="7"/>
  <c r="L278" i="7"/>
  <c r="K278" i="7"/>
  <c r="J278" i="7"/>
  <c r="I278" i="7"/>
  <c r="H278" i="7"/>
  <c r="G278" i="7"/>
  <c r="F278" i="7"/>
  <c r="E278" i="7"/>
  <c r="D278" i="7"/>
  <c r="C278" i="7"/>
  <c r="B278" i="7"/>
  <c r="A278" i="7"/>
  <c r="S277" i="7"/>
  <c r="R277" i="7"/>
  <c r="Q277" i="7"/>
  <c r="P277" i="7"/>
  <c r="O277" i="7"/>
  <c r="N277" i="7"/>
  <c r="M277" i="7"/>
  <c r="L277" i="7"/>
  <c r="K277" i="7"/>
  <c r="J277" i="7"/>
  <c r="I277" i="7"/>
  <c r="H277" i="7"/>
  <c r="G277" i="7"/>
  <c r="F277" i="7"/>
  <c r="E277" i="7"/>
  <c r="D277" i="7"/>
  <c r="C277" i="7"/>
  <c r="B277" i="7"/>
  <c r="A277" i="7"/>
  <c r="S276" i="7"/>
  <c r="R276" i="7"/>
  <c r="Q276" i="7"/>
  <c r="P276" i="7"/>
  <c r="O276" i="7"/>
  <c r="N276" i="7"/>
  <c r="M276" i="7"/>
  <c r="L276" i="7"/>
  <c r="K276" i="7"/>
  <c r="J276" i="7"/>
  <c r="I276" i="7"/>
  <c r="H276" i="7"/>
  <c r="G276" i="7"/>
  <c r="F276" i="7"/>
  <c r="E276" i="7"/>
  <c r="D276" i="7"/>
  <c r="C276" i="7"/>
  <c r="B276" i="7"/>
  <c r="A276" i="7"/>
  <c r="S275" i="7"/>
  <c r="R275" i="7"/>
  <c r="Q275" i="7"/>
  <c r="P275" i="7"/>
  <c r="O275" i="7"/>
  <c r="N275" i="7"/>
  <c r="M275" i="7"/>
  <c r="L275" i="7"/>
  <c r="K275" i="7"/>
  <c r="J275" i="7"/>
  <c r="I275" i="7"/>
  <c r="H275" i="7"/>
  <c r="G275" i="7"/>
  <c r="F275" i="7"/>
  <c r="E275" i="7"/>
  <c r="D275" i="7"/>
  <c r="C275" i="7"/>
  <c r="B275" i="7"/>
  <c r="A275" i="7"/>
  <c r="S274" i="7"/>
  <c r="R274" i="7"/>
  <c r="Q274" i="7"/>
  <c r="P274" i="7"/>
  <c r="O274" i="7"/>
  <c r="N274" i="7"/>
  <c r="M274" i="7"/>
  <c r="L274" i="7"/>
  <c r="K274" i="7"/>
  <c r="J274" i="7"/>
  <c r="I274" i="7"/>
  <c r="H274" i="7"/>
  <c r="G274" i="7"/>
  <c r="F274" i="7"/>
  <c r="E274" i="7"/>
  <c r="D274" i="7"/>
  <c r="C274" i="7"/>
  <c r="B274" i="7"/>
  <c r="A274" i="7"/>
  <c r="S273" i="7"/>
  <c r="R273" i="7"/>
  <c r="Q273" i="7"/>
  <c r="P273" i="7"/>
  <c r="O273" i="7"/>
  <c r="N273" i="7"/>
  <c r="M273" i="7"/>
  <c r="L273" i="7"/>
  <c r="K273" i="7"/>
  <c r="J273" i="7"/>
  <c r="I273" i="7"/>
  <c r="H273" i="7"/>
  <c r="G273" i="7"/>
  <c r="F273" i="7"/>
  <c r="E273" i="7"/>
  <c r="D273" i="7"/>
  <c r="C273" i="7"/>
  <c r="B273" i="7"/>
  <c r="A273" i="7"/>
  <c r="S272" i="7"/>
  <c r="R272" i="7"/>
  <c r="Q272" i="7"/>
  <c r="P272" i="7"/>
  <c r="O272" i="7"/>
  <c r="N272" i="7"/>
  <c r="M272" i="7"/>
  <c r="L272" i="7"/>
  <c r="K272" i="7"/>
  <c r="J272" i="7"/>
  <c r="I272" i="7"/>
  <c r="H272" i="7"/>
  <c r="G272" i="7"/>
  <c r="F272" i="7"/>
  <c r="E272" i="7"/>
  <c r="D272" i="7"/>
  <c r="C272" i="7"/>
  <c r="B272" i="7"/>
  <c r="A272" i="7"/>
  <c r="S271" i="7"/>
  <c r="R271" i="7"/>
  <c r="Q271" i="7"/>
  <c r="P271" i="7"/>
  <c r="O271" i="7"/>
  <c r="N271" i="7"/>
  <c r="M271" i="7"/>
  <c r="L271" i="7"/>
  <c r="K271" i="7"/>
  <c r="J271" i="7"/>
  <c r="I271" i="7"/>
  <c r="H271" i="7"/>
  <c r="G271" i="7"/>
  <c r="F271" i="7"/>
  <c r="E271" i="7"/>
  <c r="D271" i="7"/>
  <c r="C271" i="7"/>
  <c r="B271" i="7"/>
  <c r="A271" i="7"/>
  <c r="S270" i="7"/>
  <c r="R270" i="7"/>
  <c r="Q270" i="7"/>
  <c r="P270" i="7"/>
  <c r="O270" i="7"/>
  <c r="N270" i="7"/>
  <c r="M270" i="7"/>
  <c r="L270" i="7"/>
  <c r="K270" i="7"/>
  <c r="J270" i="7"/>
  <c r="I270" i="7"/>
  <c r="H270" i="7"/>
  <c r="G270" i="7"/>
  <c r="F270" i="7"/>
  <c r="E270" i="7"/>
  <c r="D270" i="7"/>
  <c r="C270" i="7"/>
  <c r="B270" i="7"/>
  <c r="A270" i="7"/>
  <c r="S269" i="7"/>
  <c r="R269" i="7"/>
  <c r="Q269" i="7"/>
  <c r="P269" i="7"/>
  <c r="O269" i="7"/>
  <c r="N269" i="7"/>
  <c r="M269" i="7"/>
  <c r="L269" i="7"/>
  <c r="K269" i="7"/>
  <c r="J269" i="7"/>
  <c r="I269" i="7"/>
  <c r="H269" i="7"/>
  <c r="G269" i="7"/>
  <c r="F269" i="7"/>
  <c r="E269" i="7"/>
  <c r="D269" i="7"/>
  <c r="C269" i="7"/>
  <c r="B269" i="7"/>
  <c r="A269" i="7"/>
  <c r="S268" i="7"/>
  <c r="R268" i="7"/>
  <c r="Q268" i="7"/>
  <c r="P268" i="7"/>
  <c r="O268" i="7"/>
  <c r="N268" i="7"/>
  <c r="M268" i="7"/>
  <c r="L268" i="7"/>
  <c r="K268" i="7"/>
  <c r="J268" i="7"/>
  <c r="I268" i="7"/>
  <c r="H268" i="7"/>
  <c r="G268" i="7"/>
  <c r="F268" i="7"/>
  <c r="E268" i="7"/>
  <c r="D268" i="7"/>
  <c r="C268" i="7"/>
  <c r="B268" i="7"/>
  <c r="A268" i="7"/>
  <c r="S267" i="7"/>
  <c r="R267" i="7"/>
  <c r="Q267" i="7"/>
  <c r="P267" i="7"/>
  <c r="O267" i="7"/>
  <c r="N267" i="7"/>
  <c r="M267" i="7"/>
  <c r="L267" i="7"/>
  <c r="K267" i="7"/>
  <c r="J267" i="7"/>
  <c r="I267" i="7"/>
  <c r="H267" i="7"/>
  <c r="G267" i="7"/>
  <c r="F267" i="7"/>
  <c r="E267" i="7"/>
  <c r="D267" i="7"/>
  <c r="C267" i="7"/>
  <c r="B267" i="7"/>
  <c r="A267" i="7"/>
  <c r="S266" i="7"/>
  <c r="R266" i="7"/>
  <c r="Q266" i="7"/>
  <c r="P266" i="7"/>
  <c r="O266" i="7"/>
  <c r="N266" i="7"/>
  <c r="M266" i="7"/>
  <c r="L266" i="7"/>
  <c r="K266" i="7"/>
  <c r="J266" i="7"/>
  <c r="I266" i="7"/>
  <c r="H266" i="7"/>
  <c r="G266" i="7"/>
  <c r="F266" i="7"/>
  <c r="E266" i="7"/>
  <c r="D266" i="7"/>
  <c r="C266" i="7"/>
  <c r="B266" i="7"/>
  <c r="A266" i="7"/>
  <c r="S265" i="7"/>
  <c r="R265" i="7"/>
  <c r="Q265" i="7"/>
  <c r="P265" i="7"/>
  <c r="O265" i="7"/>
  <c r="N265" i="7"/>
  <c r="M265" i="7"/>
  <c r="L265" i="7"/>
  <c r="K265" i="7"/>
  <c r="J265" i="7"/>
  <c r="I265" i="7"/>
  <c r="H265" i="7"/>
  <c r="G265" i="7"/>
  <c r="F265" i="7"/>
  <c r="E265" i="7"/>
  <c r="D265" i="7"/>
  <c r="C265" i="7"/>
  <c r="B265" i="7"/>
  <c r="A265" i="7"/>
  <c r="S264" i="7"/>
  <c r="R264" i="7"/>
  <c r="Q264" i="7"/>
  <c r="P264" i="7"/>
  <c r="O264" i="7"/>
  <c r="N264" i="7"/>
  <c r="M264" i="7"/>
  <c r="L264" i="7"/>
  <c r="K264" i="7"/>
  <c r="J264" i="7"/>
  <c r="I264" i="7"/>
  <c r="H264" i="7"/>
  <c r="G264" i="7"/>
  <c r="F264" i="7"/>
  <c r="E264" i="7"/>
  <c r="D264" i="7"/>
  <c r="C264" i="7"/>
  <c r="B264" i="7"/>
  <c r="A264" i="7"/>
  <c r="S263" i="7"/>
  <c r="R263" i="7"/>
  <c r="Q263" i="7"/>
  <c r="P263" i="7"/>
  <c r="O263" i="7"/>
  <c r="N263" i="7"/>
  <c r="M263" i="7"/>
  <c r="L263" i="7"/>
  <c r="K263" i="7"/>
  <c r="J263" i="7"/>
  <c r="I263" i="7"/>
  <c r="H263" i="7"/>
  <c r="G263" i="7"/>
  <c r="F263" i="7"/>
  <c r="E263" i="7"/>
  <c r="D263" i="7"/>
  <c r="C263" i="7"/>
  <c r="B263" i="7"/>
  <c r="A263" i="7"/>
  <c r="S262" i="7"/>
  <c r="R262" i="7"/>
  <c r="Q262" i="7"/>
  <c r="P262" i="7"/>
  <c r="O262" i="7"/>
  <c r="N262" i="7"/>
  <c r="M262" i="7"/>
  <c r="L262" i="7"/>
  <c r="K262" i="7"/>
  <c r="J262" i="7"/>
  <c r="I262" i="7"/>
  <c r="H262" i="7"/>
  <c r="G262" i="7"/>
  <c r="F262" i="7"/>
  <c r="E262" i="7"/>
  <c r="D262" i="7"/>
  <c r="C262" i="7"/>
  <c r="B262" i="7"/>
  <c r="A262" i="7"/>
  <c r="S261" i="7"/>
  <c r="R261" i="7"/>
  <c r="Q261" i="7"/>
  <c r="P261" i="7"/>
  <c r="O261" i="7"/>
  <c r="N261" i="7"/>
  <c r="M261" i="7"/>
  <c r="L261" i="7"/>
  <c r="K261" i="7"/>
  <c r="J261" i="7"/>
  <c r="I261" i="7"/>
  <c r="H261" i="7"/>
  <c r="G261" i="7"/>
  <c r="F261" i="7"/>
  <c r="E261" i="7"/>
  <c r="D261" i="7"/>
  <c r="C261" i="7"/>
  <c r="B261" i="7"/>
  <c r="A261" i="7"/>
  <c r="S260" i="7"/>
  <c r="R260" i="7"/>
  <c r="Q260" i="7"/>
  <c r="P260" i="7"/>
  <c r="O260" i="7"/>
  <c r="N260" i="7"/>
  <c r="M260" i="7"/>
  <c r="L260" i="7"/>
  <c r="K260" i="7"/>
  <c r="J260" i="7"/>
  <c r="I260" i="7"/>
  <c r="H260" i="7"/>
  <c r="G260" i="7"/>
  <c r="F260" i="7"/>
  <c r="E260" i="7"/>
  <c r="D260" i="7"/>
  <c r="C260" i="7"/>
  <c r="B260" i="7"/>
  <c r="A260" i="7"/>
  <c r="S259" i="7"/>
  <c r="R259" i="7"/>
  <c r="Q259" i="7"/>
  <c r="P259" i="7"/>
  <c r="O259" i="7"/>
  <c r="N259" i="7"/>
  <c r="M259" i="7"/>
  <c r="L259" i="7"/>
  <c r="K259" i="7"/>
  <c r="J259" i="7"/>
  <c r="I259" i="7"/>
  <c r="H259" i="7"/>
  <c r="G259" i="7"/>
  <c r="F259" i="7"/>
  <c r="E259" i="7"/>
  <c r="D259" i="7"/>
  <c r="C259" i="7"/>
  <c r="B259" i="7"/>
  <c r="A259" i="7"/>
  <c r="S258" i="7"/>
  <c r="R258" i="7"/>
  <c r="Q258" i="7"/>
  <c r="P258" i="7"/>
  <c r="O258" i="7"/>
  <c r="N258" i="7"/>
  <c r="M258" i="7"/>
  <c r="L258" i="7"/>
  <c r="K258" i="7"/>
  <c r="J258" i="7"/>
  <c r="I258" i="7"/>
  <c r="H258" i="7"/>
  <c r="G258" i="7"/>
  <c r="F258" i="7"/>
  <c r="E258" i="7"/>
  <c r="D258" i="7"/>
  <c r="C258" i="7"/>
  <c r="B258" i="7"/>
  <c r="A258" i="7"/>
  <c r="S257" i="7"/>
  <c r="R257" i="7"/>
  <c r="Q257" i="7"/>
  <c r="P257" i="7"/>
  <c r="O257" i="7"/>
  <c r="N257" i="7"/>
  <c r="M257" i="7"/>
  <c r="L257" i="7"/>
  <c r="K257" i="7"/>
  <c r="J257" i="7"/>
  <c r="I257" i="7"/>
  <c r="H257" i="7"/>
  <c r="G257" i="7"/>
  <c r="F257" i="7"/>
  <c r="E257" i="7"/>
  <c r="D257" i="7"/>
  <c r="C257" i="7"/>
  <c r="B257" i="7"/>
  <c r="A257" i="7"/>
  <c r="S256" i="7"/>
  <c r="R256" i="7"/>
  <c r="Q256" i="7"/>
  <c r="P256" i="7"/>
  <c r="O256" i="7"/>
  <c r="N256" i="7"/>
  <c r="M256" i="7"/>
  <c r="L256" i="7"/>
  <c r="K256" i="7"/>
  <c r="J256" i="7"/>
  <c r="I256" i="7"/>
  <c r="H256" i="7"/>
  <c r="G256" i="7"/>
  <c r="F256" i="7"/>
  <c r="E256" i="7"/>
  <c r="D256" i="7"/>
  <c r="C256" i="7"/>
  <c r="B256" i="7"/>
  <c r="A256" i="7"/>
  <c r="S255" i="7"/>
  <c r="R255" i="7"/>
  <c r="Q255" i="7"/>
  <c r="P255" i="7"/>
  <c r="O255" i="7"/>
  <c r="N255" i="7"/>
  <c r="M255" i="7"/>
  <c r="L255" i="7"/>
  <c r="K255" i="7"/>
  <c r="J255" i="7"/>
  <c r="I255" i="7"/>
  <c r="H255" i="7"/>
  <c r="G255" i="7"/>
  <c r="F255" i="7"/>
  <c r="E255" i="7"/>
  <c r="D255" i="7"/>
  <c r="C255" i="7"/>
  <c r="B255" i="7"/>
  <c r="A255" i="7"/>
  <c r="S254" i="7"/>
  <c r="R254" i="7"/>
  <c r="Q254" i="7"/>
  <c r="P254" i="7"/>
  <c r="O254" i="7"/>
  <c r="N254" i="7"/>
  <c r="M254" i="7"/>
  <c r="L254" i="7"/>
  <c r="K254" i="7"/>
  <c r="J254" i="7"/>
  <c r="I254" i="7"/>
  <c r="H254" i="7"/>
  <c r="G254" i="7"/>
  <c r="F254" i="7"/>
  <c r="E254" i="7"/>
  <c r="D254" i="7"/>
  <c r="C254" i="7"/>
  <c r="B254" i="7"/>
  <c r="A254" i="7"/>
  <c r="S253" i="7"/>
  <c r="R253" i="7"/>
  <c r="Q253" i="7"/>
  <c r="P253" i="7"/>
  <c r="O253" i="7"/>
  <c r="N253" i="7"/>
  <c r="M253" i="7"/>
  <c r="L253" i="7"/>
  <c r="K253" i="7"/>
  <c r="J253" i="7"/>
  <c r="I253" i="7"/>
  <c r="H253" i="7"/>
  <c r="G253" i="7"/>
  <c r="F253" i="7"/>
  <c r="E253" i="7"/>
  <c r="D253" i="7"/>
  <c r="C253" i="7"/>
  <c r="B253" i="7"/>
  <c r="A253" i="7"/>
  <c r="S252" i="7"/>
  <c r="R252" i="7"/>
  <c r="Q252" i="7"/>
  <c r="P252" i="7"/>
  <c r="O252" i="7"/>
  <c r="N252" i="7"/>
  <c r="M252" i="7"/>
  <c r="L252" i="7"/>
  <c r="K252" i="7"/>
  <c r="J252" i="7"/>
  <c r="I252" i="7"/>
  <c r="H252" i="7"/>
  <c r="G252" i="7"/>
  <c r="F252" i="7"/>
  <c r="E252" i="7"/>
  <c r="D252" i="7"/>
  <c r="C252" i="7"/>
  <c r="B252" i="7"/>
  <c r="A252" i="7"/>
  <c r="S251" i="7"/>
  <c r="R251" i="7"/>
  <c r="Q251" i="7"/>
  <c r="P251" i="7"/>
  <c r="O251" i="7"/>
  <c r="N251" i="7"/>
  <c r="M251" i="7"/>
  <c r="L251" i="7"/>
  <c r="K251" i="7"/>
  <c r="J251" i="7"/>
  <c r="I251" i="7"/>
  <c r="H251" i="7"/>
  <c r="G251" i="7"/>
  <c r="F251" i="7"/>
  <c r="E251" i="7"/>
  <c r="D251" i="7"/>
  <c r="C251" i="7"/>
  <c r="B251" i="7"/>
  <c r="A251" i="7"/>
  <c r="S250" i="7"/>
  <c r="R250" i="7"/>
  <c r="Q250" i="7"/>
  <c r="P250" i="7"/>
  <c r="O250" i="7"/>
  <c r="N250" i="7"/>
  <c r="M250" i="7"/>
  <c r="L250" i="7"/>
  <c r="K250" i="7"/>
  <c r="J250" i="7"/>
  <c r="I250" i="7"/>
  <c r="H250" i="7"/>
  <c r="G250" i="7"/>
  <c r="F250" i="7"/>
  <c r="E250" i="7"/>
  <c r="D250" i="7"/>
  <c r="C250" i="7"/>
  <c r="B250" i="7"/>
  <c r="A250" i="7"/>
  <c r="S249" i="7"/>
  <c r="R249" i="7"/>
  <c r="Q249" i="7"/>
  <c r="P249" i="7"/>
  <c r="O249" i="7"/>
  <c r="N249" i="7"/>
  <c r="M249" i="7"/>
  <c r="L249" i="7"/>
  <c r="K249" i="7"/>
  <c r="J249" i="7"/>
  <c r="I249" i="7"/>
  <c r="H249" i="7"/>
  <c r="G249" i="7"/>
  <c r="F249" i="7"/>
  <c r="E249" i="7"/>
  <c r="D249" i="7"/>
  <c r="C249" i="7"/>
  <c r="B249" i="7"/>
  <c r="A249" i="7"/>
  <c r="S248" i="7"/>
  <c r="R248" i="7"/>
  <c r="Q248" i="7"/>
  <c r="P248" i="7"/>
  <c r="O248" i="7"/>
  <c r="N248" i="7"/>
  <c r="M248" i="7"/>
  <c r="L248" i="7"/>
  <c r="K248" i="7"/>
  <c r="J248" i="7"/>
  <c r="I248" i="7"/>
  <c r="H248" i="7"/>
  <c r="G248" i="7"/>
  <c r="F248" i="7"/>
  <c r="E248" i="7"/>
  <c r="D248" i="7"/>
  <c r="C248" i="7"/>
  <c r="B248" i="7"/>
  <c r="A248" i="7"/>
  <c r="S247" i="7"/>
  <c r="R247" i="7"/>
  <c r="Q247" i="7"/>
  <c r="P247" i="7"/>
  <c r="O247" i="7"/>
  <c r="N247" i="7"/>
  <c r="M247" i="7"/>
  <c r="L247" i="7"/>
  <c r="K247" i="7"/>
  <c r="J247" i="7"/>
  <c r="I247" i="7"/>
  <c r="H247" i="7"/>
  <c r="G247" i="7"/>
  <c r="F247" i="7"/>
  <c r="E247" i="7"/>
  <c r="D247" i="7"/>
  <c r="C247" i="7"/>
  <c r="B247" i="7"/>
  <c r="A247" i="7"/>
  <c r="S246" i="7"/>
  <c r="R246" i="7"/>
  <c r="Q246" i="7"/>
  <c r="P246" i="7"/>
  <c r="O246" i="7"/>
  <c r="N246" i="7"/>
  <c r="M246" i="7"/>
  <c r="L246" i="7"/>
  <c r="K246" i="7"/>
  <c r="J246" i="7"/>
  <c r="I246" i="7"/>
  <c r="H246" i="7"/>
  <c r="G246" i="7"/>
  <c r="F246" i="7"/>
  <c r="E246" i="7"/>
  <c r="D246" i="7"/>
  <c r="C246" i="7"/>
  <c r="B246" i="7"/>
  <c r="A246" i="7"/>
  <c r="S245" i="7"/>
  <c r="R245" i="7"/>
  <c r="Q245" i="7"/>
  <c r="P245" i="7"/>
  <c r="O245" i="7"/>
  <c r="N245" i="7"/>
  <c r="M245" i="7"/>
  <c r="L245" i="7"/>
  <c r="K245" i="7"/>
  <c r="J245" i="7"/>
  <c r="I245" i="7"/>
  <c r="H245" i="7"/>
  <c r="G245" i="7"/>
  <c r="F245" i="7"/>
  <c r="E245" i="7"/>
  <c r="D245" i="7"/>
  <c r="C245" i="7"/>
  <c r="B245" i="7"/>
  <c r="A245" i="7"/>
  <c r="S244" i="7"/>
  <c r="R244" i="7"/>
  <c r="Q244" i="7"/>
  <c r="P244" i="7"/>
  <c r="O244" i="7"/>
  <c r="N244" i="7"/>
  <c r="M244" i="7"/>
  <c r="L244" i="7"/>
  <c r="K244" i="7"/>
  <c r="J244" i="7"/>
  <c r="I244" i="7"/>
  <c r="H244" i="7"/>
  <c r="G244" i="7"/>
  <c r="F244" i="7"/>
  <c r="E244" i="7"/>
  <c r="D244" i="7"/>
  <c r="C244" i="7"/>
  <c r="B244" i="7"/>
  <c r="A244" i="7"/>
  <c r="S243" i="7"/>
  <c r="R243" i="7"/>
  <c r="Q243" i="7"/>
  <c r="P243" i="7"/>
  <c r="O243" i="7"/>
  <c r="N243" i="7"/>
  <c r="M243" i="7"/>
  <c r="L243" i="7"/>
  <c r="K243" i="7"/>
  <c r="J243" i="7"/>
  <c r="I243" i="7"/>
  <c r="H243" i="7"/>
  <c r="G243" i="7"/>
  <c r="F243" i="7"/>
  <c r="E243" i="7"/>
  <c r="D243" i="7"/>
  <c r="C243" i="7"/>
  <c r="B243" i="7"/>
  <c r="A243" i="7"/>
  <c r="S242" i="7"/>
  <c r="R242" i="7"/>
  <c r="Q242" i="7"/>
  <c r="P242" i="7"/>
  <c r="O242" i="7"/>
  <c r="N242" i="7"/>
  <c r="M242" i="7"/>
  <c r="L242" i="7"/>
  <c r="K242" i="7"/>
  <c r="J242" i="7"/>
  <c r="I242" i="7"/>
  <c r="H242" i="7"/>
  <c r="G242" i="7"/>
  <c r="F242" i="7"/>
  <c r="E242" i="7"/>
  <c r="D242" i="7"/>
  <c r="C242" i="7"/>
  <c r="B242" i="7"/>
  <c r="A242" i="7"/>
  <c r="S241" i="7"/>
  <c r="R241" i="7"/>
  <c r="Q241" i="7"/>
  <c r="P241" i="7"/>
  <c r="O241" i="7"/>
  <c r="N241" i="7"/>
  <c r="M241" i="7"/>
  <c r="L241" i="7"/>
  <c r="K241" i="7"/>
  <c r="J241" i="7"/>
  <c r="I241" i="7"/>
  <c r="H241" i="7"/>
  <c r="G241" i="7"/>
  <c r="F241" i="7"/>
  <c r="E241" i="7"/>
  <c r="D241" i="7"/>
  <c r="C241" i="7"/>
  <c r="B241" i="7"/>
  <c r="A241" i="7"/>
  <c r="S240" i="7"/>
  <c r="R240" i="7"/>
  <c r="Q240" i="7"/>
  <c r="P240" i="7"/>
  <c r="O240" i="7"/>
  <c r="N240" i="7"/>
  <c r="M240" i="7"/>
  <c r="L240" i="7"/>
  <c r="K240" i="7"/>
  <c r="J240" i="7"/>
  <c r="I240" i="7"/>
  <c r="H240" i="7"/>
  <c r="G240" i="7"/>
  <c r="F240" i="7"/>
  <c r="E240" i="7"/>
  <c r="D240" i="7"/>
  <c r="C240" i="7"/>
  <c r="B240" i="7"/>
  <c r="A240" i="7"/>
  <c r="S239" i="7"/>
  <c r="R239" i="7"/>
  <c r="Q239" i="7"/>
  <c r="P239" i="7"/>
  <c r="O239" i="7"/>
  <c r="N239" i="7"/>
  <c r="M239" i="7"/>
  <c r="L239" i="7"/>
  <c r="K239" i="7"/>
  <c r="J239" i="7"/>
  <c r="I239" i="7"/>
  <c r="H239" i="7"/>
  <c r="G239" i="7"/>
  <c r="F239" i="7"/>
  <c r="E239" i="7"/>
  <c r="D239" i="7"/>
  <c r="C239" i="7"/>
  <c r="B239" i="7"/>
  <c r="A239" i="7"/>
  <c r="S238" i="7"/>
  <c r="R238" i="7"/>
  <c r="Q238" i="7"/>
  <c r="P238" i="7"/>
  <c r="O238" i="7"/>
  <c r="N238" i="7"/>
  <c r="M238" i="7"/>
  <c r="L238" i="7"/>
  <c r="K238" i="7"/>
  <c r="J238" i="7"/>
  <c r="I238" i="7"/>
  <c r="H238" i="7"/>
  <c r="G238" i="7"/>
  <c r="F238" i="7"/>
  <c r="E238" i="7"/>
  <c r="D238" i="7"/>
  <c r="C238" i="7"/>
  <c r="B238" i="7"/>
  <c r="A238" i="7"/>
  <c r="S237" i="7"/>
  <c r="R237" i="7"/>
  <c r="Q237" i="7"/>
  <c r="P237" i="7"/>
  <c r="O237" i="7"/>
  <c r="N237" i="7"/>
  <c r="M237" i="7"/>
  <c r="L237" i="7"/>
  <c r="K237" i="7"/>
  <c r="J237" i="7"/>
  <c r="I237" i="7"/>
  <c r="H237" i="7"/>
  <c r="G237" i="7"/>
  <c r="F237" i="7"/>
  <c r="E237" i="7"/>
  <c r="D237" i="7"/>
  <c r="C237" i="7"/>
  <c r="B237" i="7"/>
  <c r="A237" i="7"/>
  <c r="S236" i="7"/>
  <c r="R236" i="7"/>
  <c r="Q236" i="7"/>
  <c r="P236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C236" i="7"/>
  <c r="B236" i="7"/>
  <c r="A236" i="7"/>
  <c r="S235" i="7"/>
  <c r="R235" i="7"/>
  <c r="Q235" i="7"/>
  <c r="P235" i="7"/>
  <c r="O235" i="7"/>
  <c r="N235" i="7"/>
  <c r="M235" i="7"/>
  <c r="L235" i="7"/>
  <c r="K235" i="7"/>
  <c r="J235" i="7"/>
  <c r="I235" i="7"/>
  <c r="H235" i="7"/>
  <c r="G235" i="7"/>
  <c r="F235" i="7"/>
  <c r="E235" i="7"/>
  <c r="D235" i="7"/>
  <c r="C235" i="7"/>
  <c r="B235" i="7"/>
  <c r="A235" i="7"/>
  <c r="S234" i="7"/>
  <c r="R234" i="7"/>
  <c r="Q234" i="7"/>
  <c r="P234" i="7"/>
  <c r="O234" i="7"/>
  <c r="N234" i="7"/>
  <c r="M234" i="7"/>
  <c r="L234" i="7"/>
  <c r="K234" i="7"/>
  <c r="J234" i="7"/>
  <c r="I234" i="7"/>
  <c r="H234" i="7"/>
  <c r="G234" i="7"/>
  <c r="F234" i="7"/>
  <c r="E234" i="7"/>
  <c r="D234" i="7"/>
  <c r="C234" i="7"/>
  <c r="B234" i="7"/>
  <c r="A234" i="7"/>
  <c r="S233" i="7"/>
  <c r="R233" i="7"/>
  <c r="Q233" i="7"/>
  <c r="P233" i="7"/>
  <c r="O233" i="7"/>
  <c r="N233" i="7"/>
  <c r="M233" i="7"/>
  <c r="L233" i="7"/>
  <c r="K233" i="7"/>
  <c r="J233" i="7"/>
  <c r="I233" i="7"/>
  <c r="H233" i="7"/>
  <c r="G233" i="7"/>
  <c r="F233" i="7"/>
  <c r="E233" i="7"/>
  <c r="D233" i="7"/>
  <c r="C233" i="7"/>
  <c r="B233" i="7"/>
  <c r="A233" i="7"/>
  <c r="S232" i="7"/>
  <c r="R232" i="7"/>
  <c r="Q232" i="7"/>
  <c r="P232" i="7"/>
  <c r="O232" i="7"/>
  <c r="N232" i="7"/>
  <c r="M232" i="7"/>
  <c r="L232" i="7"/>
  <c r="K232" i="7"/>
  <c r="J232" i="7"/>
  <c r="I232" i="7"/>
  <c r="H232" i="7"/>
  <c r="G232" i="7"/>
  <c r="F232" i="7"/>
  <c r="E232" i="7"/>
  <c r="D232" i="7"/>
  <c r="C232" i="7"/>
  <c r="B232" i="7"/>
  <c r="A232" i="7"/>
  <c r="S231" i="7"/>
  <c r="R231" i="7"/>
  <c r="Q231" i="7"/>
  <c r="P231" i="7"/>
  <c r="O231" i="7"/>
  <c r="N231" i="7"/>
  <c r="M231" i="7"/>
  <c r="L231" i="7"/>
  <c r="K231" i="7"/>
  <c r="J231" i="7"/>
  <c r="I231" i="7"/>
  <c r="H231" i="7"/>
  <c r="G231" i="7"/>
  <c r="F231" i="7"/>
  <c r="E231" i="7"/>
  <c r="D231" i="7"/>
  <c r="C231" i="7"/>
  <c r="B231" i="7"/>
  <c r="A231" i="7"/>
  <c r="S230" i="7"/>
  <c r="R230" i="7"/>
  <c r="Q230" i="7"/>
  <c r="P230" i="7"/>
  <c r="O230" i="7"/>
  <c r="N230" i="7"/>
  <c r="M230" i="7"/>
  <c r="L230" i="7"/>
  <c r="K230" i="7"/>
  <c r="J230" i="7"/>
  <c r="I230" i="7"/>
  <c r="H230" i="7"/>
  <c r="G230" i="7"/>
  <c r="F230" i="7"/>
  <c r="E230" i="7"/>
  <c r="D230" i="7"/>
  <c r="C230" i="7"/>
  <c r="B230" i="7"/>
  <c r="A230" i="7"/>
  <c r="S229" i="7"/>
  <c r="R229" i="7"/>
  <c r="Q229" i="7"/>
  <c r="P229" i="7"/>
  <c r="O229" i="7"/>
  <c r="N229" i="7"/>
  <c r="M229" i="7"/>
  <c r="L229" i="7"/>
  <c r="K229" i="7"/>
  <c r="J229" i="7"/>
  <c r="I229" i="7"/>
  <c r="H229" i="7"/>
  <c r="G229" i="7"/>
  <c r="F229" i="7"/>
  <c r="E229" i="7"/>
  <c r="D229" i="7"/>
  <c r="C229" i="7"/>
  <c r="B229" i="7"/>
  <c r="A229" i="7"/>
  <c r="S228" i="7"/>
  <c r="R228" i="7"/>
  <c r="Q228" i="7"/>
  <c r="P228" i="7"/>
  <c r="O228" i="7"/>
  <c r="N228" i="7"/>
  <c r="M228" i="7"/>
  <c r="L228" i="7"/>
  <c r="K228" i="7"/>
  <c r="J228" i="7"/>
  <c r="I228" i="7"/>
  <c r="H228" i="7"/>
  <c r="G228" i="7"/>
  <c r="F228" i="7"/>
  <c r="E228" i="7"/>
  <c r="D228" i="7"/>
  <c r="C228" i="7"/>
  <c r="B228" i="7"/>
  <c r="A228" i="7"/>
  <c r="S227" i="7"/>
  <c r="R227" i="7"/>
  <c r="Q227" i="7"/>
  <c r="P227" i="7"/>
  <c r="O227" i="7"/>
  <c r="N227" i="7"/>
  <c r="M227" i="7"/>
  <c r="L227" i="7"/>
  <c r="K227" i="7"/>
  <c r="J227" i="7"/>
  <c r="I227" i="7"/>
  <c r="H227" i="7"/>
  <c r="G227" i="7"/>
  <c r="F227" i="7"/>
  <c r="E227" i="7"/>
  <c r="D227" i="7"/>
  <c r="C227" i="7"/>
  <c r="B227" i="7"/>
  <c r="A227" i="7"/>
  <c r="S226" i="7"/>
  <c r="R226" i="7"/>
  <c r="Q226" i="7"/>
  <c r="P226" i="7"/>
  <c r="O226" i="7"/>
  <c r="N226" i="7"/>
  <c r="M226" i="7"/>
  <c r="L226" i="7"/>
  <c r="K226" i="7"/>
  <c r="J226" i="7"/>
  <c r="I226" i="7"/>
  <c r="H226" i="7"/>
  <c r="G226" i="7"/>
  <c r="F226" i="7"/>
  <c r="E226" i="7"/>
  <c r="D226" i="7"/>
  <c r="C226" i="7"/>
  <c r="B226" i="7"/>
  <c r="A226" i="7"/>
  <c r="S225" i="7"/>
  <c r="R225" i="7"/>
  <c r="Q225" i="7"/>
  <c r="P225" i="7"/>
  <c r="O225" i="7"/>
  <c r="N225" i="7"/>
  <c r="M225" i="7"/>
  <c r="L225" i="7"/>
  <c r="K225" i="7"/>
  <c r="J225" i="7"/>
  <c r="I225" i="7"/>
  <c r="H225" i="7"/>
  <c r="G225" i="7"/>
  <c r="F225" i="7"/>
  <c r="E225" i="7"/>
  <c r="D225" i="7"/>
  <c r="C225" i="7"/>
  <c r="B225" i="7"/>
  <c r="A225" i="7"/>
  <c r="S224" i="7"/>
  <c r="R224" i="7"/>
  <c r="Q224" i="7"/>
  <c r="P224" i="7"/>
  <c r="O224" i="7"/>
  <c r="N224" i="7"/>
  <c r="M224" i="7"/>
  <c r="L224" i="7"/>
  <c r="K224" i="7"/>
  <c r="J224" i="7"/>
  <c r="I224" i="7"/>
  <c r="H224" i="7"/>
  <c r="G224" i="7"/>
  <c r="F224" i="7"/>
  <c r="E224" i="7"/>
  <c r="D224" i="7"/>
  <c r="C224" i="7"/>
  <c r="B224" i="7"/>
  <c r="A224" i="7"/>
  <c r="S223" i="7"/>
  <c r="R223" i="7"/>
  <c r="Q223" i="7"/>
  <c r="P223" i="7"/>
  <c r="O223" i="7"/>
  <c r="N223" i="7"/>
  <c r="M223" i="7"/>
  <c r="L223" i="7"/>
  <c r="K223" i="7"/>
  <c r="J223" i="7"/>
  <c r="I223" i="7"/>
  <c r="H223" i="7"/>
  <c r="G223" i="7"/>
  <c r="F223" i="7"/>
  <c r="E223" i="7"/>
  <c r="D223" i="7"/>
  <c r="C223" i="7"/>
  <c r="B223" i="7"/>
  <c r="A223" i="7"/>
  <c r="S222" i="7"/>
  <c r="R222" i="7"/>
  <c r="Q222" i="7"/>
  <c r="P222" i="7"/>
  <c r="O222" i="7"/>
  <c r="N222" i="7"/>
  <c r="M222" i="7"/>
  <c r="L222" i="7"/>
  <c r="K222" i="7"/>
  <c r="J222" i="7"/>
  <c r="I222" i="7"/>
  <c r="H222" i="7"/>
  <c r="G222" i="7"/>
  <c r="F222" i="7"/>
  <c r="E222" i="7"/>
  <c r="D222" i="7"/>
  <c r="C222" i="7"/>
  <c r="B222" i="7"/>
  <c r="A222" i="7"/>
  <c r="S221" i="7"/>
  <c r="R221" i="7"/>
  <c r="Q221" i="7"/>
  <c r="P221" i="7"/>
  <c r="O221" i="7"/>
  <c r="N221" i="7"/>
  <c r="M221" i="7"/>
  <c r="L221" i="7"/>
  <c r="K221" i="7"/>
  <c r="J221" i="7"/>
  <c r="I221" i="7"/>
  <c r="H221" i="7"/>
  <c r="G221" i="7"/>
  <c r="F221" i="7"/>
  <c r="E221" i="7"/>
  <c r="D221" i="7"/>
  <c r="C221" i="7"/>
  <c r="B221" i="7"/>
  <c r="A221" i="7"/>
  <c r="S220" i="7"/>
  <c r="R220" i="7"/>
  <c r="Q220" i="7"/>
  <c r="P220" i="7"/>
  <c r="O220" i="7"/>
  <c r="N220" i="7"/>
  <c r="M220" i="7"/>
  <c r="L220" i="7"/>
  <c r="K220" i="7"/>
  <c r="J220" i="7"/>
  <c r="I220" i="7"/>
  <c r="H220" i="7"/>
  <c r="G220" i="7"/>
  <c r="F220" i="7"/>
  <c r="E220" i="7"/>
  <c r="D220" i="7"/>
  <c r="C220" i="7"/>
  <c r="B220" i="7"/>
  <c r="A220" i="7"/>
  <c r="S219" i="7"/>
  <c r="R219" i="7"/>
  <c r="Q219" i="7"/>
  <c r="P219" i="7"/>
  <c r="O219" i="7"/>
  <c r="N219" i="7"/>
  <c r="M219" i="7"/>
  <c r="L219" i="7"/>
  <c r="K219" i="7"/>
  <c r="J219" i="7"/>
  <c r="I219" i="7"/>
  <c r="H219" i="7"/>
  <c r="G219" i="7"/>
  <c r="F219" i="7"/>
  <c r="E219" i="7"/>
  <c r="D219" i="7"/>
  <c r="C219" i="7"/>
  <c r="B219" i="7"/>
  <c r="A219" i="7"/>
  <c r="S218" i="7"/>
  <c r="R218" i="7"/>
  <c r="Q218" i="7"/>
  <c r="P218" i="7"/>
  <c r="O218" i="7"/>
  <c r="N218" i="7"/>
  <c r="M218" i="7"/>
  <c r="L218" i="7"/>
  <c r="K218" i="7"/>
  <c r="J218" i="7"/>
  <c r="I218" i="7"/>
  <c r="H218" i="7"/>
  <c r="G218" i="7"/>
  <c r="F218" i="7"/>
  <c r="E218" i="7"/>
  <c r="D218" i="7"/>
  <c r="C218" i="7"/>
  <c r="B218" i="7"/>
  <c r="A218" i="7"/>
  <c r="S217" i="7"/>
  <c r="R217" i="7"/>
  <c r="Q217" i="7"/>
  <c r="P217" i="7"/>
  <c r="O217" i="7"/>
  <c r="N217" i="7"/>
  <c r="M217" i="7"/>
  <c r="L217" i="7"/>
  <c r="K217" i="7"/>
  <c r="J217" i="7"/>
  <c r="I217" i="7"/>
  <c r="H217" i="7"/>
  <c r="G217" i="7"/>
  <c r="F217" i="7"/>
  <c r="E217" i="7"/>
  <c r="D217" i="7"/>
  <c r="C217" i="7"/>
  <c r="B217" i="7"/>
  <c r="A217" i="7"/>
  <c r="S216" i="7"/>
  <c r="R216" i="7"/>
  <c r="Q216" i="7"/>
  <c r="P216" i="7"/>
  <c r="O216" i="7"/>
  <c r="N216" i="7"/>
  <c r="M216" i="7"/>
  <c r="L216" i="7"/>
  <c r="K216" i="7"/>
  <c r="J216" i="7"/>
  <c r="I216" i="7"/>
  <c r="H216" i="7"/>
  <c r="G216" i="7"/>
  <c r="F216" i="7"/>
  <c r="E216" i="7"/>
  <c r="D216" i="7"/>
  <c r="C216" i="7"/>
  <c r="B216" i="7"/>
  <c r="A216" i="7"/>
  <c r="S215" i="7"/>
  <c r="R215" i="7"/>
  <c r="Q215" i="7"/>
  <c r="P215" i="7"/>
  <c r="O215" i="7"/>
  <c r="N215" i="7"/>
  <c r="M215" i="7"/>
  <c r="L215" i="7"/>
  <c r="K215" i="7"/>
  <c r="J215" i="7"/>
  <c r="I215" i="7"/>
  <c r="H215" i="7"/>
  <c r="G215" i="7"/>
  <c r="F215" i="7"/>
  <c r="E215" i="7"/>
  <c r="D215" i="7"/>
  <c r="C215" i="7"/>
  <c r="B215" i="7"/>
  <c r="A215" i="7"/>
  <c r="S214" i="7"/>
  <c r="R214" i="7"/>
  <c r="Q214" i="7"/>
  <c r="P214" i="7"/>
  <c r="O214" i="7"/>
  <c r="N214" i="7"/>
  <c r="M214" i="7"/>
  <c r="L214" i="7"/>
  <c r="K214" i="7"/>
  <c r="J214" i="7"/>
  <c r="I214" i="7"/>
  <c r="H214" i="7"/>
  <c r="G214" i="7"/>
  <c r="F214" i="7"/>
  <c r="E214" i="7"/>
  <c r="D214" i="7"/>
  <c r="C214" i="7"/>
  <c r="B214" i="7"/>
  <c r="A214" i="7"/>
  <c r="S213" i="7"/>
  <c r="R213" i="7"/>
  <c r="Q213" i="7"/>
  <c r="P213" i="7"/>
  <c r="O213" i="7"/>
  <c r="N213" i="7"/>
  <c r="M213" i="7"/>
  <c r="L213" i="7"/>
  <c r="K213" i="7"/>
  <c r="J213" i="7"/>
  <c r="I213" i="7"/>
  <c r="H213" i="7"/>
  <c r="G213" i="7"/>
  <c r="F213" i="7"/>
  <c r="E213" i="7"/>
  <c r="D213" i="7"/>
  <c r="C213" i="7"/>
  <c r="B213" i="7"/>
  <c r="A213" i="7"/>
  <c r="S212" i="7"/>
  <c r="R212" i="7"/>
  <c r="Q212" i="7"/>
  <c r="P212" i="7"/>
  <c r="O212" i="7"/>
  <c r="N212" i="7"/>
  <c r="M212" i="7"/>
  <c r="L212" i="7"/>
  <c r="K212" i="7"/>
  <c r="J212" i="7"/>
  <c r="I212" i="7"/>
  <c r="H212" i="7"/>
  <c r="G212" i="7"/>
  <c r="F212" i="7"/>
  <c r="E212" i="7"/>
  <c r="D212" i="7"/>
  <c r="C212" i="7"/>
  <c r="B212" i="7"/>
  <c r="A212" i="7"/>
  <c r="S211" i="7"/>
  <c r="R211" i="7"/>
  <c r="Q211" i="7"/>
  <c r="P211" i="7"/>
  <c r="O211" i="7"/>
  <c r="N211" i="7"/>
  <c r="M211" i="7"/>
  <c r="L211" i="7"/>
  <c r="K211" i="7"/>
  <c r="J211" i="7"/>
  <c r="I211" i="7"/>
  <c r="H211" i="7"/>
  <c r="G211" i="7"/>
  <c r="F211" i="7"/>
  <c r="E211" i="7"/>
  <c r="D211" i="7"/>
  <c r="C211" i="7"/>
  <c r="B211" i="7"/>
  <c r="A211" i="7"/>
  <c r="S210" i="7"/>
  <c r="R210" i="7"/>
  <c r="Q210" i="7"/>
  <c r="P210" i="7"/>
  <c r="O210" i="7"/>
  <c r="N210" i="7"/>
  <c r="M210" i="7"/>
  <c r="L210" i="7"/>
  <c r="K210" i="7"/>
  <c r="J210" i="7"/>
  <c r="I210" i="7"/>
  <c r="H210" i="7"/>
  <c r="G210" i="7"/>
  <c r="F210" i="7"/>
  <c r="E210" i="7"/>
  <c r="D210" i="7"/>
  <c r="C210" i="7"/>
  <c r="B210" i="7"/>
  <c r="A210" i="7"/>
  <c r="S209" i="7"/>
  <c r="R209" i="7"/>
  <c r="Q209" i="7"/>
  <c r="P209" i="7"/>
  <c r="O209" i="7"/>
  <c r="N209" i="7"/>
  <c r="M209" i="7"/>
  <c r="L209" i="7"/>
  <c r="K209" i="7"/>
  <c r="J209" i="7"/>
  <c r="I209" i="7"/>
  <c r="H209" i="7"/>
  <c r="G209" i="7"/>
  <c r="F209" i="7"/>
  <c r="E209" i="7"/>
  <c r="D209" i="7"/>
  <c r="C209" i="7"/>
  <c r="B209" i="7"/>
  <c r="A209" i="7"/>
  <c r="S208" i="7"/>
  <c r="R208" i="7"/>
  <c r="Q208" i="7"/>
  <c r="P208" i="7"/>
  <c r="O208" i="7"/>
  <c r="N208" i="7"/>
  <c r="M208" i="7"/>
  <c r="L208" i="7"/>
  <c r="K208" i="7"/>
  <c r="J208" i="7"/>
  <c r="I208" i="7"/>
  <c r="H208" i="7"/>
  <c r="G208" i="7"/>
  <c r="F208" i="7"/>
  <c r="E208" i="7"/>
  <c r="D208" i="7"/>
  <c r="C208" i="7"/>
  <c r="B208" i="7"/>
  <c r="A208" i="7"/>
  <c r="S207" i="7"/>
  <c r="R207" i="7"/>
  <c r="Q207" i="7"/>
  <c r="P207" i="7"/>
  <c r="O207" i="7"/>
  <c r="N207" i="7"/>
  <c r="M207" i="7"/>
  <c r="L207" i="7"/>
  <c r="K207" i="7"/>
  <c r="J207" i="7"/>
  <c r="I207" i="7"/>
  <c r="H207" i="7"/>
  <c r="G207" i="7"/>
  <c r="F207" i="7"/>
  <c r="E207" i="7"/>
  <c r="D207" i="7"/>
  <c r="C207" i="7"/>
  <c r="B207" i="7"/>
  <c r="A207" i="7"/>
  <c r="S206" i="7"/>
  <c r="R206" i="7"/>
  <c r="Q206" i="7"/>
  <c r="P206" i="7"/>
  <c r="O206" i="7"/>
  <c r="N206" i="7"/>
  <c r="M206" i="7"/>
  <c r="L206" i="7"/>
  <c r="K206" i="7"/>
  <c r="J206" i="7"/>
  <c r="I206" i="7"/>
  <c r="H206" i="7"/>
  <c r="G206" i="7"/>
  <c r="F206" i="7"/>
  <c r="E206" i="7"/>
  <c r="D206" i="7"/>
  <c r="C206" i="7"/>
  <c r="B206" i="7"/>
  <c r="A206" i="7"/>
  <c r="S205" i="7"/>
  <c r="R205" i="7"/>
  <c r="Q205" i="7"/>
  <c r="P205" i="7"/>
  <c r="O205" i="7"/>
  <c r="N205" i="7"/>
  <c r="M205" i="7"/>
  <c r="L205" i="7"/>
  <c r="K205" i="7"/>
  <c r="J205" i="7"/>
  <c r="I205" i="7"/>
  <c r="H205" i="7"/>
  <c r="G205" i="7"/>
  <c r="F205" i="7"/>
  <c r="E205" i="7"/>
  <c r="D205" i="7"/>
  <c r="C205" i="7"/>
  <c r="B205" i="7"/>
  <c r="A205" i="7"/>
  <c r="S204" i="7"/>
  <c r="R204" i="7"/>
  <c r="Q204" i="7"/>
  <c r="P204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C204" i="7"/>
  <c r="B204" i="7"/>
  <c r="A204" i="7"/>
  <c r="S203" i="7"/>
  <c r="R203" i="7"/>
  <c r="Q203" i="7"/>
  <c r="P203" i="7"/>
  <c r="O203" i="7"/>
  <c r="N203" i="7"/>
  <c r="M203" i="7"/>
  <c r="L203" i="7"/>
  <c r="K203" i="7"/>
  <c r="J203" i="7"/>
  <c r="I203" i="7"/>
  <c r="H203" i="7"/>
  <c r="G203" i="7"/>
  <c r="F203" i="7"/>
  <c r="E203" i="7"/>
  <c r="D203" i="7"/>
  <c r="C203" i="7"/>
  <c r="B203" i="7"/>
  <c r="A203" i="7"/>
  <c r="S202" i="7"/>
  <c r="R202" i="7"/>
  <c r="Q202" i="7"/>
  <c r="P202" i="7"/>
  <c r="O202" i="7"/>
  <c r="N202" i="7"/>
  <c r="M202" i="7"/>
  <c r="L202" i="7"/>
  <c r="K202" i="7"/>
  <c r="J202" i="7"/>
  <c r="I202" i="7"/>
  <c r="H202" i="7"/>
  <c r="G202" i="7"/>
  <c r="F202" i="7"/>
  <c r="E202" i="7"/>
  <c r="D202" i="7"/>
  <c r="C202" i="7"/>
  <c r="B202" i="7"/>
  <c r="A202" i="7"/>
  <c r="S201" i="7"/>
  <c r="R201" i="7"/>
  <c r="Q201" i="7"/>
  <c r="P201" i="7"/>
  <c r="O201" i="7"/>
  <c r="N201" i="7"/>
  <c r="M201" i="7"/>
  <c r="L201" i="7"/>
  <c r="K201" i="7"/>
  <c r="J201" i="7"/>
  <c r="I201" i="7"/>
  <c r="H201" i="7"/>
  <c r="G201" i="7"/>
  <c r="F201" i="7"/>
  <c r="E201" i="7"/>
  <c r="D201" i="7"/>
  <c r="C201" i="7"/>
  <c r="B201" i="7"/>
  <c r="A201" i="7"/>
  <c r="S200" i="7"/>
  <c r="R200" i="7"/>
  <c r="Q200" i="7"/>
  <c r="P200" i="7"/>
  <c r="O200" i="7"/>
  <c r="N200" i="7"/>
  <c r="M200" i="7"/>
  <c r="L200" i="7"/>
  <c r="K200" i="7"/>
  <c r="J200" i="7"/>
  <c r="I200" i="7"/>
  <c r="H200" i="7"/>
  <c r="G200" i="7"/>
  <c r="F200" i="7"/>
  <c r="E200" i="7"/>
  <c r="D200" i="7"/>
  <c r="C200" i="7"/>
  <c r="B200" i="7"/>
  <c r="A200" i="7"/>
  <c r="S199" i="7"/>
  <c r="R199" i="7"/>
  <c r="Q199" i="7"/>
  <c r="P199" i="7"/>
  <c r="O199" i="7"/>
  <c r="N199" i="7"/>
  <c r="M199" i="7"/>
  <c r="L199" i="7"/>
  <c r="K199" i="7"/>
  <c r="J199" i="7"/>
  <c r="I199" i="7"/>
  <c r="H199" i="7"/>
  <c r="G199" i="7"/>
  <c r="F199" i="7"/>
  <c r="E199" i="7"/>
  <c r="D199" i="7"/>
  <c r="C199" i="7"/>
  <c r="B199" i="7"/>
  <c r="A199" i="7"/>
  <c r="S198" i="7"/>
  <c r="R198" i="7"/>
  <c r="Q198" i="7"/>
  <c r="P198" i="7"/>
  <c r="O198" i="7"/>
  <c r="N198" i="7"/>
  <c r="M198" i="7"/>
  <c r="L198" i="7"/>
  <c r="K198" i="7"/>
  <c r="J198" i="7"/>
  <c r="I198" i="7"/>
  <c r="H198" i="7"/>
  <c r="G198" i="7"/>
  <c r="F198" i="7"/>
  <c r="E198" i="7"/>
  <c r="D198" i="7"/>
  <c r="C198" i="7"/>
  <c r="B198" i="7"/>
  <c r="A198" i="7"/>
  <c r="S197" i="7"/>
  <c r="R197" i="7"/>
  <c r="Q197" i="7"/>
  <c r="P197" i="7"/>
  <c r="O197" i="7"/>
  <c r="N197" i="7"/>
  <c r="M197" i="7"/>
  <c r="L197" i="7"/>
  <c r="K197" i="7"/>
  <c r="J197" i="7"/>
  <c r="I197" i="7"/>
  <c r="H197" i="7"/>
  <c r="G197" i="7"/>
  <c r="F197" i="7"/>
  <c r="E197" i="7"/>
  <c r="D197" i="7"/>
  <c r="C197" i="7"/>
  <c r="B197" i="7"/>
  <c r="A197" i="7"/>
  <c r="S196" i="7"/>
  <c r="R196" i="7"/>
  <c r="Q196" i="7"/>
  <c r="P196" i="7"/>
  <c r="O196" i="7"/>
  <c r="N196" i="7"/>
  <c r="M196" i="7"/>
  <c r="L196" i="7"/>
  <c r="K196" i="7"/>
  <c r="J196" i="7"/>
  <c r="I196" i="7"/>
  <c r="H196" i="7"/>
  <c r="G196" i="7"/>
  <c r="F196" i="7"/>
  <c r="E196" i="7"/>
  <c r="D196" i="7"/>
  <c r="C196" i="7"/>
  <c r="B196" i="7"/>
  <c r="A196" i="7"/>
  <c r="S195" i="7"/>
  <c r="R195" i="7"/>
  <c r="Q195" i="7"/>
  <c r="P195" i="7"/>
  <c r="O195" i="7"/>
  <c r="N195" i="7"/>
  <c r="M195" i="7"/>
  <c r="L195" i="7"/>
  <c r="K195" i="7"/>
  <c r="J195" i="7"/>
  <c r="I195" i="7"/>
  <c r="H195" i="7"/>
  <c r="G195" i="7"/>
  <c r="F195" i="7"/>
  <c r="E195" i="7"/>
  <c r="D195" i="7"/>
  <c r="C195" i="7"/>
  <c r="B195" i="7"/>
  <c r="A195" i="7"/>
  <c r="S194" i="7"/>
  <c r="R194" i="7"/>
  <c r="Q194" i="7"/>
  <c r="P194" i="7"/>
  <c r="O194" i="7"/>
  <c r="N194" i="7"/>
  <c r="M194" i="7"/>
  <c r="L194" i="7"/>
  <c r="K194" i="7"/>
  <c r="J194" i="7"/>
  <c r="I194" i="7"/>
  <c r="H194" i="7"/>
  <c r="G194" i="7"/>
  <c r="F194" i="7"/>
  <c r="E194" i="7"/>
  <c r="D194" i="7"/>
  <c r="C194" i="7"/>
  <c r="B194" i="7"/>
  <c r="A194" i="7"/>
  <c r="S193" i="7"/>
  <c r="R193" i="7"/>
  <c r="Q193" i="7"/>
  <c r="P193" i="7"/>
  <c r="O193" i="7"/>
  <c r="N193" i="7"/>
  <c r="M193" i="7"/>
  <c r="L193" i="7"/>
  <c r="K193" i="7"/>
  <c r="J193" i="7"/>
  <c r="I193" i="7"/>
  <c r="H193" i="7"/>
  <c r="G193" i="7"/>
  <c r="F193" i="7"/>
  <c r="E193" i="7"/>
  <c r="D193" i="7"/>
  <c r="C193" i="7"/>
  <c r="B193" i="7"/>
  <c r="A193" i="7"/>
  <c r="S192" i="7"/>
  <c r="R192" i="7"/>
  <c r="Q192" i="7"/>
  <c r="P192" i="7"/>
  <c r="O192" i="7"/>
  <c r="N192" i="7"/>
  <c r="M192" i="7"/>
  <c r="L192" i="7"/>
  <c r="K192" i="7"/>
  <c r="J192" i="7"/>
  <c r="I192" i="7"/>
  <c r="H192" i="7"/>
  <c r="G192" i="7"/>
  <c r="F192" i="7"/>
  <c r="E192" i="7"/>
  <c r="D192" i="7"/>
  <c r="C192" i="7"/>
  <c r="B192" i="7"/>
  <c r="A192" i="7"/>
  <c r="S191" i="7"/>
  <c r="R191" i="7"/>
  <c r="Q191" i="7"/>
  <c r="P191" i="7"/>
  <c r="O191" i="7"/>
  <c r="N191" i="7"/>
  <c r="M191" i="7"/>
  <c r="L191" i="7"/>
  <c r="K191" i="7"/>
  <c r="J191" i="7"/>
  <c r="I191" i="7"/>
  <c r="H191" i="7"/>
  <c r="G191" i="7"/>
  <c r="F191" i="7"/>
  <c r="E191" i="7"/>
  <c r="D191" i="7"/>
  <c r="C191" i="7"/>
  <c r="B191" i="7"/>
  <c r="A191" i="7"/>
  <c r="S190" i="7"/>
  <c r="R190" i="7"/>
  <c r="Q190" i="7"/>
  <c r="P190" i="7"/>
  <c r="O190" i="7"/>
  <c r="N190" i="7"/>
  <c r="M190" i="7"/>
  <c r="L190" i="7"/>
  <c r="K190" i="7"/>
  <c r="J190" i="7"/>
  <c r="I190" i="7"/>
  <c r="H190" i="7"/>
  <c r="G190" i="7"/>
  <c r="F190" i="7"/>
  <c r="E190" i="7"/>
  <c r="D190" i="7"/>
  <c r="C190" i="7"/>
  <c r="B190" i="7"/>
  <c r="A190" i="7"/>
  <c r="S189" i="7"/>
  <c r="R189" i="7"/>
  <c r="Q189" i="7"/>
  <c r="P189" i="7"/>
  <c r="O189" i="7"/>
  <c r="N189" i="7"/>
  <c r="M189" i="7"/>
  <c r="L189" i="7"/>
  <c r="K189" i="7"/>
  <c r="J189" i="7"/>
  <c r="I189" i="7"/>
  <c r="H189" i="7"/>
  <c r="G189" i="7"/>
  <c r="F189" i="7"/>
  <c r="E189" i="7"/>
  <c r="D189" i="7"/>
  <c r="C189" i="7"/>
  <c r="B189" i="7"/>
  <c r="A189" i="7"/>
  <c r="S188" i="7"/>
  <c r="R188" i="7"/>
  <c r="Q188" i="7"/>
  <c r="P188" i="7"/>
  <c r="O188" i="7"/>
  <c r="N188" i="7"/>
  <c r="M188" i="7"/>
  <c r="L188" i="7"/>
  <c r="K188" i="7"/>
  <c r="J188" i="7"/>
  <c r="I188" i="7"/>
  <c r="H188" i="7"/>
  <c r="G188" i="7"/>
  <c r="F188" i="7"/>
  <c r="E188" i="7"/>
  <c r="D188" i="7"/>
  <c r="C188" i="7"/>
  <c r="B188" i="7"/>
  <c r="A188" i="7"/>
  <c r="S187" i="7"/>
  <c r="R187" i="7"/>
  <c r="Q187" i="7"/>
  <c r="P187" i="7"/>
  <c r="O187" i="7"/>
  <c r="N187" i="7"/>
  <c r="M187" i="7"/>
  <c r="L187" i="7"/>
  <c r="K187" i="7"/>
  <c r="J187" i="7"/>
  <c r="I187" i="7"/>
  <c r="H187" i="7"/>
  <c r="G187" i="7"/>
  <c r="F187" i="7"/>
  <c r="E187" i="7"/>
  <c r="D187" i="7"/>
  <c r="C187" i="7"/>
  <c r="B187" i="7"/>
  <c r="A187" i="7"/>
  <c r="S186" i="7"/>
  <c r="R186" i="7"/>
  <c r="Q186" i="7"/>
  <c r="P186" i="7"/>
  <c r="O186" i="7"/>
  <c r="N186" i="7"/>
  <c r="M186" i="7"/>
  <c r="L186" i="7"/>
  <c r="K186" i="7"/>
  <c r="J186" i="7"/>
  <c r="I186" i="7"/>
  <c r="H186" i="7"/>
  <c r="G186" i="7"/>
  <c r="F186" i="7"/>
  <c r="E186" i="7"/>
  <c r="D186" i="7"/>
  <c r="C186" i="7"/>
  <c r="B186" i="7"/>
  <c r="A186" i="7"/>
  <c r="S185" i="7"/>
  <c r="R185" i="7"/>
  <c r="Q185" i="7"/>
  <c r="P185" i="7"/>
  <c r="O185" i="7"/>
  <c r="N185" i="7"/>
  <c r="M185" i="7"/>
  <c r="L185" i="7"/>
  <c r="K185" i="7"/>
  <c r="J185" i="7"/>
  <c r="I185" i="7"/>
  <c r="H185" i="7"/>
  <c r="G185" i="7"/>
  <c r="F185" i="7"/>
  <c r="E185" i="7"/>
  <c r="D185" i="7"/>
  <c r="C185" i="7"/>
  <c r="B185" i="7"/>
  <c r="A185" i="7"/>
  <c r="S184" i="7"/>
  <c r="R184" i="7"/>
  <c r="Q184" i="7"/>
  <c r="P184" i="7"/>
  <c r="O184" i="7"/>
  <c r="N184" i="7"/>
  <c r="M184" i="7"/>
  <c r="L184" i="7"/>
  <c r="K184" i="7"/>
  <c r="J184" i="7"/>
  <c r="I184" i="7"/>
  <c r="H184" i="7"/>
  <c r="G184" i="7"/>
  <c r="F184" i="7"/>
  <c r="E184" i="7"/>
  <c r="D184" i="7"/>
  <c r="C184" i="7"/>
  <c r="B184" i="7"/>
  <c r="A184" i="7"/>
  <c r="S183" i="7"/>
  <c r="R183" i="7"/>
  <c r="Q183" i="7"/>
  <c r="P183" i="7"/>
  <c r="O183" i="7"/>
  <c r="N183" i="7"/>
  <c r="M183" i="7"/>
  <c r="L183" i="7"/>
  <c r="K183" i="7"/>
  <c r="J183" i="7"/>
  <c r="I183" i="7"/>
  <c r="H183" i="7"/>
  <c r="G183" i="7"/>
  <c r="F183" i="7"/>
  <c r="E183" i="7"/>
  <c r="D183" i="7"/>
  <c r="C183" i="7"/>
  <c r="B183" i="7"/>
  <c r="A183" i="7"/>
  <c r="S182" i="7"/>
  <c r="R182" i="7"/>
  <c r="Q182" i="7"/>
  <c r="P182" i="7"/>
  <c r="O182" i="7"/>
  <c r="N182" i="7"/>
  <c r="M182" i="7"/>
  <c r="L182" i="7"/>
  <c r="K182" i="7"/>
  <c r="J182" i="7"/>
  <c r="I182" i="7"/>
  <c r="H182" i="7"/>
  <c r="G182" i="7"/>
  <c r="F182" i="7"/>
  <c r="E182" i="7"/>
  <c r="D182" i="7"/>
  <c r="C182" i="7"/>
  <c r="B182" i="7"/>
  <c r="A182" i="7"/>
  <c r="S181" i="7"/>
  <c r="R181" i="7"/>
  <c r="Q181" i="7"/>
  <c r="P181" i="7"/>
  <c r="O181" i="7"/>
  <c r="N181" i="7"/>
  <c r="M181" i="7"/>
  <c r="L181" i="7"/>
  <c r="K181" i="7"/>
  <c r="J181" i="7"/>
  <c r="I181" i="7"/>
  <c r="H181" i="7"/>
  <c r="G181" i="7"/>
  <c r="F181" i="7"/>
  <c r="E181" i="7"/>
  <c r="D181" i="7"/>
  <c r="C181" i="7"/>
  <c r="B181" i="7"/>
  <c r="A181" i="7"/>
  <c r="S180" i="7"/>
  <c r="R180" i="7"/>
  <c r="Q180" i="7"/>
  <c r="P180" i="7"/>
  <c r="O180" i="7"/>
  <c r="N180" i="7"/>
  <c r="M180" i="7"/>
  <c r="L180" i="7"/>
  <c r="K180" i="7"/>
  <c r="J180" i="7"/>
  <c r="I180" i="7"/>
  <c r="H180" i="7"/>
  <c r="G180" i="7"/>
  <c r="F180" i="7"/>
  <c r="E180" i="7"/>
  <c r="D180" i="7"/>
  <c r="C180" i="7"/>
  <c r="B180" i="7"/>
  <c r="A180" i="7"/>
  <c r="S179" i="7"/>
  <c r="R179" i="7"/>
  <c r="Q179" i="7"/>
  <c r="P179" i="7"/>
  <c r="O179" i="7"/>
  <c r="N179" i="7"/>
  <c r="M179" i="7"/>
  <c r="L179" i="7"/>
  <c r="K179" i="7"/>
  <c r="J179" i="7"/>
  <c r="I179" i="7"/>
  <c r="H179" i="7"/>
  <c r="G179" i="7"/>
  <c r="F179" i="7"/>
  <c r="E179" i="7"/>
  <c r="D179" i="7"/>
  <c r="C179" i="7"/>
  <c r="B179" i="7"/>
  <c r="A179" i="7"/>
  <c r="S178" i="7"/>
  <c r="R178" i="7"/>
  <c r="Q178" i="7"/>
  <c r="P178" i="7"/>
  <c r="O178" i="7"/>
  <c r="N178" i="7"/>
  <c r="M178" i="7"/>
  <c r="L178" i="7"/>
  <c r="K178" i="7"/>
  <c r="J178" i="7"/>
  <c r="I178" i="7"/>
  <c r="H178" i="7"/>
  <c r="G178" i="7"/>
  <c r="F178" i="7"/>
  <c r="E178" i="7"/>
  <c r="D178" i="7"/>
  <c r="C178" i="7"/>
  <c r="B178" i="7"/>
  <c r="A178" i="7"/>
  <c r="S177" i="7"/>
  <c r="R177" i="7"/>
  <c r="Q177" i="7"/>
  <c r="P177" i="7"/>
  <c r="O177" i="7"/>
  <c r="N177" i="7"/>
  <c r="M177" i="7"/>
  <c r="L177" i="7"/>
  <c r="K177" i="7"/>
  <c r="J177" i="7"/>
  <c r="I177" i="7"/>
  <c r="H177" i="7"/>
  <c r="G177" i="7"/>
  <c r="F177" i="7"/>
  <c r="E177" i="7"/>
  <c r="D177" i="7"/>
  <c r="C177" i="7"/>
  <c r="B177" i="7"/>
  <c r="A177" i="7"/>
  <c r="S176" i="7"/>
  <c r="R176" i="7"/>
  <c r="Q176" i="7"/>
  <c r="P176" i="7"/>
  <c r="O176" i="7"/>
  <c r="N176" i="7"/>
  <c r="M176" i="7"/>
  <c r="L176" i="7"/>
  <c r="K176" i="7"/>
  <c r="J176" i="7"/>
  <c r="I176" i="7"/>
  <c r="H176" i="7"/>
  <c r="G176" i="7"/>
  <c r="F176" i="7"/>
  <c r="E176" i="7"/>
  <c r="D176" i="7"/>
  <c r="C176" i="7"/>
  <c r="B176" i="7"/>
  <c r="A176" i="7"/>
  <c r="S175" i="7"/>
  <c r="R175" i="7"/>
  <c r="Q175" i="7"/>
  <c r="P175" i="7"/>
  <c r="O175" i="7"/>
  <c r="N175" i="7"/>
  <c r="M175" i="7"/>
  <c r="L175" i="7"/>
  <c r="K175" i="7"/>
  <c r="J175" i="7"/>
  <c r="I175" i="7"/>
  <c r="H175" i="7"/>
  <c r="G175" i="7"/>
  <c r="F175" i="7"/>
  <c r="E175" i="7"/>
  <c r="D175" i="7"/>
  <c r="C175" i="7"/>
  <c r="B175" i="7"/>
  <c r="A175" i="7"/>
  <c r="S174" i="7"/>
  <c r="R174" i="7"/>
  <c r="Q174" i="7"/>
  <c r="P174" i="7"/>
  <c r="O174" i="7"/>
  <c r="N174" i="7"/>
  <c r="M174" i="7"/>
  <c r="L174" i="7"/>
  <c r="K174" i="7"/>
  <c r="J174" i="7"/>
  <c r="I174" i="7"/>
  <c r="H174" i="7"/>
  <c r="G174" i="7"/>
  <c r="F174" i="7"/>
  <c r="E174" i="7"/>
  <c r="D174" i="7"/>
  <c r="C174" i="7"/>
  <c r="B174" i="7"/>
  <c r="A174" i="7"/>
  <c r="S173" i="7"/>
  <c r="R173" i="7"/>
  <c r="Q173" i="7"/>
  <c r="P173" i="7"/>
  <c r="O173" i="7"/>
  <c r="N173" i="7"/>
  <c r="M173" i="7"/>
  <c r="L173" i="7"/>
  <c r="K173" i="7"/>
  <c r="J173" i="7"/>
  <c r="I173" i="7"/>
  <c r="H173" i="7"/>
  <c r="G173" i="7"/>
  <c r="F173" i="7"/>
  <c r="E173" i="7"/>
  <c r="D173" i="7"/>
  <c r="C173" i="7"/>
  <c r="B173" i="7"/>
  <c r="A173" i="7"/>
  <c r="S172" i="7"/>
  <c r="R172" i="7"/>
  <c r="Q172" i="7"/>
  <c r="P172" i="7"/>
  <c r="O172" i="7"/>
  <c r="N172" i="7"/>
  <c r="M172" i="7"/>
  <c r="L172" i="7"/>
  <c r="K172" i="7"/>
  <c r="J172" i="7"/>
  <c r="I172" i="7"/>
  <c r="H172" i="7"/>
  <c r="G172" i="7"/>
  <c r="F172" i="7"/>
  <c r="E172" i="7"/>
  <c r="D172" i="7"/>
  <c r="C172" i="7"/>
  <c r="B172" i="7"/>
  <c r="A172" i="7"/>
  <c r="S171" i="7"/>
  <c r="R171" i="7"/>
  <c r="Q171" i="7"/>
  <c r="P171" i="7"/>
  <c r="O171" i="7"/>
  <c r="N171" i="7"/>
  <c r="M171" i="7"/>
  <c r="L171" i="7"/>
  <c r="K171" i="7"/>
  <c r="J171" i="7"/>
  <c r="I171" i="7"/>
  <c r="H171" i="7"/>
  <c r="G171" i="7"/>
  <c r="F171" i="7"/>
  <c r="E171" i="7"/>
  <c r="D171" i="7"/>
  <c r="C171" i="7"/>
  <c r="B171" i="7"/>
  <c r="A171" i="7"/>
  <c r="S170" i="7"/>
  <c r="R170" i="7"/>
  <c r="Q170" i="7"/>
  <c r="P170" i="7"/>
  <c r="O170" i="7"/>
  <c r="N170" i="7"/>
  <c r="M170" i="7"/>
  <c r="L170" i="7"/>
  <c r="K170" i="7"/>
  <c r="J170" i="7"/>
  <c r="I170" i="7"/>
  <c r="H170" i="7"/>
  <c r="G170" i="7"/>
  <c r="F170" i="7"/>
  <c r="E170" i="7"/>
  <c r="D170" i="7"/>
  <c r="C170" i="7"/>
  <c r="B170" i="7"/>
  <c r="A170" i="7"/>
  <c r="S169" i="7"/>
  <c r="R169" i="7"/>
  <c r="Q169" i="7"/>
  <c r="P169" i="7"/>
  <c r="O169" i="7"/>
  <c r="N169" i="7"/>
  <c r="M169" i="7"/>
  <c r="L169" i="7"/>
  <c r="K169" i="7"/>
  <c r="J169" i="7"/>
  <c r="I169" i="7"/>
  <c r="H169" i="7"/>
  <c r="G169" i="7"/>
  <c r="F169" i="7"/>
  <c r="E169" i="7"/>
  <c r="D169" i="7"/>
  <c r="C169" i="7"/>
  <c r="B169" i="7"/>
  <c r="A169" i="7"/>
  <c r="S168" i="7"/>
  <c r="R168" i="7"/>
  <c r="Q168" i="7"/>
  <c r="P168" i="7"/>
  <c r="O168" i="7"/>
  <c r="N168" i="7"/>
  <c r="M168" i="7"/>
  <c r="L168" i="7"/>
  <c r="K168" i="7"/>
  <c r="J168" i="7"/>
  <c r="I168" i="7"/>
  <c r="H168" i="7"/>
  <c r="G168" i="7"/>
  <c r="F168" i="7"/>
  <c r="E168" i="7"/>
  <c r="D168" i="7"/>
  <c r="C168" i="7"/>
  <c r="B168" i="7"/>
  <c r="A168" i="7"/>
  <c r="S167" i="7"/>
  <c r="R167" i="7"/>
  <c r="Q167" i="7"/>
  <c r="P167" i="7"/>
  <c r="O167" i="7"/>
  <c r="N167" i="7"/>
  <c r="M167" i="7"/>
  <c r="L167" i="7"/>
  <c r="K167" i="7"/>
  <c r="J167" i="7"/>
  <c r="I167" i="7"/>
  <c r="H167" i="7"/>
  <c r="G167" i="7"/>
  <c r="F167" i="7"/>
  <c r="E167" i="7"/>
  <c r="D167" i="7"/>
  <c r="C167" i="7"/>
  <c r="B167" i="7"/>
  <c r="A167" i="7"/>
  <c r="S166" i="7"/>
  <c r="R166" i="7"/>
  <c r="Q166" i="7"/>
  <c r="P166" i="7"/>
  <c r="O166" i="7"/>
  <c r="N166" i="7"/>
  <c r="M166" i="7"/>
  <c r="L166" i="7"/>
  <c r="K166" i="7"/>
  <c r="J166" i="7"/>
  <c r="I166" i="7"/>
  <c r="H166" i="7"/>
  <c r="G166" i="7"/>
  <c r="F166" i="7"/>
  <c r="E166" i="7"/>
  <c r="D166" i="7"/>
  <c r="C166" i="7"/>
  <c r="B166" i="7"/>
  <c r="A166" i="7"/>
  <c r="S165" i="7"/>
  <c r="R165" i="7"/>
  <c r="Q165" i="7"/>
  <c r="P165" i="7"/>
  <c r="O165" i="7"/>
  <c r="N165" i="7"/>
  <c r="M165" i="7"/>
  <c r="L165" i="7"/>
  <c r="K165" i="7"/>
  <c r="J165" i="7"/>
  <c r="I165" i="7"/>
  <c r="H165" i="7"/>
  <c r="G165" i="7"/>
  <c r="F165" i="7"/>
  <c r="E165" i="7"/>
  <c r="D165" i="7"/>
  <c r="C165" i="7"/>
  <c r="B165" i="7"/>
  <c r="A165" i="7"/>
  <c r="S164" i="7"/>
  <c r="R164" i="7"/>
  <c r="Q164" i="7"/>
  <c r="P164" i="7"/>
  <c r="O164" i="7"/>
  <c r="N164" i="7"/>
  <c r="M164" i="7"/>
  <c r="L164" i="7"/>
  <c r="K164" i="7"/>
  <c r="J164" i="7"/>
  <c r="I164" i="7"/>
  <c r="H164" i="7"/>
  <c r="G164" i="7"/>
  <c r="F164" i="7"/>
  <c r="E164" i="7"/>
  <c r="D164" i="7"/>
  <c r="C164" i="7"/>
  <c r="B164" i="7"/>
  <c r="A164" i="7"/>
  <c r="S163" i="7"/>
  <c r="R163" i="7"/>
  <c r="Q163" i="7"/>
  <c r="P163" i="7"/>
  <c r="O163" i="7"/>
  <c r="N163" i="7"/>
  <c r="M163" i="7"/>
  <c r="L163" i="7"/>
  <c r="K163" i="7"/>
  <c r="J163" i="7"/>
  <c r="I163" i="7"/>
  <c r="H163" i="7"/>
  <c r="G163" i="7"/>
  <c r="F163" i="7"/>
  <c r="E163" i="7"/>
  <c r="D163" i="7"/>
  <c r="C163" i="7"/>
  <c r="B163" i="7"/>
  <c r="A163" i="7"/>
  <c r="S162" i="7"/>
  <c r="R162" i="7"/>
  <c r="Q162" i="7"/>
  <c r="P162" i="7"/>
  <c r="O162" i="7"/>
  <c r="N162" i="7"/>
  <c r="M162" i="7"/>
  <c r="L162" i="7"/>
  <c r="K162" i="7"/>
  <c r="J162" i="7"/>
  <c r="I162" i="7"/>
  <c r="H162" i="7"/>
  <c r="G162" i="7"/>
  <c r="F162" i="7"/>
  <c r="E162" i="7"/>
  <c r="D162" i="7"/>
  <c r="C162" i="7"/>
  <c r="B162" i="7"/>
  <c r="A162" i="7"/>
  <c r="S161" i="7"/>
  <c r="R161" i="7"/>
  <c r="Q161" i="7"/>
  <c r="P161" i="7"/>
  <c r="O161" i="7"/>
  <c r="N161" i="7"/>
  <c r="M161" i="7"/>
  <c r="L161" i="7"/>
  <c r="K161" i="7"/>
  <c r="J161" i="7"/>
  <c r="I161" i="7"/>
  <c r="H161" i="7"/>
  <c r="G161" i="7"/>
  <c r="F161" i="7"/>
  <c r="E161" i="7"/>
  <c r="D161" i="7"/>
  <c r="C161" i="7"/>
  <c r="B161" i="7"/>
  <c r="A161" i="7"/>
  <c r="S160" i="7"/>
  <c r="R160" i="7"/>
  <c r="Q160" i="7"/>
  <c r="P160" i="7"/>
  <c r="O160" i="7"/>
  <c r="N160" i="7"/>
  <c r="M160" i="7"/>
  <c r="L160" i="7"/>
  <c r="K160" i="7"/>
  <c r="J160" i="7"/>
  <c r="I160" i="7"/>
  <c r="H160" i="7"/>
  <c r="G160" i="7"/>
  <c r="F160" i="7"/>
  <c r="E160" i="7"/>
  <c r="D160" i="7"/>
  <c r="C160" i="7"/>
  <c r="B160" i="7"/>
  <c r="A160" i="7"/>
  <c r="S159" i="7"/>
  <c r="R159" i="7"/>
  <c r="Q159" i="7"/>
  <c r="P159" i="7"/>
  <c r="O159" i="7"/>
  <c r="N159" i="7"/>
  <c r="M159" i="7"/>
  <c r="L159" i="7"/>
  <c r="K159" i="7"/>
  <c r="J159" i="7"/>
  <c r="I159" i="7"/>
  <c r="H159" i="7"/>
  <c r="G159" i="7"/>
  <c r="F159" i="7"/>
  <c r="E159" i="7"/>
  <c r="D159" i="7"/>
  <c r="C159" i="7"/>
  <c r="B159" i="7"/>
  <c r="A159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C158" i="7"/>
  <c r="B158" i="7"/>
  <c r="A158" i="7"/>
  <c r="S157" i="7"/>
  <c r="R157" i="7"/>
  <c r="Q157" i="7"/>
  <c r="P157" i="7"/>
  <c r="O157" i="7"/>
  <c r="N157" i="7"/>
  <c r="M157" i="7"/>
  <c r="L157" i="7"/>
  <c r="K157" i="7"/>
  <c r="J157" i="7"/>
  <c r="I157" i="7"/>
  <c r="H157" i="7"/>
  <c r="G157" i="7"/>
  <c r="F157" i="7"/>
  <c r="E157" i="7"/>
  <c r="D157" i="7"/>
  <c r="C157" i="7"/>
  <c r="B157" i="7"/>
  <c r="A157" i="7"/>
  <c r="S156" i="7"/>
  <c r="R156" i="7"/>
  <c r="Q156" i="7"/>
  <c r="M156" i="7"/>
  <c r="L156" i="7"/>
  <c r="K156" i="7"/>
  <c r="J156" i="7"/>
  <c r="I156" i="7"/>
  <c r="H156" i="7"/>
  <c r="E156" i="7"/>
  <c r="D156" i="7"/>
  <c r="C156" i="7"/>
  <c r="B156" i="7"/>
  <c r="A156" i="7"/>
  <c r="S155" i="7"/>
  <c r="R155" i="7"/>
  <c r="Q155" i="7"/>
  <c r="O155" i="7"/>
  <c r="M155" i="7"/>
  <c r="L155" i="7"/>
  <c r="K155" i="7"/>
  <c r="J155" i="7"/>
  <c r="I155" i="7"/>
  <c r="H155" i="7"/>
  <c r="E155" i="7"/>
  <c r="D155" i="7"/>
  <c r="C155" i="7"/>
  <c r="B155" i="7"/>
  <c r="A155" i="7"/>
  <c r="S154" i="7"/>
  <c r="R154" i="7"/>
  <c r="Q154" i="7"/>
  <c r="O154" i="7"/>
  <c r="M154" i="7"/>
  <c r="L154" i="7"/>
  <c r="K154" i="7"/>
  <c r="J154" i="7"/>
  <c r="I154" i="7"/>
  <c r="H154" i="7"/>
  <c r="E154" i="7"/>
  <c r="D154" i="7"/>
  <c r="C154" i="7"/>
  <c r="B154" i="7"/>
  <c r="A154" i="7"/>
  <c r="S153" i="7"/>
  <c r="R153" i="7"/>
  <c r="Q153" i="7"/>
  <c r="O153" i="7"/>
  <c r="M153" i="7"/>
  <c r="L153" i="7"/>
  <c r="K153" i="7"/>
  <c r="J153" i="7"/>
  <c r="I153" i="7"/>
  <c r="H153" i="7"/>
  <c r="E153" i="7"/>
  <c r="D153" i="7"/>
  <c r="C153" i="7"/>
  <c r="B153" i="7"/>
  <c r="A153" i="7"/>
  <c r="S152" i="7"/>
  <c r="R152" i="7"/>
  <c r="Q152" i="7"/>
  <c r="O152" i="7"/>
  <c r="M152" i="7"/>
  <c r="L152" i="7"/>
  <c r="K152" i="7"/>
  <c r="J152" i="7"/>
  <c r="I152" i="7"/>
  <c r="H152" i="7"/>
  <c r="E152" i="7"/>
  <c r="D152" i="7"/>
  <c r="C152" i="7"/>
  <c r="B152" i="7"/>
  <c r="A152" i="7"/>
  <c r="S151" i="7"/>
  <c r="R151" i="7"/>
  <c r="Q151" i="7"/>
  <c r="M151" i="7"/>
  <c r="L151" i="7"/>
  <c r="K151" i="7"/>
  <c r="J151" i="7"/>
  <c r="I151" i="7"/>
  <c r="H151" i="7"/>
  <c r="E151" i="7"/>
  <c r="D151" i="7"/>
  <c r="C151" i="7"/>
  <c r="B151" i="7"/>
  <c r="A151" i="7"/>
  <c r="S150" i="7"/>
  <c r="R150" i="7"/>
  <c r="Q150" i="7"/>
  <c r="O150" i="7"/>
  <c r="M150" i="7"/>
  <c r="L150" i="7"/>
  <c r="K150" i="7"/>
  <c r="J150" i="7"/>
  <c r="I150" i="7"/>
  <c r="H150" i="7"/>
  <c r="E150" i="7"/>
  <c r="D150" i="7"/>
  <c r="C150" i="7"/>
  <c r="B150" i="7"/>
  <c r="A150" i="7"/>
  <c r="S149" i="7"/>
  <c r="R149" i="7"/>
  <c r="Q149" i="7"/>
  <c r="O149" i="7"/>
  <c r="M149" i="7"/>
  <c r="L149" i="7"/>
  <c r="K149" i="7"/>
  <c r="J149" i="7"/>
  <c r="I149" i="7"/>
  <c r="H149" i="7"/>
  <c r="E149" i="7"/>
  <c r="D149" i="7"/>
  <c r="C149" i="7"/>
  <c r="B149" i="7"/>
  <c r="A149" i="7"/>
  <c r="S148" i="7"/>
  <c r="R148" i="7"/>
  <c r="Q148" i="7"/>
  <c r="O148" i="7"/>
  <c r="M148" i="7"/>
  <c r="L148" i="7"/>
  <c r="K148" i="7"/>
  <c r="J148" i="7"/>
  <c r="I148" i="7"/>
  <c r="H148" i="7"/>
  <c r="E148" i="7"/>
  <c r="D148" i="7"/>
  <c r="C148" i="7"/>
  <c r="B148" i="7"/>
  <c r="A148" i="7"/>
  <c r="S147" i="7"/>
  <c r="R147" i="7"/>
  <c r="Q147" i="7"/>
  <c r="O147" i="7"/>
  <c r="M147" i="7"/>
  <c r="L147" i="7"/>
  <c r="K147" i="7"/>
  <c r="J147" i="7"/>
  <c r="I147" i="7"/>
  <c r="H147" i="7"/>
  <c r="E147" i="7"/>
  <c r="D147" i="7"/>
  <c r="C147" i="7"/>
  <c r="B147" i="7"/>
  <c r="A147" i="7"/>
  <c r="S146" i="7"/>
  <c r="R146" i="7"/>
  <c r="Q146" i="7"/>
  <c r="O146" i="7"/>
  <c r="M146" i="7"/>
  <c r="L146" i="7"/>
  <c r="K146" i="7"/>
  <c r="J146" i="7"/>
  <c r="I146" i="7"/>
  <c r="H146" i="7"/>
  <c r="E146" i="7"/>
  <c r="D146" i="7"/>
  <c r="C146" i="7"/>
  <c r="B146" i="7"/>
  <c r="A146" i="7"/>
  <c r="S145" i="7"/>
  <c r="R145" i="7"/>
  <c r="Q145" i="7"/>
  <c r="M145" i="7"/>
  <c r="L145" i="7"/>
  <c r="K145" i="7"/>
  <c r="J145" i="7"/>
  <c r="I145" i="7"/>
  <c r="H145" i="7"/>
  <c r="E145" i="7"/>
  <c r="D145" i="7"/>
  <c r="C145" i="7"/>
  <c r="B145" i="7"/>
  <c r="A145" i="7"/>
  <c r="S144" i="7"/>
  <c r="R144" i="7"/>
  <c r="Q144" i="7"/>
  <c r="M144" i="7"/>
  <c r="L144" i="7"/>
  <c r="K144" i="7"/>
  <c r="J144" i="7"/>
  <c r="I144" i="7"/>
  <c r="H144" i="7"/>
  <c r="E144" i="7"/>
  <c r="D144" i="7"/>
  <c r="C144" i="7"/>
  <c r="B144" i="7"/>
  <c r="A144" i="7"/>
  <c r="S143" i="7"/>
  <c r="R143" i="7"/>
  <c r="Q143" i="7"/>
  <c r="O143" i="7"/>
  <c r="M143" i="7"/>
  <c r="L143" i="7"/>
  <c r="K143" i="7"/>
  <c r="J143" i="7"/>
  <c r="I143" i="7"/>
  <c r="H143" i="7"/>
  <c r="E143" i="7"/>
  <c r="D143" i="7"/>
  <c r="C143" i="7"/>
  <c r="B143" i="7"/>
  <c r="A143" i="7"/>
  <c r="S142" i="7"/>
  <c r="R142" i="7"/>
  <c r="Q142" i="7"/>
  <c r="O142" i="7"/>
  <c r="M142" i="7"/>
  <c r="L142" i="7"/>
  <c r="K142" i="7"/>
  <c r="J142" i="7"/>
  <c r="I142" i="7"/>
  <c r="H142" i="7"/>
  <c r="E142" i="7"/>
  <c r="D142" i="7"/>
  <c r="C142" i="7"/>
  <c r="B142" i="7"/>
  <c r="A142" i="7"/>
  <c r="S141" i="7"/>
  <c r="R141" i="7"/>
  <c r="Q141" i="7"/>
  <c r="O141" i="7"/>
  <c r="M141" i="7"/>
  <c r="L141" i="7"/>
  <c r="K141" i="7"/>
  <c r="J141" i="7"/>
  <c r="I141" i="7"/>
  <c r="H141" i="7"/>
  <c r="E141" i="7"/>
  <c r="D141" i="7"/>
  <c r="C141" i="7"/>
  <c r="B141" i="7"/>
  <c r="A141" i="7"/>
  <c r="S140" i="7"/>
  <c r="R140" i="7"/>
  <c r="Q140" i="7"/>
  <c r="O140" i="7"/>
  <c r="M140" i="7"/>
  <c r="L140" i="7"/>
  <c r="K140" i="7"/>
  <c r="J140" i="7"/>
  <c r="I140" i="7"/>
  <c r="H140" i="7"/>
  <c r="E140" i="7"/>
  <c r="D140" i="7"/>
  <c r="C140" i="7"/>
  <c r="B140" i="7"/>
  <c r="A140" i="7"/>
  <c r="S139" i="7"/>
  <c r="R139" i="7"/>
  <c r="Q139" i="7"/>
  <c r="M139" i="7"/>
  <c r="L139" i="7"/>
  <c r="K139" i="7"/>
  <c r="J139" i="7"/>
  <c r="I139" i="7"/>
  <c r="H139" i="7"/>
  <c r="E139" i="7"/>
  <c r="D139" i="7"/>
  <c r="C139" i="7"/>
  <c r="B139" i="7"/>
  <c r="A139" i="7"/>
  <c r="S138" i="7"/>
  <c r="R138" i="7"/>
  <c r="Q138" i="7"/>
  <c r="O138" i="7"/>
  <c r="M138" i="7"/>
  <c r="L138" i="7"/>
  <c r="K138" i="7"/>
  <c r="J138" i="7"/>
  <c r="I138" i="7"/>
  <c r="H138" i="7"/>
  <c r="E138" i="7"/>
  <c r="D138" i="7"/>
  <c r="C138" i="7"/>
  <c r="B138" i="7"/>
  <c r="A138" i="7"/>
  <c r="S137" i="7"/>
  <c r="R137" i="7"/>
  <c r="Q137" i="7"/>
  <c r="O137" i="7"/>
  <c r="M137" i="7"/>
  <c r="L137" i="7"/>
  <c r="K137" i="7"/>
  <c r="J137" i="7"/>
  <c r="I137" i="7"/>
  <c r="H137" i="7"/>
  <c r="E137" i="7"/>
  <c r="D137" i="7"/>
  <c r="C137" i="7"/>
  <c r="B137" i="7"/>
  <c r="A137" i="7"/>
  <c r="S136" i="7"/>
  <c r="R136" i="7"/>
  <c r="Q136" i="7"/>
  <c r="O136" i="7"/>
  <c r="M136" i="7"/>
  <c r="L136" i="7"/>
  <c r="K136" i="7"/>
  <c r="J136" i="7"/>
  <c r="I136" i="7"/>
  <c r="H136" i="7"/>
  <c r="E136" i="7"/>
  <c r="D136" i="7"/>
  <c r="C136" i="7"/>
  <c r="B136" i="7"/>
  <c r="A136" i="7"/>
  <c r="S135" i="7"/>
  <c r="R135" i="7"/>
  <c r="Q135" i="7"/>
  <c r="O135" i="7"/>
  <c r="M135" i="7"/>
  <c r="L135" i="7"/>
  <c r="K135" i="7"/>
  <c r="J135" i="7"/>
  <c r="I135" i="7"/>
  <c r="H135" i="7"/>
  <c r="E135" i="7"/>
  <c r="D135" i="7"/>
  <c r="C135" i="7"/>
  <c r="B135" i="7"/>
  <c r="A135" i="7"/>
  <c r="S134" i="7"/>
  <c r="R134" i="7"/>
  <c r="Q134" i="7"/>
  <c r="O134" i="7"/>
  <c r="M134" i="7"/>
  <c r="L134" i="7"/>
  <c r="K134" i="7"/>
  <c r="J134" i="7"/>
  <c r="I134" i="7"/>
  <c r="H134" i="7"/>
  <c r="E134" i="7"/>
  <c r="D134" i="7"/>
  <c r="C134" i="7"/>
  <c r="B134" i="7"/>
  <c r="A134" i="7"/>
  <c r="S133" i="7"/>
  <c r="R133" i="7"/>
  <c r="Q133" i="7"/>
  <c r="M133" i="7"/>
  <c r="L133" i="7"/>
  <c r="K133" i="7"/>
  <c r="J133" i="7"/>
  <c r="I133" i="7"/>
  <c r="H133" i="7"/>
  <c r="E133" i="7"/>
  <c r="D133" i="7"/>
  <c r="C133" i="7"/>
  <c r="B133" i="7"/>
  <c r="A133" i="7"/>
  <c r="S132" i="7"/>
  <c r="R132" i="7"/>
  <c r="Q132" i="7"/>
  <c r="M132" i="7"/>
  <c r="L132" i="7"/>
  <c r="K132" i="7"/>
  <c r="J132" i="7"/>
  <c r="I132" i="7"/>
  <c r="H132" i="7"/>
  <c r="E132" i="7"/>
  <c r="D132" i="7"/>
  <c r="C132" i="7"/>
  <c r="B132" i="7"/>
  <c r="A132" i="7"/>
  <c r="S131" i="7"/>
  <c r="R131" i="7"/>
  <c r="Q131" i="7"/>
  <c r="O131" i="7"/>
  <c r="M131" i="7"/>
  <c r="L131" i="7"/>
  <c r="K131" i="7"/>
  <c r="J131" i="7"/>
  <c r="I131" i="7"/>
  <c r="H131" i="7"/>
  <c r="E131" i="7"/>
  <c r="D131" i="7"/>
  <c r="C131" i="7"/>
  <c r="B131" i="7"/>
  <c r="A131" i="7"/>
  <c r="S130" i="7"/>
  <c r="R130" i="7"/>
  <c r="Q130" i="7"/>
  <c r="O130" i="7"/>
  <c r="M130" i="7"/>
  <c r="L130" i="7"/>
  <c r="K130" i="7"/>
  <c r="J130" i="7"/>
  <c r="I130" i="7"/>
  <c r="H130" i="7"/>
  <c r="E130" i="7"/>
  <c r="D130" i="7"/>
  <c r="C130" i="7"/>
  <c r="B130" i="7"/>
  <c r="A130" i="7"/>
  <c r="S129" i="7"/>
  <c r="R129" i="7"/>
  <c r="Q129" i="7"/>
  <c r="O129" i="7"/>
  <c r="M129" i="7"/>
  <c r="L129" i="7"/>
  <c r="K129" i="7"/>
  <c r="J129" i="7"/>
  <c r="I129" i="7"/>
  <c r="H129" i="7"/>
  <c r="E129" i="7"/>
  <c r="D129" i="7"/>
  <c r="C129" i="7"/>
  <c r="B129" i="7"/>
  <c r="A129" i="7"/>
  <c r="S128" i="7"/>
  <c r="R128" i="7"/>
  <c r="Q128" i="7"/>
  <c r="O128" i="7"/>
  <c r="M128" i="7"/>
  <c r="L128" i="7"/>
  <c r="K128" i="7"/>
  <c r="J128" i="7"/>
  <c r="I128" i="7"/>
  <c r="H128" i="7"/>
  <c r="E128" i="7"/>
  <c r="D128" i="7"/>
  <c r="C128" i="7"/>
  <c r="B128" i="7"/>
  <c r="A128" i="7"/>
  <c r="S127" i="7"/>
  <c r="R127" i="7"/>
  <c r="Q127" i="7"/>
  <c r="M127" i="7"/>
  <c r="L127" i="7"/>
  <c r="K127" i="7"/>
  <c r="J127" i="7"/>
  <c r="I127" i="7"/>
  <c r="H127" i="7"/>
  <c r="E127" i="7"/>
  <c r="D127" i="7"/>
  <c r="C127" i="7"/>
  <c r="B127" i="7"/>
  <c r="A127" i="7"/>
  <c r="S126" i="7"/>
  <c r="R126" i="7"/>
  <c r="Q126" i="7"/>
  <c r="O126" i="7"/>
  <c r="M126" i="7"/>
  <c r="L126" i="7"/>
  <c r="K126" i="7"/>
  <c r="J126" i="7"/>
  <c r="I126" i="7"/>
  <c r="H126" i="7"/>
  <c r="E126" i="7"/>
  <c r="D126" i="7"/>
  <c r="C126" i="7"/>
  <c r="B126" i="7"/>
  <c r="A126" i="7"/>
  <c r="S125" i="7"/>
  <c r="R125" i="7"/>
  <c r="Q125" i="7"/>
  <c r="O125" i="7"/>
  <c r="M125" i="7"/>
  <c r="L125" i="7"/>
  <c r="K125" i="7"/>
  <c r="J125" i="7"/>
  <c r="I125" i="7"/>
  <c r="H125" i="7"/>
  <c r="E125" i="7"/>
  <c r="D125" i="7"/>
  <c r="C125" i="7"/>
  <c r="B125" i="7"/>
  <c r="A125" i="7"/>
  <c r="S124" i="7"/>
  <c r="R124" i="7"/>
  <c r="Q124" i="7"/>
  <c r="O124" i="7"/>
  <c r="M124" i="7"/>
  <c r="L124" i="7"/>
  <c r="K124" i="7"/>
  <c r="J124" i="7"/>
  <c r="I124" i="7"/>
  <c r="H124" i="7"/>
  <c r="E124" i="7"/>
  <c r="D124" i="7"/>
  <c r="C124" i="7"/>
  <c r="B124" i="7"/>
  <c r="A124" i="7"/>
  <c r="S123" i="7"/>
  <c r="R123" i="7"/>
  <c r="Q123" i="7"/>
  <c r="O123" i="7"/>
  <c r="M123" i="7"/>
  <c r="L123" i="7"/>
  <c r="K123" i="7"/>
  <c r="J123" i="7"/>
  <c r="I123" i="7"/>
  <c r="H123" i="7"/>
  <c r="E123" i="7"/>
  <c r="D123" i="7"/>
  <c r="C123" i="7"/>
  <c r="B123" i="7"/>
  <c r="A123" i="7"/>
  <c r="S122" i="7"/>
  <c r="R122" i="7"/>
  <c r="Q122" i="7"/>
  <c r="O122" i="7"/>
  <c r="M122" i="7"/>
  <c r="L122" i="7"/>
  <c r="K122" i="7"/>
  <c r="J122" i="7"/>
  <c r="I122" i="7"/>
  <c r="H122" i="7"/>
  <c r="E122" i="7"/>
  <c r="D122" i="7"/>
  <c r="C122" i="7"/>
  <c r="B122" i="7"/>
  <c r="A122" i="7"/>
  <c r="S121" i="7"/>
  <c r="R121" i="7"/>
  <c r="Q121" i="7"/>
  <c r="M121" i="7"/>
  <c r="L121" i="7"/>
  <c r="K121" i="7"/>
  <c r="J121" i="7"/>
  <c r="I121" i="7"/>
  <c r="H121" i="7"/>
  <c r="E121" i="7"/>
  <c r="D121" i="7"/>
  <c r="C121" i="7"/>
  <c r="B121" i="7"/>
  <c r="A121" i="7"/>
  <c r="S120" i="7"/>
  <c r="R120" i="7"/>
  <c r="Q120" i="7"/>
  <c r="M120" i="7"/>
  <c r="L120" i="7"/>
  <c r="K120" i="7"/>
  <c r="J120" i="7"/>
  <c r="I120" i="7"/>
  <c r="H120" i="7"/>
  <c r="E120" i="7"/>
  <c r="D120" i="7"/>
  <c r="C120" i="7"/>
  <c r="B120" i="7"/>
  <c r="A120" i="7"/>
  <c r="S119" i="7"/>
  <c r="R119" i="7"/>
  <c r="Q119" i="7"/>
  <c r="O119" i="7"/>
  <c r="M119" i="7"/>
  <c r="L119" i="7"/>
  <c r="K119" i="7"/>
  <c r="J119" i="7"/>
  <c r="I119" i="7"/>
  <c r="H119" i="7"/>
  <c r="E119" i="7"/>
  <c r="D119" i="7"/>
  <c r="C119" i="7"/>
  <c r="B119" i="7"/>
  <c r="A119" i="7"/>
  <c r="S118" i="7"/>
  <c r="R118" i="7"/>
  <c r="Q118" i="7"/>
  <c r="O118" i="7"/>
  <c r="M118" i="7"/>
  <c r="L118" i="7"/>
  <c r="K118" i="7"/>
  <c r="J118" i="7"/>
  <c r="I118" i="7"/>
  <c r="H118" i="7"/>
  <c r="E118" i="7"/>
  <c r="D118" i="7"/>
  <c r="C118" i="7"/>
  <c r="B118" i="7"/>
  <c r="A118" i="7"/>
  <c r="S117" i="7"/>
  <c r="R117" i="7"/>
  <c r="Q117" i="7"/>
  <c r="O117" i="7"/>
  <c r="M117" i="7"/>
  <c r="L117" i="7"/>
  <c r="K117" i="7"/>
  <c r="J117" i="7"/>
  <c r="I117" i="7"/>
  <c r="H117" i="7"/>
  <c r="E117" i="7"/>
  <c r="D117" i="7"/>
  <c r="C117" i="7"/>
  <c r="B117" i="7"/>
  <c r="A117" i="7"/>
  <c r="S116" i="7"/>
  <c r="R116" i="7"/>
  <c r="Q116" i="7"/>
  <c r="O116" i="7"/>
  <c r="M116" i="7"/>
  <c r="L116" i="7"/>
  <c r="K116" i="7"/>
  <c r="J116" i="7"/>
  <c r="I116" i="7"/>
  <c r="H116" i="7"/>
  <c r="E116" i="7"/>
  <c r="D116" i="7"/>
  <c r="C116" i="7"/>
  <c r="B116" i="7"/>
  <c r="A116" i="7"/>
  <c r="S115" i="7"/>
  <c r="R115" i="7"/>
  <c r="Q115" i="7"/>
  <c r="M115" i="7"/>
  <c r="L115" i="7"/>
  <c r="K115" i="7"/>
  <c r="J115" i="7"/>
  <c r="I115" i="7"/>
  <c r="H115" i="7"/>
  <c r="E115" i="7"/>
  <c r="D115" i="7"/>
  <c r="C115" i="7"/>
  <c r="B115" i="7"/>
  <c r="A115" i="7"/>
  <c r="S114" i="7"/>
  <c r="R114" i="7"/>
  <c r="Q114" i="7"/>
  <c r="O114" i="7"/>
  <c r="M114" i="7"/>
  <c r="L114" i="7"/>
  <c r="K114" i="7"/>
  <c r="J114" i="7"/>
  <c r="I114" i="7"/>
  <c r="H114" i="7"/>
  <c r="E114" i="7"/>
  <c r="D114" i="7"/>
  <c r="C114" i="7"/>
  <c r="B114" i="7"/>
  <c r="A114" i="7"/>
  <c r="S113" i="7"/>
  <c r="R113" i="7"/>
  <c r="Q113" i="7"/>
  <c r="O113" i="7"/>
  <c r="M113" i="7"/>
  <c r="L113" i="7"/>
  <c r="K113" i="7"/>
  <c r="J113" i="7"/>
  <c r="I113" i="7"/>
  <c r="H113" i="7"/>
  <c r="E113" i="7"/>
  <c r="D113" i="7"/>
  <c r="C113" i="7"/>
  <c r="B113" i="7"/>
  <c r="A113" i="7"/>
  <c r="S112" i="7"/>
  <c r="R112" i="7"/>
  <c r="Q112" i="7"/>
  <c r="O112" i="7"/>
  <c r="M112" i="7"/>
  <c r="L112" i="7"/>
  <c r="K112" i="7"/>
  <c r="J112" i="7"/>
  <c r="I112" i="7"/>
  <c r="H112" i="7"/>
  <c r="E112" i="7"/>
  <c r="D112" i="7"/>
  <c r="C112" i="7"/>
  <c r="B112" i="7"/>
  <c r="A112" i="7"/>
  <c r="S111" i="7"/>
  <c r="R111" i="7"/>
  <c r="Q111" i="7"/>
  <c r="O111" i="7"/>
  <c r="M111" i="7"/>
  <c r="L111" i="7"/>
  <c r="K111" i="7"/>
  <c r="J111" i="7"/>
  <c r="I111" i="7"/>
  <c r="H111" i="7"/>
  <c r="E111" i="7"/>
  <c r="D111" i="7"/>
  <c r="C111" i="7"/>
  <c r="B111" i="7"/>
  <c r="A111" i="7"/>
  <c r="S110" i="7"/>
  <c r="R110" i="7"/>
  <c r="Q110" i="7"/>
  <c r="O110" i="7"/>
  <c r="M110" i="7"/>
  <c r="L110" i="7"/>
  <c r="K110" i="7"/>
  <c r="J110" i="7"/>
  <c r="I110" i="7"/>
  <c r="H110" i="7"/>
  <c r="E110" i="7"/>
  <c r="D110" i="7"/>
  <c r="C110" i="7"/>
  <c r="B110" i="7"/>
  <c r="A110" i="7"/>
  <c r="S109" i="7"/>
  <c r="R109" i="7"/>
  <c r="Q109" i="7"/>
  <c r="M109" i="7"/>
  <c r="L109" i="7"/>
  <c r="K109" i="7"/>
  <c r="J109" i="7"/>
  <c r="I109" i="7"/>
  <c r="H109" i="7"/>
  <c r="E109" i="7"/>
  <c r="D109" i="7"/>
  <c r="C109" i="7"/>
  <c r="B109" i="7"/>
  <c r="A109" i="7"/>
  <c r="S108" i="7"/>
  <c r="R108" i="7"/>
  <c r="Q108" i="7"/>
  <c r="M108" i="7"/>
  <c r="L108" i="7"/>
  <c r="K108" i="7"/>
  <c r="J108" i="7"/>
  <c r="I108" i="7"/>
  <c r="H108" i="7"/>
  <c r="E108" i="7"/>
  <c r="D108" i="7"/>
  <c r="C108" i="7"/>
  <c r="B108" i="7"/>
  <c r="A108" i="7"/>
  <c r="S107" i="7"/>
  <c r="R107" i="7"/>
  <c r="Q107" i="7"/>
  <c r="O107" i="7"/>
  <c r="M107" i="7"/>
  <c r="L107" i="7"/>
  <c r="K107" i="7"/>
  <c r="J107" i="7"/>
  <c r="I107" i="7"/>
  <c r="H107" i="7"/>
  <c r="E107" i="7"/>
  <c r="D107" i="7"/>
  <c r="C107" i="7"/>
  <c r="B107" i="7"/>
  <c r="A107" i="7"/>
  <c r="S106" i="7"/>
  <c r="R106" i="7"/>
  <c r="Q106" i="7"/>
  <c r="O106" i="7"/>
  <c r="M106" i="7"/>
  <c r="L106" i="7"/>
  <c r="K106" i="7"/>
  <c r="J106" i="7"/>
  <c r="I106" i="7"/>
  <c r="H106" i="7"/>
  <c r="E106" i="7"/>
  <c r="D106" i="7"/>
  <c r="C106" i="7"/>
  <c r="B106" i="7"/>
  <c r="A106" i="7"/>
  <c r="S105" i="7"/>
  <c r="R105" i="7"/>
  <c r="Q105" i="7"/>
  <c r="O105" i="7"/>
  <c r="M105" i="7"/>
  <c r="L105" i="7"/>
  <c r="K105" i="7"/>
  <c r="J105" i="7"/>
  <c r="I105" i="7"/>
  <c r="H105" i="7"/>
  <c r="E105" i="7"/>
  <c r="D105" i="7"/>
  <c r="C105" i="7"/>
  <c r="B105" i="7"/>
  <c r="A105" i="7"/>
  <c r="S104" i="7"/>
  <c r="R104" i="7"/>
  <c r="Q104" i="7"/>
  <c r="O104" i="7"/>
  <c r="M104" i="7"/>
  <c r="L104" i="7"/>
  <c r="K104" i="7"/>
  <c r="J104" i="7"/>
  <c r="I104" i="7"/>
  <c r="H104" i="7"/>
  <c r="E104" i="7"/>
  <c r="D104" i="7"/>
  <c r="C104" i="7"/>
  <c r="B104" i="7"/>
  <c r="A104" i="7"/>
  <c r="S103" i="7"/>
  <c r="R103" i="7"/>
  <c r="Q103" i="7"/>
  <c r="M103" i="7"/>
  <c r="L103" i="7"/>
  <c r="K103" i="7"/>
  <c r="J103" i="7"/>
  <c r="I103" i="7"/>
  <c r="H103" i="7"/>
  <c r="E103" i="7"/>
  <c r="D103" i="7"/>
  <c r="C103" i="7"/>
  <c r="B103" i="7"/>
  <c r="A103" i="7"/>
  <c r="S102" i="7"/>
  <c r="R102" i="7"/>
  <c r="Q102" i="7"/>
  <c r="O102" i="7"/>
  <c r="M102" i="7"/>
  <c r="L102" i="7"/>
  <c r="K102" i="7"/>
  <c r="J102" i="7"/>
  <c r="I102" i="7"/>
  <c r="H102" i="7"/>
  <c r="E102" i="7"/>
  <c r="D102" i="7"/>
  <c r="C102" i="7"/>
  <c r="B102" i="7"/>
  <c r="A102" i="7"/>
  <c r="S101" i="7"/>
  <c r="R101" i="7"/>
  <c r="Q101" i="7"/>
  <c r="O101" i="7"/>
  <c r="M101" i="7"/>
  <c r="L101" i="7"/>
  <c r="K101" i="7"/>
  <c r="J101" i="7"/>
  <c r="I101" i="7"/>
  <c r="H101" i="7"/>
  <c r="E101" i="7"/>
  <c r="D101" i="7"/>
  <c r="C101" i="7"/>
  <c r="B101" i="7"/>
  <c r="A101" i="7"/>
  <c r="S100" i="7"/>
  <c r="R100" i="7"/>
  <c r="Q100" i="7"/>
  <c r="O100" i="7"/>
  <c r="M100" i="7"/>
  <c r="L100" i="7"/>
  <c r="K100" i="7"/>
  <c r="J100" i="7"/>
  <c r="I100" i="7"/>
  <c r="H100" i="7"/>
  <c r="E100" i="7"/>
  <c r="D100" i="7"/>
  <c r="C100" i="7"/>
  <c r="B100" i="7"/>
  <c r="A100" i="7"/>
  <c r="S99" i="7"/>
  <c r="R99" i="7"/>
  <c r="Q99" i="7"/>
  <c r="O99" i="7"/>
  <c r="M99" i="7"/>
  <c r="L99" i="7"/>
  <c r="K99" i="7"/>
  <c r="J99" i="7"/>
  <c r="I99" i="7"/>
  <c r="H99" i="7"/>
  <c r="E99" i="7"/>
  <c r="D99" i="7"/>
  <c r="C99" i="7"/>
  <c r="B99" i="7"/>
  <c r="A99" i="7"/>
  <c r="S98" i="7"/>
  <c r="R98" i="7"/>
  <c r="Q98" i="7"/>
  <c r="O98" i="7"/>
  <c r="M98" i="7"/>
  <c r="L98" i="7"/>
  <c r="K98" i="7"/>
  <c r="J98" i="7"/>
  <c r="I98" i="7"/>
  <c r="H98" i="7"/>
  <c r="E98" i="7"/>
  <c r="D98" i="7"/>
  <c r="C98" i="7"/>
  <c r="B98" i="7"/>
  <c r="A98" i="7"/>
  <c r="S97" i="7"/>
  <c r="R97" i="7"/>
  <c r="Q97" i="7"/>
  <c r="M97" i="7"/>
  <c r="L97" i="7"/>
  <c r="K97" i="7"/>
  <c r="J97" i="7"/>
  <c r="I97" i="7"/>
  <c r="H97" i="7"/>
  <c r="E97" i="7"/>
  <c r="D97" i="7"/>
  <c r="C97" i="7"/>
  <c r="B97" i="7"/>
  <c r="A97" i="7"/>
  <c r="S96" i="7"/>
  <c r="R96" i="7"/>
  <c r="Q96" i="7"/>
  <c r="M96" i="7"/>
  <c r="L96" i="7"/>
  <c r="K96" i="7"/>
  <c r="J96" i="7"/>
  <c r="I96" i="7"/>
  <c r="H96" i="7"/>
  <c r="E96" i="7"/>
  <c r="D96" i="7"/>
  <c r="C96" i="7"/>
  <c r="B96" i="7"/>
  <c r="A96" i="7"/>
  <c r="S95" i="7"/>
  <c r="R95" i="7"/>
  <c r="Q95" i="7"/>
  <c r="O95" i="7"/>
  <c r="M95" i="7"/>
  <c r="L95" i="7"/>
  <c r="K95" i="7"/>
  <c r="J95" i="7"/>
  <c r="I95" i="7"/>
  <c r="H95" i="7"/>
  <c r="E95" i="7"/>
  <c r="D95" i="7"/>
  <c r="C95" i="7"/>
  <c r="B95" i="7"/>
  <c r="A95" i="7"/>
  <c r="S94" i="7"/>
  <c r="R94" i="7"/>
  <c r="Q94" i="7"/>
  <c r="O94" i="7"/>
  <c r="M94" i="7"/>
  <c r="L94" i="7"/>
  <c r="K94" i="7"/>
  <c r="J94" i="7"/>
  <c r="I94" i="7"/>
  <c r="H94" i="7"/>
  <c r="E94" i="7"/>
  <c r="D94" i="7"/>
  <c r="C94" i="7"/>
  <c r="B94" i="7"/>
  <c r="A94" i="7"/>
  <c r="S93" i="7"/>
  <c r="R93" i="7"/>
  <c r="Q93" i="7"/>
  <c r="O93" i="7"/>
  <c r="M93" i="7"/>
  <c r="L93" i="7"/>
  <c r="K93" i="7"/>
  <c r="J93" i="7"/>
  <c r="I93" i="7"/>
  <c r="H93" i="7"/>
  <c r="E93" i="7"/>
  <c r="D93" i="7"/>
  <c r="C93" i="7"/>
  <c r="B93" i="7"/>
  <c r="A93" i="7"/>
  <c r="S92" i="7"/>
  <c r="R92" i="7"/>
  <c r="Q92" i="7"/>
  <c r="O92" i="7"/>
  <c r="M92" i="7"/>
  <c r="L92" i="7"/>
  <c r="K92" i="7"/>
  <c r="J92" i="7"/>
  <c r="I92" i="7"/>
  <c r="H92" i="7"/>
  <c r="E92" i="7"/>
  <c r="D92" i="7"/>
  <c r="C92" i="7"/>
  <c r="B92" i="7"/>
  <c r="A92" i="7"/>
  <c r="S91" i="7"/>
  <c r="R91" i="7"/>
  <c r="Q91" i="7"/>
  <c r="M91" i="7"/>
  <c r="L91" i="7"/>
  <c r="K91" i="7"/>
  <c r="J91" i="7"/>
  <c r="I91" i="7"/>
  <c r="H91" i="7"/>
  <c r="E91" i="7"/>
  <c r="D91" i="7"/>
  <c r="C91" i="7"/>
  <c r="B91" i="7"/>
  <c r="A91" i="7"/>
  <c r="S90" i="7"/>
  <c r="R90" i="7"/>
  <c r="Q90" i="7"/>
  <c r="O90" i="7"/>
  <c r="M90" i="7"/>
  <c r="L90" i="7"/>
  <c r="K90" i="7"/>
  <c r="J90" i="7"/>
  <c r="I90" i="7"/>
  <c r="H90" i="7"/>
  <c r="E90" i="7"/>
  <c r="D90" i="7"/>
  <c r="C90" i="7"/>
  <c r="B90" i="7"/>
  <c r="A90" i="7"/>
  <c r="S89" i="7"/>
  <c r="R89" i="7"/>
  <c r="Q89" i="7"/>
  <c r="O89" i="7"/>
  <c r="M89" i="7"/>
  <c r="L89" i="7"/>
  <c r="K89" i="7"/>
  <c r="J89" i="7"/>
  <c r="I89" i="7"/>
  <c r="H89" i="7"/>
  <c r="E89" i="7"/>
  <c r="D89" i="7"/>
  <c r="C89" i="7"/>
  <c r="B89" i="7"/>
  <c r="A89" i="7"/>
  <c r="S88" i="7"/>
  <c r="R88" i="7"/>
  <c r="Q88" i="7"/>
  <c r="O88" i="7"/>
  <c r="M88" i="7"/>
  <c r="L88" i="7"/>
  <c r="K88" i="7"/>
  <c r="J88" i="7"/>
  <c r="I88" i="7"/>
  <c r="H88" i="7"/>
  <c r="E88" i="7"/>
  <c r="D88" i="7"/>
  <c r="C88" i="7"/>
  <c r="B88" i="7"/>
  <c r="A88" i="7"/>
  <c r="S87" i="7"/>
  <c r="R87" i="7"/>
  <c r="Q87" i="7"/>
  <c r="O87" i="7"/>
  <c r="M87" i="7"/>
  <c r="L87" i="7"/>
  <c r="K87" i="7"/>
  <c r="J87" i="7"/>
  <c r="I87" i="7"/>
  <c r="H87" i="7"/>
  <c r="E87" i="7"/>
  <c r="D87" i="7"/>
  <c r="C87" i="7"/>
  <c r="B87" i="7"/>
  <c r="A87" i="7"/>
  <c r="S86" i="7"/>
  <c r="R86" i="7"/>
  <c r="Q86" i="7"/>
  <c r="O86" i="7"/>
  <c r="M86" i="7"/>
  <c r="L86" i="7"/>
  <c r="K86" i="7"/>
  <c r="J86" i="7"/>
  <c r="I86" i="7"/>
  <c r="H86" i="7"/>
  <c r="E86" i="7"/>
  <c r="D86" i="7"/>
  <c r="C86" i="7"/>
  <c r="B86" i="7"/>
  <c r="A86" i="7"/>
  <c r="S85" i="7"/>
  <c r="R85" i="7"/>
  <c r="Q85" i="7"/>
  <c r="M85" i="7"/>
  <c r="L85" i="7"/>
  <c r="K85" i="7"/>
  <c r="J85" i="7"/>
  <c r="I85" i="7"/>
  <c r="H85" i="7"/>
  <c r="E85" i="7"/>
  <c r="D85" i="7"/>
  <c r="C85" i="7"/>
  <c r="B85" i="7"/>
  <c r="A85" i="7"/>
  <c r="S84" i="7"/>
  <c r="R84" i="7"/>
  <c r="Q84" i="7"/>
  <c r="M84" i="7"/>
  <c r="L84" i="7"/>
  <c r="K84" i="7"/>
  <c r="J84" i="7"/>
  <c r="I84" i="7"/>
  <c r="H84" i="7"/>
  <c r="E84" i="7"/>
  <c r="D84" i="7"/>
  <c r="C84" i="7"/>
  <c r="B84" i="7"/>
  <c r="A84" i="7"/>
  <c r="S83" i="7"/>
  <c r="R83" i="7"/>
  <c r="Q83" i="7"/>
  <c r="O83" i="7"/>
  <c r="M83" i="7"/>
  <c r="L83" i="7"/>
  <c r="K83" i="7"/>
  <c r="J83" i="7"/>
  <c r="I83" i="7"/>
  <c r="H83" i="7"/>
  <c r="E83" i="7"/>
  <c r="D83" i="7"/>
  <c r="C83" i="7"/>
  <c r="B83" i="7"/>
  <c r="A83" i="7"/>
  <c r="S82" i="7"/>
  <c r="R82" i="7"/>
  <c r="Q82" i="7"/>
  <c r="O82" i="7"/>
  <c r="M82" i="7"/>
  <c r="L82" i="7"/>
  <c r="K82" i="7"/>
  <c r="J82" i="7"/>
  <c r="I82" i="7"/>
  <c r="H82" i="7"/>
  <c r="E82" i="7"/>
  <c r="D82" i="7"/>
  <c r="C82" i="7"/>
  <c r="B82" i="7"/>
  <c r="A82" i="7"/>
  <c r="S81" i="7"/>
  <c r="R81" i="7"/>
  <c r="Q81" i="7"/>
  <c r="O81" i="7"/>
  <c r="M81" i="7"/>
  <c r="L81" i="7"/>
  <c r="K81" i="7"/>
  <c r="J81" i="7"/>
  <c r="I81" i="7"/>
  <c r="H81" i="7"/>
  <c r="E81" i="7"/>
  <c r="D81" i="7"/>
  <c r="C81" i="7"/>
  <c r="B81" i="7"/>
  <c r="A81" i="7"/>
  <c r="S80" i="7"/>
  <c r="R80" i="7"/>
  <c r="Q80" i="7"/>
  <c r="O80" i="7"/>
  <c r="M80" i="7"/>
  <c r="L80" i="7"/>
  <c r="K80" i="7"/>
  <c r="J80" i="7"/>
  <c r="I80" i="7"/>
  <c r="H80" i="7"/>
  <c r="E80" i="7"/>
  <c r="D80" i="7"/>
  <c r="C80" i="7"/>
  <c r="B80" i="7"/>
  <c r="A80" i="7"/>
  <c r="S79" i="7"/>
  <c r="R79" i="7"/>
  <c r="Q79" i="7"/>
  <c r="M79" i="7"/>
  <c r="L79" i="7"/>
  <c r="K79" i="7"/>
  <c r="J79" i="7"/>
  <c r="I79" i="7"/>
  <c r="H79" i="7"/>
  <c r="E79" i="7"/>
  <c r="D79" i="7"/>
  <c r="C79" i="7"/>
  <c r="B79" i="7"/>
  <c r="A79" i="7"/>
  <c r="S78" i="7"/>
  <c r="R78" i="7"/>
  <c r="Q78" i="7"/>
  <c r="O78" i="7"/>
  <c r="M78" i="7"/>
  <c r="L78" i="7"/>
  <c r="K78" i="7"/>
  <c r="J78" i="7"/>
  <c r="I78" i="7"/>
  <c r="H78" i="7"/>
  <c r="E78" i="7"/>
  <c r="D78" i="7"/>
  <c r="C78" i="7"/>
  <c r="B78" i="7"/>
  <c r="A78" i="7"/>
  <c r="S77" i="7"/>
  <c r="R77" i="7"/>
  <c r="Q77" i="7"/>
  <c r="O77" i="7"/>
  <c r="M77" i="7"/>
  <c r="L77" i="7"/>
  <c r="K77" i="7"/>
  <c r="J77" i="7"/>
  <c r="I77" i="7"/>
  <c r="H77" i="7"/>
  <c r="E77" i="7"/>
  <c r="D77" i="7"/>
  <c r="C77" i="7"/>
  <c r="B77" i="7"/>
  <c r="A77" i="7"/>
  <c r="S76" i="7"/>
  <c r="R76" i="7"/>
  <c r="Q76" i="7"/>
  <c r="O76" i="7"/>
  <c r="M76" i="7"/>
  <c r="L76" i="7"/>
  <c r="K76" i="7"/>
  <c r="J76" i="7"/>
  <c r="I76" i="7"/>
  <c r="H76" i="7"/>
  <c r="E76" i="7"/>
  <c r="D76" i="7"/>
  <c r="C76" i="7"/>
  <c r="B76" i="7"/>
  <c r="A76" i="7"/>
  <c r="S75" i="7"/>
  <c r="R75" i="7"/>
  <c r="Q75" i="7"/>
  <c r="O75" i="7"/>
  <c r="M75" i="7"/>
  <c r="L75" i="7"/>
  <c r="K75" i="7"/>
  <c r="J75" i="7"/>
  <c r="I75" i="7"/>
  <c r="H75" i="7"/>
  <c r="E75" i="7"/>
  <c r="D75" i="7"/>
  <c r="C75" i="7"/>
  <c r="B75" i="7"/>
  <c r="A75" i="7"/>
  <c r="S74" i="7"/>
  <c r="R74" i="7"/>
  <c r="Q74" i="7"/>
  <c r="O74" i="7"/>
  <c r="M74" i="7"/>
  <c r="L74" i="7"/>
  <c r="K74" i="7"/>
  <c r="J74" i="7"/>
  <c r="I74" i="7"/>
  <c r="H74" i="7"/>
  <c r="E74" i="7"/>
  <c r="D74" i="7"/>
  <c r="C74" i="7"/>
  <c r="B74" i="7"/>
  <c r="A74" i="7"/>
  <c r="S73" i="7"/>
  <c r="R73" i="7"/>
  <c r="Q73" i="7"/>
  <c r="M73" i="7"/>
  <c r="L73" i="7"/>
  <c r="K73" i="7"/>
  <c r="J73" i="7"/>
  <c r="I73" i="7"/>
  <c r="H73" i="7"/>
  <c r="E73" i="7"/>
  <c r="D73" i="7"/>
  <c r="C73" i="7"/>
  <c r="B73" i="7"/>
  <c r="A73" i="7"/>
  <c r="S72" i="7"/>
  <c r="R72" i="7"/>
  <c r="Q72" i="7"/>
  <c r="M72" i="7"/>
  <c r="L72" i="7"/>
  <c r="K72" i="7"/>
  <c r="J72" i="7"/>
  <c r="I72" i="7"/>
  <c r="H72" i="7"/>
  <c r="E72" i="7"/>
  <c r="D72" i="7"/>
  <c r="C72" i="7"/>
  <c r="B72" i="7"/>
  <c r="A72" i="7"/>
  <c r="S71" i="7"/>
  <c r="R71" i="7"/>
  <c r="Q71" i="7"/>
  <c r="O71" i="7"/>
  <c r="M71" i="7"/>
  <c r="L71" i="7"/>
  <c r="K71" i="7"/>
  <c r="J71" i="7"/>
  <c r="I71" i="7"/>
  <c r="H71" i="7"/>
  <c r="E71" i="7"/>
  <c r="D71" i="7"/>
  <c r="C71" i="7"/>
  <c r="B71" i="7"/>
  <c r="A71" i="7"/>
  <c r="S70" i="7"/>
  <c r="R70" i="7"/>
  <c r="Q70" i="7"/>
  <c r="O70" i="7"/>
  <c r="M70" i="7"/>
  <c r="L70" i="7"/>
  <c r="K70" i="7"/>
  <c r="J70" i="7"/>
  <c r="I70" i="7"/>
  <c r="H70" i="7"/>
  <c r="E70" i="7"/>
  <c r="D70" i="7"/>
  <c r="C70" i="7"/>
  <c r="B70" i="7"/>
  <c r="A70" i="7"/>
  <c r="S69" i="7"/>
  <c r="R69" i="7"/>
  <c r="Q69" i="7"/>
  <c r="O69" i="7"/>
  <c r="M69" i="7"/>
  <c r="L69" i="7"/>
  <c r="K69" i="7"/>
  <c r="J69" i="7"/>
  <c r="I69" i="7"/>
  <c r="H69" i="7"/>
  <c r="E69" i="7"/>
  <c r="D69" i="7"/>
  <c r="C69" i="7"/>
  <c r="B69" i="7"/>
  <c r="A69" i="7"/>
  <c r="S68" i="7"/>
  <c r="R68" i="7"/>
  <c r="Q68" i="7"/>
  <c r="O68" i="7"/>
  <c r="M68" i="7"/>
  <c r="L68" i="7"/>
  <c r="K68" i="7"/>
  <c r="J68" i="7"/>
  <c r="I68" i="7"/>
  <c r="H68" i="7"/>
  <c r="E68" i="7"/>
  <c r="D68" i="7"/>
  <c r="C68" i="7"/>
  <c r="B68" i="7"/>
  <c r="A68" i="7"/>
  <c r="S67" i="7"/>
  <c r="R67" i="7"/>
  <c r="Q67" i="7"/>
  <c r="M67" i="7"/>
  <c r="L67" i="7"/>
  <c r="K67" i="7"/>
  <c r="J67" i="7"/>
  <c r="I67" i="7"/>
  <c r="H67" i="7"/>
  <c r="E67" i="7"/>
  <c r="D67" i="7"/>
  <c r="C67" i="7"/>
  <c r="B67" i="7"/>
  <c r="A67" i="7"/>
  <c r="S66" i="7"/>
  <c r="R66" i="7"/>
  <c r="Q66" i="7"/>
  <c r="O66" i="7"/>
  <c r="M66" i="7"/>
  <c r="L66" i="7"/>
  <c r="K66" i="7"/>
  <c r="J66" i="7"/>
  <c r="I66" i="7"/>
  <c r="H66" i="7"/>
  <c r="E66" i="7"/>
  <c r="D66" i="7"/>
  <c r="C66" i="7"/>
  <c r="B66" i="7"/>
  <c r="A66" i="7"/>
  <c r="S65" i="7"/>
  <c r="R65" i="7"/>
  <c r="Q65" i="7"/>
  <c r="O65" i="7"/>
  <c r="M65" i="7"/>
  <c r="L65" i="7"/>
  <c r="K65" i="7"/>
  <c r="J65" i="7"/>
  <c r="I65" i="7"/>
  <c r="H65" i="7"/>
  <c r="E65" i="7"/>
  <c r="D65" i="7"/>
  <c r="C65" i="7"/>
  <c r="B65" i="7"/>
  <c r="A65" i="7"/>
  <c r="S64" i="7"/>
  <c r="R64" i="7"/>
  <c r="Q64" i="7"/>
  <c r="O64" i="7"/>
  <c r="M64" i="7"/>
  <c r="L64" i="7"/>
  <c r="K64" i="7"/>
  <c r="J64" i="7"/>
  <c r="I64" i="7"/>
  <c r="H64" i="7"/>
  <c r="E64" i="7"/>
  <c r="D64" i="7"/>
  <c r="C64" i="7"/>
  <c r="B64" i="7"/>
  <c r="A64" i="7"/>
  <c r="S63" i="7"/>
  <c r="R63" i="7"/>
  <c r="Q63" i="7"/>
  <c r="O63" i="7"/>
  <c r="M63" i="7"/>
  <c r="L63" i="7"/>
  <c r="K63" i="7"/>
  <c r="J63" i="7"/>
  <c r="I63" i="7"/>
  <c r="H63" i="7"/>
  <c r="E63" i="7"/>
  <c r="D63" i="7"/>
  <c r="C63" i="7"/>
  <c r="B63" i="7"/>
  <c r="A63" i="7"/>
  <c r="S62" i="7"/>
  <c r="R62" i="7"/>
  <c r="Q62" i="7"/>
  <c r="O62" i="7"/>
  <c r="M62" i="7"/>
  <c r="L62" i="7"/>
  <c r="K62" i="7"/>
  <c r="J62" i="7"/>
  <c r="I62" i="7"/>
  <c r="H62" i="7"/>
  <c r="E62" i="7"/>
  <c r="D62" i="7"/>
  <c r="C62" i="7"/>
  <c r="B62" i="7"/>
  <c r="A62" i="7"/>
  <c r="S61" i="7"/>
  <c r="R61" i="7"/>
  <c r="Q61" i="7"/>
  <c r="M61" i="7"/>
  <c r="L61" i="7"/>
  <c r="K61" i="7"/>
  <c r="J61" i="7"/>
  <c r="I61" i="7"/>
  <c r="H61" i="7"/>
  <c r="E61" i="7"/>
  <c r="D61" i="7"/>
  <c r="C61" i="7"/>
  <c r="B61" i="7"/>
  <c r="A61" i="7"/>
  <c r="S60" i="7"/>
  <c r="R60" i="7"/>
  <c r="Q60" i="7"/>
  <c r="M60" i="7"/>
  <c r="L60" i="7"/>
  <c r="K60" i="7"/>
  <c r="J60" i="7"/>
  <c r="I60" i="7"/>
  <c r="H60" i="7"/>
  <c r="E60" i="7"/>
  <c r="D60" i="7"/>
  <c r="C60" i="7"/>
  <c r="B60" i="7"/>
  <c r="A60" i="7"/>
  <c r="S59" i="7"/>
  <c r="R59" i="7"/>
  <c r="Q59" i="7"/>
  <c r="O59" i="7"/>
  <c r="M59" i="7"/>
  <c r="L59" i="7"/>
  <c r="K59" i="7"/>
  <c r="J59" i="7"/>
  <c r="I59" i="7"/>
  <c r="H59" i="7"/>
  <c r="E59" i="7"/>
  <c r="D59" i="7"/>
  <c r="C59" i="7"/>
  <c r="B59" i="7"/>
  <c r="A59" i="7"/>
  <c r="S58" i="7"/>
  <c r="R58" i="7"/>
  <c r="Q58" i="7"/>
  <c r="O58" i="7"/>
  <c r="M58" i="7"/>
  <c r="L58" i="7"/>
  <c r="K58" i="7"/>
  <c r="J58" i="7"/>
  <c r="I58" i="7"/>
  <c r="H58" i="7"/>
  <c r="E58" i="7"/>
  <c r="D58" i="7"/>
  <c r="C58" i="7"/>
  <c r="B58" i="7"/>
  <c r="A58" i="7"/>
  <c r="S57" i="7"/>
  <c r="R57" i="7"/>
  <c r="Q57" i="7"/>
  <c r="O57" i="7"/>
  <c r="M57" i="7"/>
  <c r="L57" i="7"/>
  <c r="K57" i="7"/>
  <c r="J57" i="7"/>
  <c r="I57" i="7"/>
  <c r="H57" i="7"/>
  <c r="E57" i="7"/>
  <c r="D57" i="7"/>
  <c r="C57" i="7"/>
  <c r="B57" i="7"/>
  <c r="A57" i="7"/>
  <c r="S56" i="7"/>
  <c r="R56" i="7"/>
  <c r="Q56" i="7"/>
  <c r="O56" i="7"/>
  <c r="M56" i="7"/>
  <c r="L56" i="7"/>
  <c r="K56" i="7"/>
  <c r="J56" i="7"/>
  <c r="I56" i="7"/>
  <c r="H56" i="7"/>
  <c r="E56" i="7"/>
  <c r="D56" i="7"/>
  <c r="C56" i="7"/>
  <c r="B56" i="7"/>
  <c r="A56" i="7"/>
  <c r="S55" i="7"/>
  <c r="R55" i="7"/>
  <c r="Q55" i="7"/>
  <c r="M55" i="7"/>
  <c r="L55" i="7"/>
  <c r="K55" i="7"/>
  <c r="J55" i="7"/>
  <c r="I55" i="7"/>
  <c r="H55" i="7"/>
  <c r="E55" i="7"/>
  <c r="D55" i="7"/>
  <c r="C55" i="7"/>
  <c r="B55" i="7"/>
  <c r="A55" i="7"/>
  <c r="S54" i="7"/>
  <c r="R54" i="7"/>
  <c r="Q54" i="7"/>
  <c r="O54" i="7"/>
  <c r="M54" i="7"/>
  <c r="L54" i="7"/>
  <c r="K54" i="7"/>
  <c r="J54" i="7"/>
  <c r="I54" i="7"/>
  <c r="H54" i="7"/>
  <c r="E54" i="7"/>
  <c r="D54" i="7"/>
  <c r="C54" i="7"/>
  <c r="B54" i="7"/>
  <c r="A54" i="7"/>
  <c r="S53" i="7"/>
  <c r="R53" i="7"/>
  <c r="Q53" i="7"/>
  <c r="O53" i="7"/>
  <c r="M53" i="7"/>
  <c r="L53" i="7"/>
  <c r="K53" i="7"/>
  <c r="J53" i="7"/>
  <c r="I53" i="7"/>
  <c r="H53" i="7"/>
  <c r="E53" i="7"/>
  <c r="D53" i="7"/>
  <c r="C53" i="7"/>
  <c r="B53" i="7"/>
  <c r="A53" i="7"/>
  <c r="S52" i="7"/>
  <c r="R52" i="7"/>
  <c r="Q52" i="7"/>
  <c r="O52" i="7"/>
  <c r="M52" i="7"/>
  <c r="L52" i="7"/>
  <c r="K52" i="7"/>
  <c r="J52" i="7"/>
  <c r="I52" i="7"/>
  <c r="H52" i="7"/>
  <c r="E52" i="7"/>
  <c r="D52" i="7"/>
  <c r="C52" i="7"/>
  <c r="B52" i="7"/>
  <c r="A52" i="7"/>
  <c r="S51" i="7"/>
  <c r="R51" i="7"/>
  <c r="Q51" i="7"/>
  <c r="O51" i="7"/>
  <c r="M51" i="7"/>
  <c r="L51" i="7"/>
  <c r="K51" i="7"/>
  <c r="J51" i="7"/>
  <c r="I51" i="7"/>
  <c r="H51" i="7"/>
  <c r="E51" i="7"/>
  <c r="D51" i="7"/>
  <c r="C51" i="7"/>
  <c r="B51" i="7"/>
  <c r="A51" i="7"/>
  <c r="S50" i="7"/>
  <c r="R50" i="7"/>
  <c r="Q50" i="7"/>
  <c r="O50" i="7"/>
  <c r="M50" i="7"/>
  <c r="L50" i="7"/>
  <c r="K50" i="7"/>
  <c r="J50" i="7"/>
  <c r="I50" i="7"/>
  <c r="H50" i="7"/>
  <c r="E50" i="7"/>
  <c r="D50" i="7"/>
  <c r="C50" i="7"/>
  <c r="B50" i="7"/>
  <c r="A50" i="7"/>
  <c r="S49" i="7"/>
  <c r="R49" i="7"/>
  <c r="Q49" i="7"/>
  <c r="M49" i="7"/>
  <c r="L49" i="7"/>
  <c r="K49" i="7"/>
  <c r="J49" i="7"/>
  <c r="I49" i="7"/>
  <c r="H49" i="7"/>
  <c r="E49" i="7"/>
  <c r="D49" i="7"/>
  <c r="C49" i="7"/>
  <c r="B49" i="7"/>
  <c r="A49" i="7"/>
  <c r="S48" i="7"/>
  <c r="R48" i="7"/>
  <c r="Q48" i="7"/>
  <c r="M48" i="7"/>
  <c r="L48" i="7"/>
  <c r="K48" i="7"/>
  <c r="J48" i="7"/>
  <c r="I48" i="7"/>
  <c r="H48" i="7"/>
  <c r="E48" i="7"/>
  <c r="D48" i="7"/>
  <c r="C48" i="7"/>
  <c r="B48" i="7"/>
  <c r="A48" i="7"/>
  <c r="S47" i="7"/>
  <c r="R47" i="7"/>
  <c r="Q47" i="7"/>
  <c r="O47" i="7"/>
  <c r="M47" i="7"/>
  <c r="L47" i="7"/>
  <c r="K47" i="7"/>
  <c r="J47" i="7"/>
  <c r="I47" i="7"/>
  <c r="H47" i="7"/>
  <c r="E47" i="7"/>
  <c r="D47" i="7"/>
  <c r="C47" i="7"/>
  <c r="B47" i="7"/>
  <c r="A47" i="7"/>
  <c r="S46" i="7"/>
  <c r="R46" i="7"/>
  <c r="Q46" i="7"/>
  <c r="O46" i="7"/>
  <c r="M46" i="7"/>
  <c r="L46" i="7"/>
  <c r="K46" i="7"/>
  <c r="J46" i="7"/>
  <c r="I46" i="7"/>
  <c r="H46" i="7"/>
  <c r="E46" i="7"/>
  <c r="D46" i="7"/>
  <c r="C46" i="7"/>
  <c r="B46" i="7"/>
  <c r="A46" i="7"/>
  <c r="S45" i="7"/>
  <c r="R45" i="7"/>
  <c r="Q45" i="7"/>
  <c r="O45" i="7"/>
  <c r="M45" i="7"/>
  <c r="L45" i="7"/>
  <c r="K45" i="7"/>
  <c r="J45" i="7"/>
  <c r="I45" i="7"/>
  <c r="H45" i="7"/>
  <c r="E45" i="7"/>
  <c r="D45" i="7"/>
  <c r="C45" i="7"/>
  <c r="B45" i="7"/>
  <c r="A45" i="7"/>
  <c r="S44" i="7"/>
  <c r="R44" i="7"/>
  <c r="Q44" i="7"/>
  <c r="O44" i="7"/>
  <c r="M44" i="7"/>
  <c r="L44" i="7"/>
  <c r="K44" i="7"/>
  <c r="J44" i="7"/>
  <c r="I44" i="7"/>
  <c r="H44" i="7"/>
  <c r="E44" i="7"/>
  <c r="D44" i="7"/>
  <c r="C44" i="7"/>
  <c r="B44" i="7"/>
  <c r="A44" i="7"/>
  <c r="S43" i="7"/>
  <c r="R43" i="7"/>
  <c r="Q43" i="7"/>
  <c r="M43" i="7"/>
  <c r="L43" i="7"/>
  <c r="K43" i="7"/>
  <c r="J43" i="7"/>
  <c r="I43" i="7"/>
  <c r="H43" i="7"/>
  <c r="E43" i="7"/>
  <c r="D43" i="7"/>
  <c r="C43" i="7"/>
  <c r="B43" i="7"/>
  <c r="A43" i="7"/>
  <c r="S42" i="7"/>
  <c r="R42" i="7"/>
  <c r="Q42" i="7"/>
  <c r="O42" i="7"/>
  <c r="M42" i="7"/>
  <c r="L42" i="7"/>
  <c r="K42" i="7"/>
  <c r="J42" i="7"/>
  <c r="I42" i="7"/>
  <c r="H42" i="7"/>
  <c r="E42" i="7"/>
  <c r="D42" i="7"/>
  <c r="C42" i="7"/>
  <c r="B42" i="7"/>
  <c r="A42" i="7"/>
  <c r="S41" i="7"/>
  <c r="R41" i="7"/>
  <c r="Q41" i="7"/>
  <c r="O41" i="7"/>
  <c r="M41" i="7"/>
  <c r="L41" i="7"/>
  <c r="K41" i="7"/>
  <c r="J41" i="7"/>
  <c r="I41" i="7"/>
  <c r="H41" i="7"/>
  <c r="E41" i="7"/>
  <c r="D41" i="7"/>
  <c r="C41" i="7"/>
  <c r="B41" i="7"/>
  <c r="A41" i="7"/>
  <c r="S40" i="7"/>
  <c r="R40" i="7"/>
  <c r="Q40" i="7"/>
  <c r="O40" i="7"/>
  <c r="M40" i="7"/>
  <c r="L40" i="7"/>
  <c r="K40" i="7"/>
  <c r="J40" i="7"/>
  <c r="I40" i="7"/>
  <c r="H40" i="7"/>
  <c r="E40" i="7"/>
  <c r="D40" i="7"/>
  <c r="C40" i="7"/>
  <c r="B40" i="7"/>
  <c r="A40" i="7"/>
  <c r="S39" i="7"/>
  <c r="R39" i="7"/>
  <c r="Q39" i="7"/>
  <c r="O39" i="7"/>
  <c r="M39" i="7"/>
  <c r="L39" i="7"/>
  <c r="K39" i="7"/>
  <c r="J39" i="7"/>
  <c r="I39" i="7"/>
  <c r="H39" i="7"/>
  <c r="E39" i="7"/>
  <c r="D39" i="7"/>
  <c r="C39" i="7"/>
  <c r="B39" i="7"/>
  <c r="A39" i="7"/>
  <c r="S38" i="7"/>
  <c r="R38" i="7"/>
  <c r="Q38" i="7"/>
  <c r="O38" i="7"/>
  <c r="M38" i="7"/>
  <c r="L38" i="7"/>
  <c r="K38" i="7"/>
  <c r="J38" i="7"/>
  <c r="I38" i="7"/>
  <c r="H38" i="7"/>
  <c r="E38" i="7"/>
  <c r="D38" i="7"/>
  <c r="C38" i="7"/>
  <c r="B38" i="7"/>
  <c r="A38" i="7"/>
  <c r="S37" i="7"/>
  <c r="R37" i="7"/>
  <c r="Q37" i="7"/>
  <c r="M37" i="7"/>
  <c r="L37" i="7"/>
  <c r="K37" i="7"/>
  <c r="J37" i="7"/>
  <c r="I37" i="7"/>
  <c r="H37" i="7"/>
  <c r="E37" i="7"/>
  <c r="D37" i="7"/>
  <c r="C37" i="7"/>
  <c r="B37" i="7"/>
  <c r="A37" i="7"/>
  <c r="S36" i="7"/>
  <c r="R36" i="7"/>
  <c r="Q36" i="7"/>
  <c r="M36" i="7"/>
  <c r="L36" i="7"/>
  <c r="K36" i="7"/>
  <c r="J36" i="7"/>
  <c r="I36" i="7"/>
  <c r="H36" i="7"/>
  <c r="E36" i="7"/>
  <c r="D36" i="7"/>
  <c r="C36" i="7"/>
  <c r="B36" i="7"/>
  <c r="A36" i="7"/>
  <c r="S35" i="7"/>
  <c r="R35" i="7"/>
  <c r="Q35" i="7"/>
  <c r="O35" i="7"/>
  <c r="M35" i="7"/>
  <c r="L35" i="7"/>
  <c r="K35" i="7"/>
  <c r="J35" i="7"/>
  <c r="I35" i="7"/>
  <c r="H35" i="7"/>
  <c r="E35" i="7"/>
  <c r="D35" i="7"/>
  <c r="C35" i="7"/>
  <c r="B35" i="7"/>
  <c r="A35" i="7"/>
  <c r="S34" i="7"/>
  <c r="R34" i="7"/>
  <c r="Q34" i="7"/>
  <c r="O34" i="7"/>
  <c r="M34" i="7"/>
  <c r="L34" i="7"/>
  <c r="K34" i="7"/>
  <c r="J34" i="7"/>
  <c r="I34" i="7"/>
  <c r="H34" i="7"/>
  <c r="E34" i="7"/>
  <c r="D34" i="7"/>
  <c r="C34" i="7"/>
  <c r="B34" i="7"/>
  <c r="A34" i="7"/>
  <c r="S33" i="7"/>
  <c r="R33" i="7"/>
  <c r="Q33" i="7"/>
  <c r="O33" i="7"/>
  <c r="M33" i="7"/>
  <c r="L33" i="7"/>
  <c r="K33" i="7"/>
  <c r="J33" i="7"/>
  <c r="I33" i="7"/>
  <c r="H33" i="7"/>
  <c r="E33" i="7"/>
  <c r="D33" i="7"/>
  <c r="C33" i="7"/>
  <c r="B33" i="7"/>
  <c r="A33" i="7"/>
  <c r="S32" i="7"/>
  <c r="R32" i="7"/>
  <c r="Q32" i="7"/>
  <c r="O32" i="7"/>
  <c r="M32" i="7"/>
  <c r="L32" i="7"/>
  <c r="K32" i="7"/>
  <c r="J32" i="7"/>
  <c r="I32" i="7"/>
  <c r="H32" i="7"/>
  <c r="E32" i="7"/>
  <c r="D32" i="7"/>
  <c r="C32" i="7"/>
  <c r="B32" i="7"/>
  <c r="A32" i="7"/>
  <c r="S31" i="7"/>
  <c r="R31" i="7"/>
  <c r="Q31" i="7"/>
  <c r="M31" i="7"/>
  <c r="L31" i="7"/>
  <c r="K31" i="7"/>
  <c r="J31" i="7"/>
  <c r="I31" i="7"/>
  <c r="H31" i="7"/>
  <c r="E31" i="7"/>
  <c r="D31" i="7"/>
  <c r="C31" i="7"/>
  <c r="B31" i="7"/>
  <c r="A31" i="7"/>
  <c r="S30" i="7"/>
  <c r="R30" i="7"/>
  <c r="Q30" i="7"/>
  <c r="O30" i="7"/>
  <c r="M30" i="7"/>
  <c r="L30" i="7"/>
  <c r="K30" i="7"/>
  <c r="J30" i="7"/>
  <c r="I30" i="7"/>
  <c r="H30" i="7"/>
  <c r="E30" i="7"/>
  <c r="D30" i="7"/>
  <c r="C30" i="7"/>
  <c r="B30" i="7"/>
  <c r="A30" i="7"/>
  <c r="S29" i="7"/>
  <c r="R29" i="7"/>
  <c r="Q29" i="7"/>
  <c r="O29" i="7"/>
  <c r="M29" i="7"/>
  <c r="L29" i="7"/>
  <c r="K29" i="7"/>
  <c r="J29" i="7"/>
  <c r="I29" i="7"/>
  <c r="H29" i="7"/>
  <c r="E29" i="7"/>
  <c r="D29" i="7"/>
  <c r="C29" i="7"/>
  <c r="B29" i="7"/>
  <c r="A29" i="7"/>
  <c r="S28" i="7"/>
  <c r="R28" i="7"/>
  <c r="Q28" i="7"/>
  <c r="O28" i="7"/>
  <c r="M28" i="7"/>
  <c r="L28" i="7"/>
  <c r="K28" i="7"/>
  <c r="J28" i="7"/>
  <c r="I28" i="7"/>
  <c r="H28" i="7"/>
  <c r="E28" i="7"/>
  <c r="D28" i="7"/>
  <c r="C28" i="7"/>
  <c r="B28" i="7"/>
  <c r="A28" i="7"/>
  <c r="S27" i="7"/>
  <c r="R27" i="7"/>
  <c r="Q27" i="7"/>
  <c r="O27" i="7"/>
  <c r="M27" i="7"/>
  <c r="L27" i="7"/>
  <c r="K27" i="7"/>
  <c r="J27" i="7"/>
  <c r="I27" i="7"/>
  <c r="H27" i="7"/>
  <c r="E27" i="7"/>
  <c r="D27" i="7"/>
  <c r="C27" i="7"/>
  <c r="B27" i="7"/>
  <c r="A27" i="7"/>
  <c r="S26" i="7"/>
  <c r="R26" i="7"/>
  <c r="Q26" i="7"/>
  <c r="O26" i="7"/>
  <c r="M26" i="7"/>
  <c r="L26" i="7"/>
  <c r="K26" i="7"/>
  <c r="J26" i="7"/>
  <c r="I26" i="7"/>
  <c r="H26" i="7"/>
  <c r="E26" i="7"/>
  <c r="D26" i="7"/>
  <c r="C26" i="7"/>
  <c r="B26" i="7"/>
  <c r="A26" i="7"/>
  <c r="S25" i="7"/>
  <c r="R25" i="7"/>
  <c r="Q25" i="7"/>
  <c r="M25" i="7"/>
  <c r="L25" i="7"/>
  <c r="K25" i="7"/>
  <c r="J25" i="7"/>
  <c r="I25" i="7"/>
  <c r="H25" i="7"/>
  <c r="E25" i="7"/>
  <c r="D25" i="7"/>
  <c r="C25" i="7"/>
  <c r="B25" i="7"/>
  <c r="A25" i="7"/>
  <c r="S24" i="7"/>
  <c r="R24" i="7"/>
  <c r="Q24" i="7"/>
  <c r="M24" i="7"/>
  <c r="L24" i="7"/>
  <c r="K24" i="7"/>
  <c r="J24" i="7"/>
  <c r="I24" i="7"/>
  <c r="H24" i="7"/>
  <c r="E24" i="7"/>
  <c r="D24" i="7"/>
  <c r="C24" i="7"/>
  <c r="B24" i="7"/>
  <c r="A24" i="7"/>
  <c r="S23" i="7"/>
  <c r="R23" i="7"/>
  <c r="Q23" i="7"/>
  <c r="O23" i="7"/>
  <c r="M23" i="7"/>
  <c r="L23" i="7"/>
  <c r="K23" i="7"/>
  <c r="J23" i="7"/>
  <c r="I23" i="7"/>
  <c r="H23" i="7"/>
  <c r="E23" i="7"/>
  <c r="D23" i="7"/>
  <c r="C23" i="7"/>
  <c r="B23" i="7"/>
  <c r="A23" i="7"/>
  <c r="S22" i="7"/>
  <c r="R22" i="7"/>
  <c r="Q22" i="7"/>
  <c r="O22" i="7"/>
  <c r="M22" i="7"/>
  <c r="L22" i="7"/>
  <c r="K22" i="7"/>
  <c r="J22" i="7"/>
  <c r="I22" i="7"/>
  <c r="H22" i="7"/>
  <c r="E22" i="7"/>
  <c r="D22" i="7"/>
  <c r="C22" i="7"/>
  <c r="B22" i="7"/>
  <c r="A22" i="7"/>
  <c r="S21" i="7"/>
  <c r="R21" i="7"/>
  <c r="Q21" i="7"/>
  <c r="O21" i="7"/>
  <c r="M21" i="7"/>
  <c r="L21" i="7"/>
  <c r="K21" i="7"/>
  <c r="J21" i="7"/>
  <c r="I21" i="7"/>
  <c r="H21" i="7"/>
  <c r="E21" i="7"/>
  <c r="D21" i="7"/>
  <c r="C21" i="7"/>
  <c r="B21" i="7"/>
  <c r="A21" i="7"/>
  <c r="S20" i="7"/>
  <c r="R20" i="7"/>
  <c r="Q20" i="7"/>
  <c r="O20" i="7"/>
  <c r="M20" i="7"/>
  <c r="L20" i="7"/>
  <c r="K20" i="7"/>
  <c r="J20" i="7"/>
  <c r="I20" i="7"/>
  <c r="H20" i="7"/>
  <c r="E20" i="7"/>
  <c r="D20" i="7"/>
  <c r="C20" i="7"/>
  <c r="B20" i="7"/>
  <c r="A20" i="7"/>
  <c r="S19" i="7"/>
  <c r="R19" i="7"/>
  <c r="Q19" i="7"/>
  <c r="M19" i="7"/>
  <c r="L19" i="7"/>
  <c r="K19" i="7"/>
  <c r="J19" i="7"/>
  <c r="I19" i="7"/>
  <c r="H19" i="7"/>
  <c r="E19" i="7"/>
  <c r="D19" i="7"/>
  <c r="C19" i="7"/>
  <c r="B19" i="7"/>
  <c r="A19" i="7"/>
  <c r="S18" i="7"/>
  <c r="R18" i="7"/>
  <c r="Q18" i="7"/>
  <c r="O18" i="7"/>
  <c r="M18" i="7"/>
  <c r="L18" i="7"/>
  <c r="K18" i="7"/>
  <c r="J18" i="7"/>
  <c r="I18" i="7"/>
  <c r="H18" i="7"/>
  <c r="E18" i="7"/>
  <c r="D18" i="7"/>
  <c r="C18" i="7"/>
  <c r="B18" i="7"/>
  <c r="A18" i="7"/>
  <c r="S17" i="7"/>
  <c r="R17" i="7"/>
  <c r="Q17" i="7"/>
  <c r="O17" i="7"/>
  <c r="M17" i="7"/>
  <c r="L17" i="7"/>
  <c r="K17" i="7"/>
  <c r="J17" i="7"/>
  <c r="I17" i="7"/>
  <c r="H17" i="7"/>
  <c r="E17" i="7"/>
  <c r="D17" i="7"/>
  <c r="C17" i="7"/>
  <c r="B17" i="7"/>
  <c r="A17" i="7"/>
  <c r="S16" i="7"/>
  <c r="R16" i="7"/>
  <c r="Q16" i="7"/>
  <c r="O16" i="7"/>
  <c r="M16" i="7"/>
  <c r="L16" i="7"/>
  <c r="K16" i="7"/>
  <c r="J16" i="7"/>
  <c r="I16" i="7"/>
  <c r="H16" i="7"/>
  <c r="E16" i="7"/>
  <c r="D16" i="7"/>
  <c r="C16" i="7"/>
  <c r="B16" i="7"/>
  <c r="A16" i="7"/>
  <c r="S15" i="7"/>
  <c r="R15" i="7"/>
  <c r="Q15" i="7"/>
  <c r="O15" i="7"/>
  <c r="M15" i="7"/>
  <c r="L15" i="7"/>
  <c r="K15" i="7"/>
  <c r="J15" i="7"/>
  <c r="I15" i="7"/>
  <c r="H15" i="7"/>
  <c r="E15" i="7"/>
  <c r="D15" i="7"/>
  <c r="C15" i="7"/>
  <c r="B15" i="7"/>
  <c r="A15" i="7"/>
  <c r="S14" i="7"/>
  <c r="R14" i="7"/>
  <c r="Q14" i="7"/>
  <c r="O14" i="7"/>
  <c r="M14" i="7"/>
  <c r="L14" i="7"/>
  <c r="K14" i="7"/>
  <c r="J14" i="7"/>
  <c r="I14" i="7"/>
  <c r="H14" i="7"/>
  <c r="E14" i="7"/>
  <c r="D14" i="7"/>
  <c r="C14" i="7"/>
  <c r="B14" i="7"/>
  <c r="A14" i="7"/>
  <c r="S13" i="7"/>
  <c r="R13" i="7"/>
  <c r="Q13" i="7"/>
  <c r="M13" i="7"/>
  <c r="L13" i="7"/>
  <c r="K13" i="7"/>
  <c r="J13" i="7"/>
  <c r="I13" i="7"/>
  <c r="H13" i="7"/>
  <c r="E13" i="7"/>
  <c r="D13" i="7"/>
  <c r="C13" i="7"/>
  <c r="B13" i="7"/>
  <c r="A13" i="7"/>
  <c r="S12" i="7"/>
  <c r="R12" i="7"/>
  <c r="Q12" i="7"/>
  <c r="M12" i="7"/>
  <c r="L12" i="7"/>
  <c r="K12" i="7"/>
  <c r="J12" i="7"/>
  <c r="I12" i="7"/>
  <c r="H12" i="7"/>
  <c r="E12" i="7"/>
  <c r="D12" i="7"/>
  <c r="C12" i="7"/>
  <c r="B12" i="7"/>
  <c r="A12" i="7"/>
  <c r="S11" i="7"/>
  <c r="R11" i="7"/>
  <c r="Q11" i="7"/>
  <c r="O11" i="7"/>
  <c r="M11" i="7"/>
  <c r="L11" i="7"/>
  <c r="K11" i="7"/>
  <c r="J11" i="7"/>
  <c r="I11" i="7"/>
  <c r="H11" i="7"/>
  <c r="E11" i="7"/>
  <c r="D11" i="7"/>
  <c r="C11" i="7"/>
  <c r="B11" i="7"/>
  <c r="A11" i="7"/>
  <c r="S10" i="7"/>
  <c r="R10" i="7"/>
  <c r="Q10" i="7"/>
  <c r="O10" i="7"/>
  <c r="M10" i="7"/>
  <c r="L10" i="7"/>
  <c r="K10" i="7"/>
  <c r="J10" i="7"/>
  <c r="I10" i="7"/>
  <c r="H10" i="7"/>
  <c r="E10" i="7"/>
  <c r="D10" i="7"/>
  <c r="C10" i="7"/>
  <c r="B10" i="7"/>
  <c r="A10" i="7"/>
  <c r="R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A9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A8" i="7"/>
  <c r="B7" i="7"/>
  <c r="A7" i="7"/>
  <c r="B6" i="7"/>
  <c r="J3" i="7"/>
  <c r="E3" i="7"/>
  <c r="N100" i="7" s="1"/>
  <c r="D3" i="7"/>
  <c r="A3" i="7"/>
  <c r="J2" i="7"/>
  <c r="O151" i="7" s="1"/>
  <c r="E2" i="7"/>
  <c r="F138" i="7" s="1"/>
  <c r="A2" i="7"/>
  <c r="P151" i="7" l="1"/>
  <c r="P139" i="7"/>
  <c r="P127" i="7"/>
  <c r="P156" i="7"/>
  <c r="P144" i="7"/>
  <c r="P132" i="7"/>
  <c r="P120" i="7"/>
  <c r="P108" i="7"/>
  <c r="P96" i="7"/>
  <c r="P84" i="7"/>
  <c r="P72" i="7"/>
  <c r="P60" i="7"/>
  <c r="P48" i="7"/>
  <c r="P36" i="7"/>
  <c r="P24" i="7"/>
  <c r="P12" i="7"/>
  <c r="P142" i="7"/>
  <c r="P149" i="7"/>
  <c r="P137" i="7"/>
  <c r="P125" i="7"/>
  <c r="P113" i="7"/>
  <c r="P101" i="7"/>
  <c r="P89" i="7"/>
  <c r="P77" i="7"/>
  <c r="P65" i="7"/>
  <c r="P53" i="7"/>
  <c r="P41" i="7"/>
  <c r="P29" i="7"/>
  <c r="P17" i="7"/>
  <c r="P130" i="7"/>
  <c r="P118" i="7"/>
  <c r="P106" i="7"/>
  <c r="P154" i="7"/>
  <c r="P152" i="7"/>
  <c r="P145" i="7"/>
  <c r="P133" i="7"/>
  <c r="P121" i="7"/>
  <c r="P150" i="7"/>
  <c r="P138" i="7"/>
  <c r="P126" i="7"/>
  <c r="P114" i="7"/>
  <c r="P102" i="7"/>
  <c r="P90" i="7"/>
  <c r="P78" i="7"/>
  <c r="P66" i="7"/>
  <c r="P54" i="7"/>
  <c r="P42" i="7"/>
  <c r="P30" i="7"/>
  <c r="P18" i="7"/>
  <c r="P143" i="7"/>
  <c r="P131" i="7"/>
  <c r="P119" i="7"/>
  <c r="P107" i="7"/>
  <c r="P95" i="7"/>
  <c r="P83" i="7"/>
  <c r="P71" i="7"/>
  <c r="P59" i="7"/>
  <c r="P47" i="7"/>
  <c r="P23" i="7"/>
  <c r="P11" i="7"/>
  <c r="P155" i="7"/>
  <c r="P35" i="7"/>
  <c r="N16" i="7"/>
  <c r="G17" i="7"/>
  <c r="G19" i="7"/>
  <c r="P20" i="7"/>
  <c r="F26" i="7"/>
  <c r="N29" i="7"/>
  <c r="P31" i="7"/>
  <c r="F37" i="7"/>
  <c r="P40" i="7"/>
  <c r="G46" i="7"/>
  <c r="F48" i="7"/>
  <c r="N58" i="7"/>
  <c r="G59" i="7"/>
  <c r="F68" i="7"/>
  <c r="N71" i="7"/>
  <c r="F77" i="7"/>
  <c r="F79" i="7"/>
  <c r="P82" i="7"/>
  <c r="N87" i="7"/>
  <c r="G90" i="7"/>
  <c r="P100" i="7"/>
  <c r="N105" i="7"/>
  <c r="N107" i="7"/>
  <c r="N114" i="7"/>
  <c r="G118" i="7"/>
  <c r="N119" i="7"/>
  <c r="F139" i="7"/>
  <c r="N18" i="7"/>
  <c r="P27" i="7"/>
  <c r="F35" i="7"/>
  <c r="G37" i="7"/>
  <c r="P38" i="7"/>
  <c r="N45" i="7"/>
  <c r="G48" i="7"/>
  <c r="P49" i="7"/>
  <c r="N60" i="7"/>
  <c r="G64" i="7"/>
  <c r="F66" i="7"/>
  <c r="P69" i="7"/>
  <c r="N76" i="7"/>
  <c r="G77" i="7"/>
  <c r="G79" i="7"/>
  <c r="P80" i="7"/>
  <c r="F86" i="7"/>
  <c r="N89" i="7"/>
  <c r="P91" i="7"/>
  <c r="F97" i="7"/>
  <c r="P98" i="7"/>
  <c r="P112" i="7"/>
  <c r="N117" i="7"/>
  <c r="P122" i="7"/>
  <c r="F126" i="7"/>
  <c r="N130" i="7"/>
  <c r="G137" i="7"/>
  <c r="G139" i="7"/>
  <c r="F13" i="7"/>
  <c r="P16" i="7"/>
  <c r="G22" i="7"/>
  <c r="F24" i="7"/>
  <c r="N34" i="7"/>
  <c r="G35" i="7"/>
  <c r="F44" i="7"/>
  <c r="N47" i="7"/>
  <c r="F53" i="7"/>
  <c r="F55" i="7"/>
  <c r="P58" i="7"/>
  <c r="N63" i="7"/>
  <c r="G66" i="7"/>
  <c r="N78" i="7"/>
  <c r="P87" i="7"/>
  <c r="F95" i="7"/>
  <c r="P105" i="7"/>
  <c r="F109" i="7"/>
  <c r="P110" i="7"/>
  <c r="F121" i="7"/>
  <c r="G126" i="7"/>
  <c r="N136" i="7"/>
  <c r="N138" i="7"/>
  <c r="F146" i="7"/>
  <c r="P147" i="7"/>
  <c r="F151" i="7"/>
  <c r="F11" i="7"/>
  <c r="G13" i="7"/>
  <c r="P14" i="7"/>
  <c r="N21" i="7"/>
  <c r="G24" i="7"/>
  <c r="P25" i="7"/>
  <c r="N36" i="7"/>
  <c r="G40" i="7"/>
  <c r="F42" i="7"/>
  <c r="P45" i="7"/>
  <c r="N52" i="7"/>
  <c r="G53" i="7"/>
  <c r="G55" i="7"/>
  <c r="P56" i="7"/>
  <c r="F62" i="7"/>
  <c r="N65" i="7"/>
  <c r="P67" i="7"/>
  <c r="F73" i="7"/>
  <c r="P76" i="7"/>
  <c r="G82" i="7"/>
  <c r="F84" i="7"/>
  <c r="N94" i="7"/>
  <c r="G95" i="7"/>
  <c r="G100" i="7"/>
  <c r="F102" i="7"/>
  <c r="P117" i="7"/>
  <c r="N125" i="7"/>
  <c r="P141" i="7"/>
  <c r="P153" i="7"/>
  <c r="N10" i="7"/>
  <c r="G11" i="7"/>
  <c r="F20" i="7"/>
  <c r="N23" i="7"/>
  <c r="F29" i="7"/>
  <c r="F31" i="7"/>
  <c r="P34" i="7"/>
  <c r="N39" i="7"/>
  <c r="G42" i="7"/>
  <c r="N54" i="7"/>
  <c r="P63" i="7"/>
  <c r="F71" i="7"/>
  <c r="G73" i="7"/>
  <c r="P74" i="7"/>
  <c r="N81" i="7"/>
  <c r="G84" i="7"/>
  <c r="P85" i="7"/>
  <c r="N96" i="7"/>
  <c r="N99" i="7"/>
  <c r="G102" i="7"/>
  <c r="F107" i="7"/>
  <c r="G112" i="7"/>
  <c r="F114" i="7"/>
  <c r="F132" i="7"/>
  <c r="P136" i="7"/>
  <c r="G149" i="7"/>
  <c r="N150" i="7"/>
  <c r="N12" i="7"/>
  <c r="G16" i="7"/>
  <c r="F18" i="7"/>
  <c r="P21" i="7"/>
  <c r="N28" i="7"/>
  <c r="G29" i="7"/>
  <c r="G31" i="7"/>
  <c r="P32" i="7"/>
  <c r="F38" i="7"/>
  <c r="N41" i="7"/>
  <c r="P43" i="7"/>
  <c r="F49" i="7"/>
  <c r="P52" i="7"/>
  <c r="G58" i="7"/>
  <c r="F60" i="7"/>
  <c r="N70" i="7"/>
  <c r="G71" i="7"/>
  <c r="F80" i="7"/>
  <c r="N83" i="7"/>
  <c r="F89" i="7"/>
  <c r="F91" i="7"/>
  <c r="P94" i="7"/>
  <c r="F98" i="7"/>
  <c r="N101" i="7"/>
  <c r="P103" i="7"/>
  <c r="G107" i="7"/>
  <c r="N111" i="7"/>
  <c r="G114" i="7"/>
  <c r="G119" i="7"/>
  <c r="F122" i="7"/>
  <c r="P123" i="7"/>
  <c r="G132" i="7"/>
  <c r="N148" i="7"/>
  <c r="P10" i="7"/>
  <c r="N15" i="7"/>
  <c r="G18" i="7"/>
  <c r="N30" i="7"/>
  <c r="P39" i="7"/>
  <c r="F47" i="7"/>
  <c r="G49" i="7"/>
  <c r="P50" i="7"/>
  <c r="N57" i="7"/>
  <c r="G60" i="7"/>
  <c r="P61" i="7"/>
  <c r="N72" i="7"/>
  <c r="G76" i="7"/>
  <c r="F78" i="7"/>
  <c r="P81" i="7"/>
  <c r="N88" i="7"/>
  <c r="G89" i="7"/>
  <c r="G91" i="7"/>
  <c r="P92" i="7"/>
  <c r="P99" i="7"/>
  <c r="N106" i="7"/>
  <c r="F110" i="7"/>
  <c r="N113" i="7"/>
  <c r="P115" i="7"/>
  <c r="P128" i="7"/>
  <c r="N131" i="7"/>
  <c r="F156" i="7"/>
  <c r="G154" i="7"/>
  <c r="F149" i="7"/>
  <c r="G142" i="7"/>
  <c r="F137" i="7"/>
  <c r="G130" i="7"/>
  <c r="F154" i="7"/>
  <c r="G147" i="7"/>
  <c r="F142" i="7"/>
  <c r="G135" i="7"/>
  <c r="F130" i="7"/>
  <c r="G123" i="7"/>
  <c r="F118" i="7"/>
  <c r="G111" i="7"/>
  <c r="F106" i="7"/>
  <c r="G99" i="7"/>
  <c r="F94" i="7"/>
  <c r="G87" i="7"/>
  <c r="F82" i="7"/>
  <c r="G75" i="7"/>
  <c r="F70" i="7"/>
  <c r="G63" i="7"/>
  <c r="F58" i="7"/>
  <c r="G51" i="7"/>
  <c r="F46" i="7"/>
  <c r="G39" i="7"/>
  <c r="F34" i="7"/>
  <c r="G27" i="7"/>
  <c r="F22" i="7"/>
  <c r="G15" i="7"/>
  <c r="F10" i="7"/>
  <c r="F152" i="7"/>
  <c r="G145" i="7"/>
  <c r="G133" i="7"/>
  <c r="F128" i="7"/>
  <c r="G121" i="7"/>
  <c r="F116" i="7"/>
  <c r="F104" i="7"/>
  <c r="G97" i="7"/>
  <c r="G152" i="7"/>
  <c r="F147" i="7"/>
  <c r="G140" i="7"/>
  <c r="F135" i="7"/>
  <c r="G128" i="7"/>
  <c r="F123" i="7"/>
  <c r="G116" i="7"/>
  <c r="F111" i="7"/>
  <c r="G104" i="7"/>
  <c r="F99" i="7"/>
  <c r="G92" i="7"/>
  <c r="F87" i="7"/>
  <c r="G80" i="7"/>
  <c r="F75" i="7"/>
  <c r="G68" i="7"/>
  <c r="F63" i="7"/>
  <c r="G56" i="7"/>
  <c r="F51" i="7"/>
  <c r="G44" i="7"/>
  <c r="F39" i="7"/>
  <c r="G32" i="7"/>
  <c r="F27" i="7"/>
  <c r="G20" i="7"/>
  <c r="F15" i="7"/>
  <c r="F140" i="7"/>
  <c r="G109" i="7"/>
  <c r="G155" i="7"/>
  <c r="F150" i="7"/>
  <c r="G143" i="7"/>
  <c r="F155" i="7"/>
  <c r="G148" i="7"/>
  <c r="F143" i="7"/>
  <c r="G136" i="7"/>
  <c r="F131" i="7"/>
  <c r="G124" i="7"/>
  <c r="F119" i="7"/>
  <c r="G153" i="7"/>
  <c r="F148" i="7"/>
  <c r="G141" i="7"/>
  <c r="F136" i="7"/>
  <c r="G129" i="7"/>
  <c r="F124" i="7"/>
  <c r="G117" i="7"/>
  <c r="F112" i="7"/>
  <c r="G105" i="7"/>
  <c r="F100" i="7"/>
  <c r="G93" i="7"/>
  <c r="F88" i="7"/>
  <c r="G81" i="7"/>
  <c r="F76" i="7"/>
  <c r="G69" i="7"/>
  <c r="F64" i="7"/>
  <c r="G57" i="7"/>
  <c r="F52" i="7"/>
  <c r="G45" i="7"/>
  <c r="F40" i="7"/>
  <c r="G33" i="7"/>
  <c r="F28" i="7"/>
  <c r="G21" i="7"/>
  <c r="F16" i="7"/>
  <c r="F141" i="7"/>
  <c r="G134" i="7"/>
  <c r="G122" i="7"/>
  <c r="G110" i="7"/>
  <c r="F81" i="7"/>
  <c r="F69" i="7"/>
  <c r="G62" i="7"/>
  <c r="F57" i="7"/>
  <c r="F45" i="7"/>
  <c r="G38" i="7"/>
  <c r="F33" i="7"/>
  <c r="G26" i="7"/>
  <c r="F153" i="7"/>
  <c r="G146" i="7"/>
  <c r="F129" i="7"/>
  <c r="F117" i="7"/>
  <c r="F105" i="7"/>
  <c r="G98" i="7"/>
  <c r="F93" i="7"/>
  <c r="G86" i="7"/>
  <c r="G74" i="7"/>
  <c r="G50" i="7"/>
  <c r="F21" i="7"/>
  <c r="G14" i="7"/>
  <c r="G151" i="7"/>
  <c r="F14" i="7"/>
  <c r="N17" i="7"/>
  <c r="P19" i="7"/>
  <c r="F25" i="7"/>
  <c r="P28" i="7"/>
  <c r="G34" i="7"/>
  <c r="F36" i="7"/>
  <c r="N46" i="7"/>
  <c r="G47" i="7"/>
  <c r="F56" i="7"/>
  <c r="N59" i="7"/>
  <c r="F65" i="7"/>
  <c r="F67" i="7"/>
  <c r="P70" i="7"/>
  <c r="N75" i="7"/>
  <c r="G78" i="7"/>
  <c r="N90" i="7"/>
  <c r="P111" i="7"/>
  <c r="N118" i="7"/>
  <c r="F125" i="7"/>
  <c r="F127" i="7"/>
  <c r="P134" i="7"/>
  <c r="G138" i="7"/>
  <c r="F144" i="7"/>
  <c r="P148" i="7"/>
  <c r="G156" i="7"/>
  <c r="P15" i="7"/>
  <c r="F23" i="7"/>
  <c r="G25" i="7"/>
  <c r="P26" i="7"/>
  <c r="N33" i="7"/>
  <c r="G36" i="7"/>
  <c r="P37" i="7"/>
  <c r="N48" i="7"/>
  <c r="G52" i="7"/>
  <c r="F54" i="7"/>
  <c r="P57" i="7"/>
  <c r="N64" i="7"/>
  <c r="G65" i="7"/>
  <c r="G67" i="7"/>
  <c r="P68" i="7"/>
  <c r="F74" i="7"/>
  <c r="N77" i="7"/>
  <c r="P79" i="7"/>
  <c r="F85" i="7"/>
  <c r="P88" i="7"/>
  <c r="G94" i="7"/>
  <c r="F96" i="7"/>
  <c r="P97" i="7"/>
  <c r="N124" i="7"/>
  <c r="G125" i="7"/>
  <c r="G127" i="7"/>
  <c r="F133" i="7"/>
  <c r="N137" i="7"/>
  <c r="G144" i="7"/>
  <c r="G10" i="7"/>
  <c r="F12" i="7"/>
  <c r="N22" i="7"/>
  <c r="G23" i="7"/>
  <c r="F32" i="7"/>
  <c r="N35" i="7"/>
  <c r="F41" i="7"/>
  <c r="F43" i="7"/>
  <c r="P46" i="7"/>
  <c r="N51" i="7"/>
  <c r="G54" i="7"/>
  <c r="N66" i="7"/>
  <c r="P75" i="7"/>
  <c r="F83" i="7"/>
  <c r="G85" i="7"/>
  <c r="P86" i="7"/>
  <c r="N93" i="7"/>
  <c r="G96" i="7"/>
  <c r="F101" i="7"/>
  <c r="F103" i="7"/>
  <c r="P104" i="7"/>
  <c r="P109" i="7"/>
  <c r="N126" i="7"/>
  <c r="N143" i="7"/>
  <c r="G150" i="7"/>
  <c r="N155" i="7"/>
  <c r="G12" i="7"/>
  <c r="P13" i="7"/>
  <c r="N24" i="7"/>
  <c r="G28" i="7"/>
  <c r="F30" i="7"/>
  <c r="P33" i="7"/>
  <c r="N40" i="7"/>
  <c r="G41" i="7"/>
  <c r="G43" i="7"/>
  <c r="P44" i="7"/>
  <c r="F50" i="7"/>
  <c r="N53" i="7"/>
  <c r="P55" i="7"/>
  <c r="F61" i="7"/>
  <c r="P64" i="7"/>
  <c r="G70" i="7"/>
  <c r="F72" i="7"/>
  <c r="N82" i="7"/>
  <c r="G83" i="7"/>
  <c r="F92" i="7"/>
  <c r="N95" i="7"/>
  <c r="G101" i="7"/>
  <c r="G103" i="7"/>
  <c r="F108" i="7"/>
  <c r="F113" i="7"/>
  <c r="F115" i="7"/>
  <c r="P116" i="7"/>
  <c r="F120" i="7"/>
  <c r="P124" i="7"/>
  <c r="P129" i="7"/>
  <c r="P146" i="7"/>
  <c r="N153" i="7"/>
  <c r="N141" i="7"/>
  <c r="N129" i="7"/>
  <c r="N146" i="7"/>
  <c r="N134" i="7"/>
  <c r="N122" i="7"/>
  <c r="N110" i="7"/>
  <c r="N98" i="7"/>
  <c r="N86" i="7"/>
  <c r="N74" i="7"/>
  <c r="N62" i="7"/>
  <c r="N50" i="7"/>
  <c r="N38" i="7"/>
  <c r="N26" i="7"/>
  <c r="N14" i="7"/>
  <c r="N156" i="7"/>
  <c r="N108" i="7"/>
  <c r="N151" i="7"/>
  <c r="N139" i="7"/>
  <c r="N127" i="7"/>
  <c r="N115" i="7"/>
  <c r="N103" i="7"/>
  <c r="N91" i="7"/>
  <c r="N79" i="7"/>
  <c r="N67" i="7"/>
  <c r="N55" i="7"/>
  <c r="N43" i="7"/>
  <c r="N31" i="7"/>
  <c r="N19" i="7"/>
  <c r="N132" i="7"/>
  <c r="N120" i="7"/>
  <c r="N144" i="7"/>
  <c r="N154" i="7"/>
  <c r="N142" i="7"/>
  <c r="N147" i="7"/>
  <c r="N135" i="7"/>
  <c r="N123" i="7"/>
  <c r="N152" i="7"/>
  <c r="N140" i="7"/>
  <c r="N128" i="7"/>
  <c r="N116" i="7"/>
  <c r="N104" i="7"/>
  <c r="N92" i="7"/>
  <c r="N80" i="7"/>
  <c r="N68" i="7"/>
  <c r="N56" i="7"/>
  <c r="N44" i="7"/>
  <c r="N32" i="7"/>
  <c r="N20" i="7"/>
  <c r="N145" i="7"/>
  <c r="N97" i="7"/>
  <c r="N85" i="7"/>
  <c r="N73" i="7"/>
  <c r="N61" i="7"/>
  <c r="N49" i="7"/>
  <c r="N25" i="7"/>
  <c r="N13" i="7"/>
  <c r="N133" i="7"/>
  <c r="N121" i="7"/>
  <c r="N109" i="7"/>
  <c r="N37" i="7"/>
  <c r="N11" i="7"/>
  <c r="F17" i="7"/>
  <c r="F19" i="7"/>
  <c r="P22" i="7"/>
  <c r="N27" i="7"/>
  <c r="G30" i="7"/>
  <c r="N42" i="7"/>
  <c r="P51" i="7"/>
  <c r="F59" i="7"/>
  <c r="G61" i="7"/>
  <c r="P62" i="7"/>
  <c r="N69" i="7"/>
  <c r="G72" i="7"/>
  <c r="P73" i="7"/>
  <c r="N84" i="7"/>
  <c r="G88" i="7"/>
  <c r="F90" i="7"/>
  <c r="P93" i="7"/>
  <c r="N102" i="7"/>
  <c r="G106" i="7"/>
  <c r="G108" i="7"/>
  <c r="N112" i="7"/>
  <c r="G113" i="7"/>
  <c r="G115" i="7"/>
  <c r="G120" i="7"/>
  <c r="G131" i="7"/>
  <c r="F134" i="7"/>
  <c r="P135" i="7"/>
  <c r="P140" i="7"/>
  <c r="F145" i="7"/>
  <c r="N149" i="7"/>
  <c r="O13" i="7"/>
  <c r="O25" i="7"/>
  <c r="O37" i="7"/>
  <c r="O49" i="7"/>
  <c r="O61" i="7"/>
  <c r="O73" i="7"/>
  <c r="O85" i="7"/>
  <c r="O97" i="7"/>
  <c r="O109" i="7"/>
  <c r="O121" i="7"/>
  <c r="O133" i="7"/>
  <c r="O145" i="7"/>
  <c r="O12" i="7"/>
  <c r="O24" i="7"/>
  <c r="O36" i="7"/>
  <c r="O48" i="7"/>
  <c r="O60" i="7"/>
  <c r="O72" i="7"/>
  <c r="O84" i="7"/>
  <c r="O96" i="7"/>
  <c r="O108" i="7"/>
  <c r="O120" i="7"/>
  <c r="O132" i="7"/>
  <c r="O144" i="7"/>
  <c r="O156" i="7"/>
  <c r="O19" i="7"/>
  <c r="O31" i="7"/>
  <c r="O43" i="7"/>
  <c r="O55" i="7"/>
  <c r="O67" i="7"/>
  <c r="O79" i="7"/>
  <c r="O91" i="7"/>
  <c r="O103" i="7"/>
  <c r="O115" i="7"/>
  <c r="O127" i="7"/>
  <c r="O139" i="7"/>
  <c r="E53" i="82"/>
  <c r="AF53" i="82"/>
  <c r="AU53" i="82"/>
  <c r="B56" i="82"/>
  <c r="AM56" i="82"/>
  <c r="Y57" i="82"/>
  <c r="BI57" i="82"/>
  <c r="K58" i="82"/>
  <c r="AU58" i="82"/>
  <c r="S60" i="82"/>
  <c r="E61" i="82"/>
  <c r="BA61" i="82"/>
  <c r="AM62" i="82"/>
  <c r="Y63" i="82"/>
  <c r="BI63" i="82"/>
  <c r="K64" i="82"/>
  <c r="AU64" i="82"/>
  <c r="S66" i="82"/>
  <c r="E67" i="82"/>
  <c r="BA67" i="82"/>
  <c r="E68" i="82"/>
  <c r="BA68" i="82"/>
  <c r="E69" i="82"/>
  <c r="BA69" i="82"/>
  <c r="E70" i="82"/>
  <c r="BA70" i="82"/>
  <c r="E71" i="82"/>
  <c r="BA71" i="82"/>
  <c r="E72" i="82"/>
  <c r="BA72" i="82"/>
  <c r="E73" i="82"/>
  <c r="BA73" i="82"/>
  <c r="E74" i="82"/>
  <c r="BA74" i="82"/>
  <c r="E75" i="82"/>
  <c r="BA75" i="82"/>
  <c r="E76" i="82"/>
  <c r="BA76" i="82"/>
  <c r="E77" i="82"/>
  <c r="BA77" i="82"/>
  <c r="E78" i="82"/>
  <c r="BA78" i="82"/>
  <c r="E79" i="82"/>
  <c r="BA79" i="82"/>
  <c r="AF66" i="82"/>
  <c r="R67" i="82"/>
  <c r="BB67" i="82"/>
  <c r="R68" i="82"/>
  <c r="BB68" i="82"/>
  <c r="R69" i="82"/>
  <c r="BB69" i="82"/>
  <c r="R70" i="82"/>
  <c r="BB70" i="82"/>
  <c r="BB71" i="82"/>
  <c r="BB72" i="82"/>
  <c r="BB73" i="82"/>
  <c r="BB74" i="82"/>
  <c r="BB75" i="82"/>
  <c r="BB76" i="82"/>
  <c r="BB77" i="82"/>
  <c r="BB78" i="82"/>
  <c r="BB79" i="82"/>
  <c r="K53" i="82"/>
  <c r="AH53" i="82"/>
  <c r="BB53" i="82"/>
  <c r="AG54" i="82"/>
  <c r="DM54" i="82"/>
  <c r="DM55" i="82" s="1"/>
  <c r="GS54" i="82"/>
  <c r="GS55" i="82" s="1"/>
  <c r="BB55" i="82"/>
  <c r="E56" i="82"/>
  <c r="BA56" i="82"/>
  <c r="B57" i="82"/>
  <c r="AM57" i="82"/>
  <c r="Y58" i="82"/>
  <c r="BI58" i="82"/>
  <c r="K59" i="82"/>
  <c r="AU59" i="82"/>
  <c r="S61" i="82"/>
  <c r="E62" i="82"/>
  <c r="BA62" i="82"/>
  <c r="AM63" i="82"/>
  <c r="Y64" i="82"/>
  <c r="BI64" i="82"/>
  <c r="K65" i="82"/>
  <c r="AU65" i="82"/>
  <c r="S67" i="82"/>
  <c r="S68" i="82"/>
  <c r="S69" i="82"/>
  <c r="S70" i="82"/>
  <c r="BW9" i="82"/>
  <c r="FC9" i="82"/>
  <c r="II9" i="82"/>
  <c r="L53" i="82"/>
  <c r="BC53" i="82"/>
  <c r="R56" i="82"/>
  <c r="BB56" i="82"/>
  <c r="D57" i="82"/>
  <c r="AN57" i="82"/>
  <c r="A58" i="82"/>
  <c r="AT53" i="82" s="1"/>
  <c r="Z58" i="82"/>
  <c r="BH59" i="82"/>
  <c r="AT60" i="82"/>
  <c r="AF61" i="82"/>
  <c r="R62" i="82"/>
  <c r="BB62" i="82"/>
  <c r="D63" i="82"/>
  <c r="AN63" i="82"/>
  <c r="Z64" i="82"/>
  <c r="BH65" i="82"/>
  <c r="AT66" i="82"/>
  <c r="AF67" i="82"/>
  <c r="AF68" i="82"/>
  <c r="AF69" i="82"/>
  <c r="AF70" i="82"/>
  <c r="AF71" i="82"/>
  <c r="AF72" i="82"/>
  <c r="AF73" i="82"/>
  <c r="AF74" i="82"/>
  <c r="AF75" i="82"/>
  <c r="AF76" i="82"/>
  <c r="AF77" i="82"/>
  <c r="AF78" i="82"/>
  <c r="AF79" i="82"/>
  <c r="M53" i="82"/>
  <c r="AM53" i="82"/>
  <c r="S56" i="82"/>
  <c r="E57" i="82"/>
  <c r="BA57" i="82"/>
  <c r="AM58" i="82"/>
  <c r="Y59" i="82"/>
  <c r="BI59" i="82"/>
  <c r="K60" i="82"/>
  <c r="AU60" i="82"/>
  <c r="S62" i="82"/>
  <c r="E63" i="82"/>
  <c r="BA63" i="82"/>
  <c r="AM64" i="82"/>
  <c r="Y65" i="82"/>
  <c r="BI65" i="82"/>
  <c r="K66" i="82"/>
  <c r="AU66" i="82"/>
  <c r="BH53" i="82"/>
  <c r="L54" i="82"/>
  <c r="CR54" i="82"/>
  <c r="CR55" i="82" s="1"/>
  <c r="FX54" i="82"/>
  <c r="FX55" i="82" s="1"/>
  <c r="AF56" i="82"/>
  <c r="R57" i="82"/>
  <c r="BB57" i="82"/>
  <c r="D58" i="82"/>
  <c r="AN58" i="82"/>
  <c r="Z59" i="82"/>
  <c r="BH60" i="82"/>
  <c r="AT61" i="82"/>
  <c r="AF62" i="82"/>
  <c r="R63" i="82"/>
  <c r="BB63" i="82"/>
  <c r="D64" i="82"/>
  <c r="AN64" i="82"/>
  <c r="Z65" i="82"/>
  <c r="BH66" i="82"/>
  <c r="AT67" i="82"/>
  <c r="AT68" i="82"/>
  <c r="AT69" i="82"/>
  <c r="AT70" i="82"/>
  <c r="AT71" i="82"/>
  <c r="AT72" i="82"/>
  <c r="AT73" i="82"/>
  <c r="AT74" i="82"/>
  <c r="AT75" i="82"/>
  <c r="AT76" i="82"/>
  <c r="AT77" i="82"/>
  <c r="AT78" i="82"/>
  <c r="AT79" i="82"/>
  <c r="S57" i="82"/>
  <c r="E58" i="82"/>
  <c r="BA58" i="82"/>
  <c r="AM59" i="82"/>
  <c r="Y60" i="82"/>
  <c r="BI60" i="82"/>
  <c r="K61" i="82"/>
  <c r="AU61" i="82"/>
  <c r="S63" i="82"/>
  <c r="E64" i="82"/>
  <c r="BA64" i="82"/>
  <c r="AM65" i="82"/>
  <c r="Y66" i="82"/>
  <c r="BI66" i="82"/>
  <c r="K67" i="82"/>
  <c r="AU67" i="82"/>
  <c r="K68" i="82"/>
  <c r="AU68" i="82"/>
  <c r="K69" i="82"/>
  <c r="AU69" i="82"/>
  <c r="K70" i="82"/>
  <c r="AU70" i="82"/>
  <c r="K71" i="82"/>
  <c r="AU71" i="82"/>
  <c r="K72" i="82"/>
  <c r="AU72" i="82"/>
  <c r="K73" i="82"/>
  <c r="AU73" i="82"/>
  <c r="K74" i="82"/>
  <c r="AU74" i="82"/>
  <c r="K75" i="82"/>
  <c r="AU75" i="82"/>
  <c r="K76" i="82"/>
  <c r="AU76" i="82"/>
  <c r="K77" i="82"/>
  <c r="AU77" i="82"/>
  <c r="K78" i="82"/>
  <c r="AU78" i="82"/>
  <c r="K79" i="82"/>
  <c r="AU79" i="82"/>
  <c r="R53" i="82"/>
  <c r="AT56" i="82"/>
  <c r="AF57" i="82"/>
  <c r="R58" i="82"/>
  <c r="BB58" i="82"/>
  <c r="D59" i="82"/>
  <c r="AN59" i="82"/>
  <c r="Z60" i="82"/>
  <c r="BH61" i="82"/>
  <c r="AT62" i="82"/>
  <c r="AF63" i="82"/>
  <c r="R64" i="82"/>
  <c r="BB64" i="82"/>
  <c r="D65" i="82"/>
  <c r="AN65" i="82"/>
  <c r="Z66" i="82"/>
  <c r="BH67" i="82"/>
  <c r="BH68" i="82"/>
  <c r="BH69" i="82"/>
  <c r="BH70" i="82"/>
  <c r="AQ53" i="82"/>
  <c r="K56" i="82"/>
  <c r="AU56" i="82"/>
  <c r="S58" i="82"/>
  <c r="E59" i="82"/>
  <c r="BA59" i="82"/>
  <c r="AM60" i="82"/>
  <c r="Y61" i="82"/>
  <c r="BI61" i="82"/>
  <c r="K62" i="82"/>
  <c r="AU62" i="82"/>
  <c r="S64" i="82"/>
  <c r="E65" i="82"/>
  <c r="BA65" i="82"/>
  <c r="AM66" i="82"/>
  <c r="Y67" i="82"/>
  <c r="BI67" i="82"/>
  <c r="Y68" i="82"/>
  <c r="BI68" i="82"/>
  <c r="Y69" i="82"/>
  <c r="BI69" i="82"/>
  <c r="Y70" i="82"/>
  <c r="BI70" i="82"/>
  <c r="Y71" i="82"/>
  <c r="Y72" i="82"/>
  <c r="Y73" i="82"/>
  <c r="Y74" i="82"/>
  <c r="Y75" i="82"/>
  <c r="Y76" i="82"/>
  <c r="Y77" i="82"/>
  <c r="Y78" i="82"/>
  <c r="Y79" i="82"/>
  <c r="EH9" i="82"/>
  <c r="BL53" i="82"/>
  <c r="BH56" i="82"/>
  <c r="AT57" i="82"/>
  <c r="AF58" i="82"/>
  <c r="R59" i="82"/>
  <c r="BB59" i="82"/>
  <c r="D60" i="82"/>
  <c r="AN60" i="82"/>
  <c r="Z61" i="82"/>
  <c r="BH62" i="82"/>
  <c r="AT63" i="82"/>
  <c r="AF64" i="82"/>
  <c r="R65" i="82"/>
  <c r="BB65" i="82"/>
  <c r="D66" i="82"/>
  <c r="AN66" i="82"/>
  <c r="Z67" i="82"/>
  <c r="Z68" i="82"/>
  <c r="Z69" i="82"/>
  <c r="Z70" i="82"/>
  <c r="Z71" i="82"/>
  <c r="Z72" i="82"/>
  <c r="Z73" i="82"/>
  <c r="Z74" i="82"/>
  <c r="Z75" i="82"/>
  <c r="Z76" i="82"/>
  <c r="Z77" i="82"/>
  <c r="Z78" i="82"/>
  <c r="Z79" i="82"/>
  <c r="BH57" i="82"/>
  <c r="AT58" i="82"/>
  <c r="AF59" i="82"/>
  <c r="R60" i="82"/>
  <c r="BB60" i="82"/>
  <c r="D61" i="82"/>
  <c r="AN61" i="82"/>
  <c r="Z62" i="82"/>
  <c r="BH63" i="82"/>
  <c r="AT64" i="82"/>
  <c r="AF65" i="82"/>
  <c r="R66" i="82"/>
  <c r="D67" i="82"/>
  <c r="AN67" i="82"/>
  <c r="D68" i="82"/>
  <c r="AN68" i="82"/>
  <c r="D69" i="82"/>
  <c r="AN69" i="82"/>
  <c r="D70" i="82"/>
  <c r="D71" i="82"/>
  <c r="D72" i="82"/>
  <c r="D73" i="82"/>
  <c r="D74" i="82"/>
  <c r="D75" i="82"/>
  <c r="D76" i="82"/>
  <c r="D77" i="82"/>
  <c r="D78" i="82"/>
  <c r="L63" i="82" l="1"/>
  <c r="L57" i="82"/>
  <c r="L62" i="82"/>
  <c r="L56" i="82"/>
  <c r="L79" i="82"/>
  <c r="L78" i="82"/>
  <c r="L77" i="82"/>
  <c r="L76" i="82"/>
  <c r="L75" i="82"/>
  <c r="L74" i="82"/>
  <c r="L73" i="82"/>
  <c r="L72" i="82"/>
  <c r="L71" i="82"/>
  <c r="L70" i="82"/>
  <c r="L69" i="82"/>
  <c r="L68" i="82"/>
  <c r="L67" i="82"/>
  <c r="L61" i="82"/>
  <c r="L66" i="82"/>
  <c r="L60" i="82"/>
  <c r="L65" i="82"/>
  <c r="L59" i="82"/>
  <c r="L55" i="82"/>
  <c r="L64" i="82"/>
  <c r="L58" i="82"/>
  <c r="AG64" i="82"/>
  <c r="AG58" i="82"/>
  <c r="AG63" i="82"/>
  <c r="AG57" i="82"/>
  <c r="AG55" i="82"/>
  <c r="AG62" i="82"/>
  <c r="AG56" i="82"/>
  <c r="AG79" i="82"/>
  <c r="AG78" i="82"/>
  <c r="AG77" i="82"/>
  <c r="AG76" i="82"/>
  <c r="AG75" i="82"/>
  <c r="AG74" i="82"/>
  <c r="AG73" i="82"/>
  <c r="AG72" i="82"/>
  <c r="AG71" i="82"/>
  <c r="AG70" i="82"/>
  <c r="AG69" i="82"/>
  <c r="AG68" i="82"/>
  <c r="AG67" i="82"/>
  <c r="AG61" i="82"/>
  <c r="AG66" i="82"/>
  <c r="AG60" i="82"/>
  <c r="AG65" i="82"/>
  <c r="AG59" i="8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MikeJoy</author>
    <author>Doug Howie</author>
  </authors>
  <commentList>
    <comment ref="A5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MikeJoy:</t>
        </r>
        <r>
          <rPr>
            <sz val="8"/>
            <color indexed="81"/>
            <rFont val="Tahoma"/>
            <family val="2"/>
          </rPr>
          <t xml:space="preserve">
If this hasn't already been completed or communicated to you by IntellEquip, please call IntellEquip to obtain your Organization ID.</t>
        </r>
      </text>
    </comment>
    <comment ref="A6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MikeJoy:</t>
        </r>
        <r>
          <rPr>
            <sz val="8"/>
            <color indexed="81"/>
            <rFont val="Tahoma"/>
            <family val="2"/>
          </rPr>
          <t xml:space="preserve">
This Curve family ID should be unique within your organization.</t>
        </r>
      </text>
    </comment>
    <comment ref="Q7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Doug Howie:</t>
        </r>
        <r>
          <rPr>
            <sz val="9"/>
            <color indexed="81"/>
            <rFont val="Tahoma"/>
            <family val="2"/>
          </rPr>
          <t xml:space="preserve">
when defined, set serviceFactorDriverFixedUsed to true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MikeJoy</author>
    <author>Doug Howie</author>
    <author>JohnFormica</author>
  </authors>
  <commentList>
    <comment ref="A7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MikeJoy:</t>
        </r>
        <r>
          <rPr>
            <sz val="8"/>
            <color indexed="81"/>
            <rFont val="Tahoma"/>
            <family val="2"/>
          </rPr>
          <t xml:space="preserve">
This Curve family ID should be unique within your organization.</t>
        </r>
      </text>
    </comment>
    <comment ref="A9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MikeJoy:</t>
        </r>
        <r>
          <rPr>
            <sz val="8"/>
            <color indexed="81"/>
            <rFont val="Tahoma"/>
            <family val="2"/>
          </rPr>
          <t xml:space="preserve">
This must be unique within your organization.
You can enter all curves for each curve family in any one workbook.
For each curve number, create a copy of the 'Copy this as needed...' sheet, populate  with impeller and point data, and carefully label the sheet with the </t>
        </r>
        <r>
          <rPr>
            <b/>
            <sz val="8"/>
            <color indexed="81"/>
            <rFont val="Tahoma"/>
            <family val="2"/>
          </rPr>
          <t xml:space="preserve">exact </t>
        </r>
        <r>
          <rPr>
            <sz val="8"/>
            <color indexed="81"/>
            <rFont val="Tahoma"/>
            <family val="2"/>
          </rPr>
          <t>curve number.</t>
        </r>
      </text>
    </comment>
    <comment ref="B9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Doug Howie:</t>
        </r>
        <r>
          <rPr>
            <sz val="9"/>
            <color indexed="81"/>
            <rFont val="Tahoma"/>
            <family val="2"/>
          </rPr>
          <t xml:space="preserve">
Optional text field.</t>
        </r>
      </text>
    </comment>
    <comment ref="C9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>MikeJoy:</t>
        </r>
        <r>
          <rPr>
            <sz val="8"/>
            <color indexed="81"/>
            <rFont val="Tahoma"/>
            <family val="2"/>
          </rPr>
          <t xml:space="preserve">
This is the speed that the curve point data represents.</t>
        </r>
      </text>
    </comment>
    <comment ref="G9" authorId="2" shapeId="0" xr:uid="{00000000-0006-0000-0100-000005000000}">
      <text>
        <r>
          <rPr>
            <b/>
            <sz val="11"/>
            <color indexed="81"/>
            <rFont val="Tahoma"/>
            <family val="2"/>
          </rPr>
          <t>JohnFormica:</t>
        </r>
        <r>
          <rPr>
            <sz val="11"/>
            <color indexed="81"/>
            <rFont val="Tahoma"/>
            <family val="2"/>
          </rPr>
          <t xml:space="preserve">
Normal running speed
</t>
        </r>
      </text>
    </comment>
    <comment ref="H9" authorId="2" shapeId="0" xr:uid="{00000000-0006-0000-0100-000006000000}">
      <text>
        <r>
          <rPr>
            <b/>
            <sz val="11"/>
            <color indexed="81"/>
            <rFont val="Tahoma"/>
            <family val="2"/>
          </rPr>
          <t>JohnFormica:</t>
        </r>
        <r>
          <rPr>
            <sz val="11"/>
            <color indexed="81"/>
            <rFont val="Tahoma"/>
            <family val="2"/>
          </rPr>
          <t xml:space="preserve">
Minimum requirement: Curve speed range must support pump(s) speed range.</t>
        </r>
      </text>
    </comment>
    <comment ref="J9" authorId="1" shapeId="0" xr:uid="{00000000-0006-0000-0100-000007000000}">
      <text>
        <r>
          <rPr>
            <b/>
            <sz val="9"/>
            <color indexed="81"/>
            <rFont val="Tahoma"/>
            <family val="2"/>
          </rPr>
          <t>Doug Howie:</t>
        </r>
        <r>
          <rPr>
            <sz val="9"/>
            <color indexed="81"/>
            <rFont val="Tahoma"/>
            <family val="2"/>
          </rPr>
          <t xml:space="preserve">
Required for trimmable pumps</t>
        </r>
      </text>
    </comment>
    <comment ref="K9" authorId="1" shapeId="0" xr:uid="{00000000-0006-0000-0100-000008000000}">
      <text>
        <r>
          <rPr>
            <b/>
            <sz val="9"/>
            <color indexed="81"/>
            <rFont val="Tahoma"/>
            <family val="2"/>
          </rPr>
          <t>Doug Howie:</t>
        </r>
        <r>
          <rPr>
            <sz val="9"/>
            <color indexed="81"/>
            <rFont val="Tahoma"/>
            <family val="2"/>
          </rPr>
          <t xml:space="preserve">
Minimum continuous stable flow</t>
        </r>
      </text>
    </comment>
    <comment ref="L9" authorId="1" shapeId="0" xr:uid="{00000000-0006-0000-0100-000009000000}">
      <text>
        <r>
          <rPr>
            <b/>
            <sz val="9"/>
            <color indexed="81"/>
            <rFont val="Tahoma"/>
            <family val="2"/>
          </rPr>
          <t>Doug Howie:</t>
        </r>
        <r>
          <rPr>
            <sz val="9"/>
            <color indexed="81"/>
            <rFont val="Tahoma"/>
            <family val="2"/>
          </rPr>
          <t xml:space="preserve">
Minimum continuous stable flow</t>
        </r>
      </text>
    </comment>
    <comment ref="N9" authorId="1" shapeId="0" xr:uid="{00000000-0006-0000-0100-00000A000000}">
      <text>
        <r>
          <rPr>
            <b/>
            <sz val="9"/>
            <color indexed="81"/>
            <rFont val="Tahoma"/>
            <family val="2"/>
          </rPr>
          <t>Doug Howie:</t>
        </r>
        <r>
          <rPr>
            <sz val="9"/>
            <color indexed="81"/>
            <rFont val="Tahoma"/>
            <family val="2"/>
          </rPr>
          <t xml:space="preserve">
Set to 2 for double suction</t>
        </r>
      </text>
    </comment>
    <comment ref="S9" authorId="2" shapeId="0" xr:uid="{00000000-0006-0000-0100-00000B000000}">
      <text>
        <r>
          <rPr>
            <b/>
            <sz val="11"/>
            <color indexed="81"/>
            <rFont val="Tahoma"/>
            <family val="2"/>
          </rPr>
          <t>JohnFormica:</t>
        </r>
        <r>
          <rPr>
            <sz val="11"/>
            <color indexed="81"/>
            <rFont val="Tahoma"/>
            <family val="2"/>
          </rPr>
          <t xml:space="preserve">
Required for fixed single trim pumps</t>
        </r>
      </text>
    </comment>
    <comment ref="T9" authorId="1" shapeId="0" xr:uid="{00000000-0006-0000-0100-00000C000000}">
      <text>
        <r>
          <rPr>
            <b/>
            <sz val="9"/>
            <color indexed="81"/>
            <rFont val="Tahoma"/>
            <family val="2"/>
          </rPr>
          <t>Doug Howie:</t>
        </r>
        <r>
          <rPr>
            <sz val="9"/>
            <color indexed="81"/>
            <rFont val="Tahoma"/>
            <family val="2"/>
          </rPr>
          <t xml:space="preserve">
Optional</t>
        </r>
      </text>
    </comment>
    <comment ref="U9" authorId="1" shapeId="0" xr:uid="{00000000-0006-0000-0100-00000D000000}">
      <text>
        <r>
          <rPr>
            <b/>
            <sz val="9"/>
            <color indexed="81"/>
            <rFont val="Tahoma"/>
            <family val="2"/>
          </rPr>
          <t>Doug Howie:</t>
        </r>
        <r>
          <rPr>
            <sz val="9"/>
            <color indexed="81"/>
            <rFont val="Tahoma"/>
            <family val="2"/>
          </rPr>
          <t xml:space="preserve">
Optional. Choices restricted to 1.00, 1.15, or 1.25</t>
        </r>
      </text>
    </comment>
    <comment ref="V9" authorId="1" shapeId="0" xr:uid="{00000000-0006-0000-0100-00000E000000}">
      <text>
        <r>
          <rPr>
            <b/>
            <sz val="9"/>
            <color indexed="81"/>
            <rFont val="Tahoma"/>
            <family val="2"/>
          </rPr>
          <t>Doug Howie:</t>
        </r>
        <r>
          <rPr>
            <sz val="9"/>
            <color indexed="81"/>
            <rFont val="Tahoma"/>
            <family val="2"/>
          </rPr>
          <t xml:space="preserve">
Optionally define a lower minimum speed for variable speed mode</t>
        </r>
      </text>
    </comment>
    <comment ref="W9" authorId="1" shapeId="0" xr:uid="{00000000-0006-0000-0100-00000F000000}">
      <text>
        <r>
          <rPr>
            <b/>
            <sz val="9"/>
            <color indexed="81"/>
            <rFont val="Tahoma"/>
            <family val="2"/>
          </rPr>
          <t>Doug Howie:</t>
        </r>
        <r>
          <rPr>
            <sz val="9"/>
            <color indexed="81"/>
            <rFont val="Tahoma"/>
            <family val="2"/>
          </rPr>
          <t xml:space="preserve">
Optionally define which iso lines to be shown. Deliniate with colons. (60:70:75:80:82)</t>
        </r>
      </text>
    </comment>
  </commentList>
</comments>
</file>

<file path=xl/sharedStrings.xml><?xml version="1.0" encoding="utf-8"?>
<sst xmlns="http://schemas.openxmlformats.org/spreadsheetml/2006/main" count="1930" uniqueCount="83">
  <si>
    <t>Curve number</t>
  </si>
  <si>
    <t>Nss Increment</t>
  </si>
  <si>
    <t>Diameter</t>
  </si>
  <si>
    <t>Flow</t>
  </si>
  <si>
    <t>Head</t>
  </si>
  <si>
    <t>NPSH</t>
  </si>
  <si>
    <t>rpm</t>
  </si>
  <si>
    <t>Hz</t>
  </si>
  <si>
    <t>inch</t>
  </si>
  <si>
    <t>USgpm</t>
  </si>
  <si>
    <t>ft</t>
  </si>
  <si>
    <t>Flow:</t>
  </si>
  <si>
    <t>Head:</t>
  </si>
  <si>
    <t>Diameter:</t>
  </si>
  <si>
    <t>mm</t>
  </si>
  <si>
    <t>m3/h</t>
  </si>
  <si>
    <t>m</t>
  </si>
  <si>
    <t>Conversion</t>
  </si>
  <si>
    <t>4.40286764029913</t>
  </si>
  <si>
    <t>3.28083989501312</t>
  </si>
  <si>
    <t>&lt;-- Select your units first.</t>
  </si>
  <si>
    <t>Factor</t>
  </si>
  <si>
    <t>&lt;-- Select your units first.  Then define impeller diameters and NPSH start flow, and then populate the curve point data</t>
  </si>
  <si>
    <t>Number of impeller eyes</t>
  </si>
  <si>
    <t>Pwr or Eta:</t>
  </si>
  <si>
    <t>Power:</t>
  </si>
  <si>
    <t>hp</t>
  </si>
  <si>
    <t>1.3410218586563</t>
  </si>
  <si>
    <t>kW</t>
  </si>
  <si>
    <t>Organization:</t>
  </si>
  <si>
    <t>Curve family:</t>
  </si>
  <si>
    <t>Speed, data</t>
  </si>
  <si>
    <t>Speed, nominal</t>
  </si>
  <si>
    <t>Speed, Min</t>
  </si>
  <si>
    <t>Speed, max</t>
  </si>
  <si>
    <t>Head start flow</t>
  </si>
  <si>
    <t>Efficiency start flow</t>
  </si>
  <si>
    <t>Power start flow</t>
  </si>
  <si>
    <t>Diameter increment</t>
  </si>
  <si>
    <t>Final diameter value strategy</t>
  </si>
  <si>
    <t>Head margin for fixed diameter</t>
  </si>
  <si>
    <t>Fixed motor power</t>
  </si>
  <si>
    <t>Fixed motor service factor</t>
  </si>
  <si>
    <t>Round up</t>
  </si>
  <si>
    <t>Power</t>
  </si>
  <si>
    <t>Poles</t>
  </si>
  <si>
    <t/>
  </si>
  <si>
    <t>Intelliquip use only below this line</t>
  </si>
  <si>
    <t>Disabled</t>
  </si>
  <si>
    <t>On Curve</t>
  </si>
  <si>
    <t>Division Point</t>
  </si>
  <si>
    <t>Slope Enabled</t>
  </si>
  <si>
    <t>Slope Value</t>
  </si>
  <si>
    <t>Acme</t>
  </si>
  <si>
    <r>
      <t>To create additional sheets, use the "</t>
    </r>
    <r>
      <rPr>
        <b/>
        <sz val="10"/>
        <color indexed="10"/>
        <rFont val="Arial"/>
        <family val="2"/>
      </rPr>
      <t>Move or Copy"</t>
    </r>
    <r>
      <rPr>
        <sz val="10"/>
        <color indexed="10"/>
        <rFont val="Arial"/>
        <family val="2"/>
      </rPr>
      <t xml:space="preserve"> menu.  Please do not copy and paste cells from one sheet to another.</t>
    </r>
  </si>
  <si>
    <t>Do not drag and drop cells in this workbook!</t>
  </si>
  <si>
    <t>MCSF @ min impeller diameter</t>
  </si>
  <si>
    <t>MCSF @ max impeller diameter</t>
  </si>
  <si>
    <t>Revision number</t>
  </si>
  <si>
    <t>Variable speed min limit</t>
  </si>
  <si>
    <t>Display shroud and hub dia</t>
  </si>
  <si>
    <t>ISO efficiency values</t>
  </si>
  <si>
    <t>NPSH start flow</t>
  </si>
  <si>
    <t>Hub side dia.</t>
  </si>
  <si>
    <t>curveRevNumber</t>
  </si>
  <si>
    <t>serviceFactorDriverFixed</t>
  </si>
  <si>
    <t>nssIncrement</t>
  </si>
  <si>
    <t>eyeCount</t>
  </si>
  <si>
    <t>headMarginFixedDia</t>
  </si>
  <si>
    <t>powerDriverFixed</t>
  </si>
  <si>
    <t>isoEfficiencyValues</t>
  </si>
  <si>
    <t>speedVariableCurveMin</t>
  </si>
  <si>
    <t>Version 2.0</t>
  </si>
  <si>
    <t>BEP efficiency</t>
  </si>
  <si>
    <t>BEP flow</t>
  </si>
  <si>
    <t>Shutoff power</t>
  </si>
  <si>
    <t>Spline for head</t>
  </si>
  <si>
    <t>Spline for Eta/Pwr</t>
  </si>
  <si>
    <t>Spline for NPSH</t>
  </si>
  <si>
    <t>VT</t>
  </si>
  <si>
    <t>0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</si>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</sst>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MS Sans Serif"/>
    </font>
    <font>
      <b/>
      <sz val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4"/>
      <color indexed="9"/>
      <name val="Arial"/>
      <family val="2"/>
    </font>
    <font>
      <sz val="10"/>
      <name val="MS Sans Serif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0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5" fillId="3" borderId="0" applyNumberFormat="0" applyBorder="0" applyAlignment="0" applyProtection="0"/>
    <xf numFmtId="0" fontId="16" fillId="20" borderId="1" applyNumberFormat="0" applyAlignment="0" applyProtection="0"/>
    <xf numFmtId="0" fontId="17" fillId="21" borderId="2" applyNumberFormat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0" borderId="3" applyNumberFormat="0" applyFill="0" applyAlignment="0" applyProtection="0"/>
    <xf numFmtId="0" fontId="21" fillId="0" borderId="4" applyNumberFormat="0" applyFill="0" applyAlignment="0" applyProtection="0"/>
    <xf numFmtId="0" fontId="22" fillId="0" borderId="5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1" applyNumberFormat="0" applyAlignment="0" applyProtection="0"/>
    <xf numFmtId="0" fontId="24" fillId="0" borderId="6" applyNumberFormat="0" applyFill="0" applyAlignment="0" applyProtection="0"/>
    <xf numFmtId="0" fontId="25" fillId="22" borderId="0" applyNumberFormat="0" applyBorder="0" applyAlignment="0" applyProtection="0"/>
    <xf numFmtId="0" fontId="13" fillId="0" borderId="0"/>
    <xf numFmtId="0" fontId="13" fillId="0" borderId="0"/>
    <xf numFmtId="49" fontId="1" fillId="0" borderId="0" applyNumberFormat="0">
      <alignment vertical="top" wrapText="1"/>
    </xf>
    <xf numFmtId="0" fontId="3" fillId="0" borderId="0"/>
    <xf numFmtId="0" fontId="1" fillId="23" borderId="7" applyNumberFormat="0" applyFont="0" applyAlignment="0" applyProtection="0"/>
    <xf numFmtId="0" fontId="26" fillId="20" borderId="8" applyNumberFormat="0" applyAlignment="0" applyProtection="0"/>
    <xf numFmtId="0" fontId="27" fillId="0" borderId="0" applyNumberFormat="0" applyFill="0" applyBorder="0" applyAlignment="0" applyProtection="0"/>
    <xf numFmtId="0" fontId="11" fillId="0" borderId="9" applyNumberFormat="0" applyFill="0" applyAlignment="0" applyProtection="0"/>
    <xf numFmtId="0" fontId="8" fillId="0" borderId="0" applyNumberFormat="0" applyFill="0" applyBorder="0" applyAlignment="0" applyProtection="0"/>
  </cellStyleXfs>
  <cellXfs count="118">
    <xf numFmtId="0" fontId="0" fillId="0" borderId="0" xfId="0"/>
    <xf numFmtId="0" fontId="2" fillId="0" borderId="0" xfId="39" applyNumberFormat="1" applyFont="1">
      <alignment vertical="top" wrapText="1"/>
    </xf>
    <xf numFmtId="0" fontId="4" fillId="0" borderId="0" xfId="0" applyFont="1"/>
    <xf numFmtId="0" fontId="2" fillId="0" borderId="0" xfId="0" applyFont="1"/>
    <xf numFmtId="0" fontId="0" fillId="24" borderId="10" xfId="0" applyFill="1" applyBorder="1"/>
    <xf numFmtId="0" fontId="0" fillId="24" borderId="11" xfId="0" applyFill="1" applyBorder="1"/>
    <xf numFmtId="0" fontId="2" fillId="25" borderId="10" xfId="0" applyFont="1" applyFill="1" applyBorder="1" applyAlignment="1">
      <alignment wrapText="1"/>
    </xf>
    <xf numFmtId="0" fontId="2" fillId="25" borderId="11" xfId="0" applyFont="1" applyFill="1" applyBorder="1" applyAlignment="1">
      <alignment wrapText="1"/>
    </xf>
    <xf numFmtId="0" fontId="2" fillId="25" borderId="12" xfId="0" applyFont="1" applyFill="1" applyBorder="1" applyAlignment="1">
      <alignment wrapText="1"/>
    </xf>
    <xf numFmtId="0" fontId="2" fillId="25" borderId="13" xfId="0" applyFont="1" applyFill="1" applyBorder="1" applyAlignment="1">
      <alignment horizontal="center" wrapText="1"/>
    </xf>
    <xf numFmtId="0" fontId="0" fillId="24" borderId="11" xfId="0" applyFill="1" applyBorder="1" applyAlignment="1">
      <alignment horizontal="center"/>
    </xf>
    <xf numFmtId="0" fontId="0" fillId="26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26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26" borderId="12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24" borderId="15" xfId="0" applyFill="1" applyBorder="1" applyAlignment="1">
      <alignment horizontal="center"/>
    </xf>
    <xf numFmtId="0" fontId="0" fillId="24" borderId="16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2" fillId="26" borderId="24" xfId="0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24" borderId="10" xfId="0" applyFont="1" applyFill="1" applyBorder="1"/>
    <xf numFmtId="0" fontId="7" fillId="24" borderId="12" xfId="0" applyFont="1" applyFill="1" applyBorder="1"/>
    <xf numFmtId="0" fontId="11" fillId="25" borderId="13" xfId="40" applyFont="1" applyFill="1" applyBorder="1" applyAlignment="1">
      <alignment vertical="top" wrapText="1"/>
    </xf>
    <xf numFmtId="0" fontId="2" fillId="25" borderId="13" xfId="39" applyNumberFormat="1" applyFont="1" applyFill="1" applyBorder="1">
      <alignment vertical="top" wrapText="1"/>
    </xf>
    <xf numFmtId="1" fontId="2" fillId="25" borderId="13" xfId="39" applyNumberFormat="1" applyFont="1" applyFill="1" applyBorder="1">
      <alignment vertical="top" wrapText="1"/>
    </xf>
    <xf numFmtId="0" fontId="10" fillId="27" borderId="13" xfId="40" applyFont="1" applyFill="1" applyBorder="1" applyAlignment="1">
      <alignment vertical="top" wrapText="1"/>
    </xf>
    <xf numFmtId="0" fontId="7" fillId="27" borderId="13" xfId="39" applyNumberFormat="1" applyFont="1" applyFill="1" applyBorder="1">
      <alignment vertical="top" wrapText="1"/>
    </xf>
    <xf numFmtId="1" fontId="7" fillId="27" borderId="13" xfId="39" applyNumberFormat="1" applyFont="1" applyFill="1" applyBorder="1">
      <alignment vertical="top" wrapText="1"/>
    </xf>
    <xf numFmtId="0" fontId="7" fillId="0" borderId="11" xfId="0" applyFont="1" applyBorder="1"/>
    <xf numFmtId="0" fontId="7" fillId="0" borderId="12" xfId="0" applyFont="1" applyBorder="1"/>
    <xf numFmtId="0" fontId="7" fillId="24" borderId="25" xfId="0" applyFont="1" applyFill="1" applyBorder="1"/>
    <xf numFmtId="0" fontId="7" fillId="24" borderId="26" xfId="0" applyFont="1" applyFill="1" applyBorder="1"/>
    <xf numFmtId="0" fontId="7" fillId="0" borderId="19" xfId="0" applyFont="1" applyBorder="1"/>
    <xf numFmtId="0" fontId="7" fillId="0" borderId="18" xfId="0" applyFont="1" applyBorder="1"/>
    <xf numFmtId="0" fontId="7" fillId="0" borderId="26" xfId="0" applyFont="1" applyBorder="1"/>
    <xf numFmtId="0" fontId="8" fillId="0" borderId="16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0" fontId="12" fillId="28" borderId="0" xfId="0" applyFont="1" applyFill="1"/>
    <xf numFmtId="0" fontId="0" fillId="0" borderId="0" xfId="0" applyAlignment="1">
      <alignment horizontal="center"/>
    </xf>
    <xf numFmtId="0" fontId="2" fillId="25" borderId="13" xfId="0" applyFont="1" applyFill="1" applyBorder="1" applyAlignment="1">
      <alignment wrapText="1"/>
    </xf>
    <xf numFmtId="0" fontId="0" fillId="24" borderId="13" xfId="0" applyFill="1" applyBorder="1"/>
    <xf numFmtId="0" fontId="8" fillId="0" borderId="10" xfId="0" applyFont="1" applyBorder="1"/>
    <xf numFmtId="0" fontId="8" fillId="0" borderId="12" xfId="0" applyFont="1" applyBorder="1"/>
    <xf numFmtId="0" fontId="0" fillId="0" borderId="0" xfId="0" applyAlignment="1">
      <alignment wrapText="1"/>
    </xf>
    <xf numFmtId="0" fontId="2" fillId="0" borderId="11" xfId="39" applyNumberFormat="1" applyFont="1" applyBorder="1">
      <alignment vertical="top" wrapText="1"/>
    </xf>
    <xf numFmtId="1" fontId="2" fillId="0" borderId="11" xfId="39" applyNumberFormat="1" applyFont="1" applyBorder="1">
      <alignment vertical="top" wrapText="1"/>
    </xf>
    <xf numFmtId="0" fontId="7" fillId="0" borderId="11" xfId="39" applyNumberFormat="1" applyFont="1" applyBorder="1">
      <alignment vertical="top" wrapText="1"/>
    </xf>
    <xf numFmtId="1" fontId="7" fillId="0" borderId="11" xfId="39" applyNumberFormat="1" applyFont="1" applyBorder="1">
      <alignment vertical="top" wrapText="1"/>
    </xf>
    <xf numFmtId="0" fontId="7" fillId="24" borderId="11" xfId="0" applyFont="1" applyFill="1" applyBorder="1"/>
    <xf numFmtId="0" fontId="13" fillId="0" borderId="11" xfId="37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3" fillId="26" borderId="25" xfId="37" applyFill="1" applyBorder="1" applyAlignment="1">
      <alignment horizontal="center"/>
    </xf>
    <xf numFmtId="0" fontId="13" fillId="26" borderId="19" xfId="37" applyFill="1" applyBorder="1" applyAlignment="1">
      <alignment horizontal="center"/>
    </xf>
    <xf numFmtId="0" fontId="0" fillId="26" borderId="19" xfId="0" applyFill="1" applyBorder="1" applyAlignment="1">
      <alignment horizontal="center"/>
    </xf>
    <xf numFmtId="0" fontId="0" fillId="26" borderId="26" xfId="0" applyFill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11" xfId="38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0" xfId="0" applyAlignment="1">
      <alignment horizontal="center" vertical="center"/>
    </xf>
    <xf numFmtId="0" fontId="2" fillId="29" borderId="10" xfId="0" applyFont="1" applyFill="1" applyBorder="1" applyAlignment="1">
      <alignment horizontal="center" vertical="center" wrapText="1"/>
    </xf>
    <xf numFmtId="0" fontId="0" fillId="24" borderId="11" xfId="0" applyFill="1" applyBorder="1" applyAlignment="1">
      <alignment horizontal="center" vertical="center"/>
    </xf>
    <xf numFmtId="0" fontId="2" fillId="25" borderId="29" xfId="0" applyFont="1" applyFill="1" applyBorder="1" applyAlignment="1">
      <alignment horizontal="center" wrapText="1"/>
    </xf>
    <xf numFmtId="0" fontId="0" fillId="24" borderId="32" xfId="0" applyFill="1" applyBorder="1" applyAlignment="1">
      <alignment horizontal="center" vertical="center" wrapText="1"/>
    </xf>
    <xf numFmtId="0" fontId="2" fillId="25" borderId="28" xfId="0" applyFont="1" applyFill="1" applyBorder="1" applyAlignment="1">
      <alignment horizontal="center" wrapText="1"/>
    </xf>
    <xf numFmtId="0" fontId="2" fillId="25" borderId="30" xfId="0" applyFont="1" applyFill="1" applyBorder="1" applyAlignment="1">
      <alignment horizontal="center" wrapText="1"/>
    </xf>
    <xf numFmtId="0" fontId="2" fillId="0" borderId="33" xfId="0" applyFont="1" applyBorder="1" applyAlignment="1">
      <alignment horizontal="center"/>
    </xf>
    <xf numFmtId="0" fontId="2" fillId="25" borderId="15" xfId="0" applyFont="1" applyFill="1" applyBorder="1" applyAlignment="1">
      <alignment horizontal="center" wrapText="1"/>
    </xf>
    <xf numFmtId="0" fontId="2" fillId="25" borderId="34" xfId="0" applyFont="1" applyFill="1" applyBorder="1" applyAlignment="1">
      <alignment horizontal="center" wrapText="1"/>
    </xf>
    <xf numFmtId="0" fontId="0" fillId="24" borderId="27" xfId="0" applyFill="1" applyBorder="1" applyAlignment="1">
      <alignment horizontal="center"/>
    </xf>
    <xf numFmtId="0" fontId="0" fillId="24" borderId="35" xfId="0" applyFill="1" applyBorder="1" applyAlignment="1">
      <alignment horizontal="center" vertical="center"/>
    </xf>
    <xf numFmtId="0" fontId="0" fillId="24" borderId="36" xfId="0" applyFill="1" applyBorder="1" applyAlignment="1">
      <alignment horizontal="center" vertical="center"/>
    </xf>
    <xf numFmtId="0" fontId="0" fillId="24" borderId="36" xfId="0" applyFill="1" applyBorder="1" applyAlignment="1">
      <alignment horizontal="center" vertical="center" wrapText="1"/>
    </xf>
    <xf numFmtId="0" fontId="0" fillId="24" borderId="37" xfId="0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14" xfId="0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2" fillId="26" borderId="38" xfId="0" applyFont="1" applyFill="1" applyBorder="1" applyAlignment="1">
      <alignment horizontal="center"/>
    </xf>
    <xf numFmtId="0" fontId="8" fillId="0" borderId="13" xfId="0" applyFont="1" applyBorder="1"/>
    <xf numFmtId="0" fontId="7" fillId="0" borderId="11" xfId="0" applyFont="1" applyBorder="1" applyAlignment="1">
      <alignment horizontal="left"/>
    </xf>
    <xf numFmtId="0" fontId="2" fillId="0" borderId="29" xfId="0" applyFont="1" applyBorder="1" applyAlignment="1">
      <alignment wrapText="1"/>
    </xf>
    <xf numFmtId="0" fontId="0" fillId="0" borderId="39" xfId="0" applyBorder="1" applyAlignment="1">
      <alignment horizontal="center"/>
    </xf>
    <xf numFmtId="0" fontId="2" fillId="26" borderId="40" xfId="0" applyFont="1" applyFill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30" borderId="42" xfId="0" applyFont="1" applyFill="1" applyBorder="1" applyAlignment="1">
      <alignment horizontal="center"/>
    </xf>
    <xf numFmtId="0" fontId="2" fillId="30" borderId="43" xfId="0" applyFont="1" applyFill="1" applyBorder="1" applyAlignment="1">
      <alignment horizontal="center"/>
    </xf>
    <xf numFmtId="0" fontId="2" fillId="25" borderId="44" xfId="0" applyFont="1" applyFill="1" applyBorder="1" applyAlignment="1">
      <alignment horizontal="center" wrapText="1"/>
    </xf>
    <xf numFmtId="0" fontId="2" fillId="25" borderId="45" xfId="0" applyFont="1" applyFill="1" applyBorder="1" applyAlignment="1">
      <alignment horizontal="center" wrapText="1"/>
    </xf>
    <xf numFmtId="0" fontId="0" fillId="24" borderId="46" xfId="0" applyFill="1" applyBorder="1" applyAlignment="1">
      <alignment horizontal="center" vertical="center"/>
    </xf>
    <xf numFmtId="0" fontId="0" fillId="24" borderId="47" xfId="0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2" fillId="26" borderId="55" xfId="0" applyFont="1" applyFill="1" applyBorder="1" applyAlignment="1">
      <alignment horizontal="center"/>
    </xf>
    <xf numFmtId="0" fontId="2" fillId="25" borderId="56" xfId="0" applyFont="1" applyFill="1" applyBorder="1" applyAlignment="1">
      <alignment horizontal="center" wrapText="1"/>
    </xf>
    <xf numFmtId="0" fontId="2" fillId="0" borderId="48" xfId="0" applyFont="1" applyBorder="1"/>
    <xf numFmtId="0" fontId="0" fillId="0" borderId="48" xfId="0" applyBorder="1"/>
    <xf numFmtId="0" fontId="0" fillId="0" borderId="48" xfId="0" applyBorder="1" applyAlignment="1">
      <alignment horizontal="center" vertical="center"/>
    </xf>
    <xf numFmtId="0" fontId="2" fillId="0" borderId="17" xfId="0" applyFont="1" applyBorder="1"/>
    <xf numFmtId="0" fontId="0" fillId="0" borderId="17" xfId="0" applyBorder="1" applyAlignment="1">
      <alignment wrapText="1"/>
    </xf>
    <xf numFmtId="0" fontId="0" fillId="0" borderId="17" xfId="0" applyBorder="1"/>
    <xf numFmtId="0" fontId="7" fillId="0" borderId="11" xfId="38" applyFont="1" applyBorder="1" applyAlignment="1">
      <alignment vertical="center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B4GPBH" xfId="37" xr:uid="{00000000-0005-0000-0000-000025000000}"/>
    <cellStyle name="Normal_Curve Header Data" xfId="38" xr:uid="{00000000-0005-0000-0000-000026000000}"/>
    <cellStyle name="Normal_Etanorm Data - Rev 0.0" xfId="39" xr:uid="{00000000-0005-0000-0000-000027000000}"/>
    <cellStyle name="Normal_Sheet2" xfId="40" xr:uid="{00000000-0005-0000-0000-000028000000}"/>
    <cellStyle name="Note" xfId="41" builtinId="10" customBuiltin="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</cellStyles>
  <dxfs count="24"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S307"/>
  <sheetViews>
    <sheetView zoomScale="8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S7" sqref="S7"/>
    </sheetView>
  </sheetViews>
  <sheetFormatPr defaultColWidth="9.140625" defaultRowHeight="12.75" x14ac:dyDescent="0.2"/>
  <cols>
    <col min="1" max="1" width="14" style="27" customWidth="1" collapsed="1"/>
    <col min="2" max="9" width="11.85546875" style="27" customWidth="1" collapsed="1"/>
    <col min="10" max="13" width="9.140625" style="27" collapsed="1"/>
    <col min="14" max="15" width="11.28515625" style="27" customWidth="1" collapsed="1"/>
    <col min="16" max="18" width="9.140625" style="27" collapsed="1"/>
    <col min="19" max="19" width="10.42578125" style="27" customWidth="1" collapsed="1"/>
    <col min="20" max="16384" width="9.140625" style="27" collapsed="1"/>
  </cols>
  <sheetData>
    <row r="1" spans="1:19" x14ac:dyDescent="0.2">
      <c r="A1" s="27" t="s">
        <v>72</v>
      </c>
      <c r="C1" s="47" t="s">
        <v>21</v>
      </c>
      <c r="D1" s="48"/>
      <c r="E1" s="49" t="s">
        <v>17</v>
      </c>
    </row>
    <row r="2" spans="1:19" x14ac:dyDescent="0.2">
      <c r="A2" s="6" t="str">
        <f>IF('Curve Header Data'!A1="","",'Curve Header Data'!A1)</f>
        <v>Flow:</v>
      </c>
      <c r="B2" s="40" t="s">
        <v>15</v>
      </c>
      <c r="C2" s="42" t="s">
        <v>18</v>
      </c>
      <c r="E2" s="43">
        <f>IF('Curve Header Data'!B1="USgpm",IF(B2="USgpm",1,1/C2),IF('Curve Header Data'!B1="m3/h",IF(B2="m3/h",1,C2)))</f>
        <v>0.22712470183002373</v>
      </c>
      <c r="F2" s="7" t="s">
        <v>4</v>
      </c>
      <c r="G2" s="61" t="s">
        <v>16</v>
      </c>
      <c r="H2" t="s">
        <v>19</v>
      </c>
      <c r="J2" s="27">
        <f>IF('Curve Header Data'!B2="ft",IF(G2="ft",1,1/H2),IF('Curve Header Data'!B2="m",IF(G2="m",1,H2)))</f>
        <v>0.30480000000000035</v>
      </c>
    </row>
    <row r="3" spans="1:19" x14ac:dyDescent="0.2">
      <c r="A3" s="8" t="str">
        <f>IF('Curve Header Data'!A4="","",'Curve Header Data'!A4)</f>
        <v>Diameter:</v>
      </c>
      <c r="B3" s="41" t="s">
        <v>14</v>
      </c>
      <c r="C3" s="44">
        <v>3.9370078740157501E-2</v>
      </c>
      <c r="D3" s="45" t="str">
        <f>IF('Curve Header Data'!D4="","",'Curve Header Data'!D4)</f>
        <v/>
      </c>
      <c r="E3" s="46">
        <f>IF('Curve Header Data'!B4="inch",IF(B3="inch",1,1/C3),IF('Curve Header Data'!B4="mm",IF(B3="mm",1,C3)))</f>
        <v>25.399999999999988</v>
      </c>
      <c r="F3" s="7" t="s">
        <v>25</v>
      </c>
      <c r="G3" s="5" t="s">
        <v>28</v>
      </c>
      <c r="H3" t="s">
        <v>27</v>
      </c>
      <c r="I3"/>
      <c r="J3">
        <f>IF('Curve Header Data'!B3="hp",IF(G3="hp",1,IF(G3="kW",1/H3)),IF('Curve Header Data'!B3="kW",IF(G3="kW",1,IF(G3="hp",H3))))</f>
        <v>0.74569999999999781</v>
      </c>
    </row>
    <row r="4" spans="1:19" x14ac:dyDescent="0.2">
      <c r="A4" s="28"/>
      <c r="B4" s="28"/>
      <c r="D4" s="28"/>
    </row>
    <row r="5" spans="1:19" x14ac:dyDescent="0.2">
      <c r="A5" s="6" t="s">
        <v>29</v>
      </c>
      <c r="B5" s="54" t="s">
        <v>53</v>
      </c>
      <c r="D5" s="28"/>
    </row>
    <row r="6" spans="1:19" x14ac:dyDescent="0.2">
      <c r="A6" s="8" t="s">
        <v>30</v>
      </c>
      <c r="B6" s="55" t="str">
        <f>'Curve Header Data'!B7</f>
        <v>VT</v>
      </c>
      <c r="D6" s="28"/>
    </row>
    <row r="7" spans="1:19" x14ac:dyDescent="0.2">
      <c r="A7" s="27" t="str">
        <f>IF('Curve Header Data'!A8="","",'Curve Header Data'!A8)</f>
        <v/>
      </c>
      <c r="B7" s="27" t="str">
        <f>IF('Curve Header Data'!B8="","",'Curve Header Data'!B8)</f>
        <v/>
      </c>
      <c r="E7" s="27" t="s">
        <v>64</v>
      </c>
      <c r="H7" s="27" t="s">
        <v>67</v>
      </c>
      <c r="I7" s="27" t="s">
        <v>66</v>
      </c>
      <c r="O7" s="27" t="s">
        <v>68</v>
      </c>
      <c r="P7" s="27" t="s">
        <v>69</v>
      </c>
      <c r="Q7" s="27" t="s">
        <v>65</v>
      </c>
      <c r="R7" s="27" t="s">
        <v>71</v>
      </c>
      <c r="S7" s="27" t="s">
        <v>70</v>
      </c>
    </row>
    <row r="8" spans="1:19" s="1" customFormat="1" ht="51" x14ac:dyDescent="0.2">
      <c r="A8" s="32" t="str">
        <f>IF('Curve Header Data'!A9="","",'Curve Header Data'!A9)</f>
        <v>Curve number</v>
      </c>
      <c r="B8" s="32" t="str">
        <f>IF('Curve Header Data'!C9="","",'Curve Header Data'!C9)</f>
        <v>Speed, data</v>
      </c>
      <c r="C8" s="32" t="str">
        <f>IF('Curve Header Data'!D9="","",'Curve Header Data'!D9)</f>
        <v>Poles</v>
      </c>
      <c r="D8" s="33" t="str">
        <f>IF('Curve Header Data'!E9="","",'Curve Header Data'!E9)</f>
        <v>Hz</v>
      </c>
      <c r="E8" s="34" t="str">
        <f>IF('Curve Header Data'!B9="","",'Curve Header Data'!B9)</f>
        <v>Revision number</v>
      </c>
      <c r="F8" s="32" t="str">
        <f>IF('Curve Header Data'!K9="","",'Curve Header Data'!K9)</f>
        <v>MCSF @ min impeller diameter</v>
      </c>
      <c r="G8" s="32" t="str">
        <f>IF('Curve Header Data'!L9="","",'Curve Header Data'!L9)</f>
        <v>MCSF @ max impeller diameter</v>
      </c>
      <c r="H8" s="32" t="str">
        <f>IF('Curve Header Data'!N9="","",'Curve Header Data'!N9)</f>
        <v>Number of impeller eyes</v>
      </c>
      <c r="I8" s="32" t="str">
        <f>IF('Curve Header Data'!O9="","",'Curve Header Data'!O9)</f>
        <v>Nss Increment</v>
      </c>
      <c r="J8" s="1" t="str">
        <f>IF('Curve Header Data'!M9="","",'Curve Header Data'!M9)</f>
        <v/>
      </c>
      <c r="K8" s="32" t="str">
        <f>IF('Curve Header Data'!G9="","",'Curve Header Data'!G9)</f>
        <v>Speed, nominal</v>
      </c>
      <c r="L8" s="32" t="str">
        <f>IF('Curve Header Data'!H9="","",'Curve Header Data'!H9)</f>
        <v>Speed, Min</v>
      </c>
      <c r="M8" s="32" t="str">
        <f>IF('Curve Header Data'!I9="","",'Curve Header Data'!I9)</f>
        <v>Speed, max</v>
      </c>
      <c r="N8" s="32" t="str">
        <f>IF('Curve Header Data'!J9="","",'Curve Header Data'!J9)</f>
        <v>Diameter increment</v>
      </c>
      <c r="O8" s="32" t="str">
        <f>IF('Curve Header Data'!S9="","",'Curve Header Data'!S9)</f>
        <v>Head margin for fixed diameter</v>
      </c>
      <c r="P8" s="32" t="str">
        <f>IF('Curve Header Data'!T9="","",'Curve Header Data'!T9)</f>
        <v>Fixed motor power</v>
      </c>
      <c r="Q8" s="32" t="str">
        <f>IF('Curve Header Data'!U9="","",'Curve Header Data'!U9)</f>
        <v>Fixed motor service factor</v>
      </c>
      <c r="R8" s="32" t="str">
        <f>IF('Curve Header Data'!V9="","",'Curve Header Data'!V9)</f>
        <v>Variable speed min limit</v>
      </c>
      <c r="S8" s="32" t="str">
        <f>IF('Curve Header Data'!W9="","",'Curve Header Data'!W9)</f>
        <v>ISO efficiency values</v>
      </c>
    </row>
    <row r="9" spans="1:19" s="1" customFormat="1" x14ac:dyDescent="0.2">
      <c r="A9" s="35" t="str">
        <f>IF('Curve Header Data'!A10="","",'Curve Header Data'!A10)</f>
        <v/>
      </c>
      <c r="B9" s="35" t="str">
        <f>IF('Curve Header Data'!C10="","",'Curve Header Data'!C10)</f>
        <v>rpm</v>
      </c>
      <c r="C9" s="35" t="str">
        <f>IF('Curve Header Data'!D10="","",'Curve Header Data'!D10)</f>
        <v/>
      </c>
      <c r="D9" s="36" t="str">
        <f>IF('Curve Header Data'!E10="","",'Curve Header Data'!E10)</f>
        <v>Hz</v>
      </c>
      <c r="E9" s="37" t="str">
        <f>IF('Curve Header Data'!B10="","",'Curve Header Data'!B10)</f>
        <v/>
      </c>
      <c r="F9" s="35" t="str">
        <f>B2</f>
        <v>m3/h</v>
      </c>
      <c r="G9" s="35" t="str">
        <f>B2</f>
        <v>m3/h</v>
      </c>
      <c r="H9" s="35" t="str">
        <f>IF('Curve Header Data'!N10="","",'Curve Header Data'!N10)</f>
        <v/>
      </c>
      <c r="I9" s="35" t="str">
        <f>IF('Curve Header Data'!O10="","",'Curve Header Data'!O10)</f>
        <v/>
      </c>
      <c r="J9" s="1" t="str">
        <f>IF('Curve Header Data'!M10="","",'Curve Header Data'!M10)</f>
        <v/>
      </c>
      <c r="K9" s="35" t="str">
        <f>IF('Curve Header Data'!G10="","",'Curve Header Data'!G10)</f>
        <v>rpm</v>
      </c>
      <c r="L9" s="35" t="str">
        <f>IF('Curve Header Data'!H10="","",'Curve Header Data'!H10)</f>
        <v>rpm</v>
      </c>
      <c r="M9" s="35" t="str">
        <f>IF('Curve Header Data'!I10="","",'Curve Header Data'!I10)</f>
        <v>rpm</v>
      </c>
      <c r="N9" s="35" t="str">
        <f>B3</f>
        <v>mm</v>
      </c>
      <c r="O9" s="35" t="str">
        <f>G2</f>
        <v>m</v>
      </c>
      <c r="P9" s="35" t="str">
        <f>G3</f>
        <v>kW</v>
      </c>
      <c r="Q9" s="35"/>
      <c r="R9" s="35" t="str">
        <f>IF('Curve Header Data'!V10="","",'Curve Header Data'!V10)</f>
        <v>rpm</v>
      </c>
      <c r="S9" s="35"/>
    </row>
    <row r="10" spans="1:19" x14ac:dyDescent="0.2">
      <c r="A10" s="38" t="str">
        <f>IF('Curve Header Data'!A11="","",'Curve Header Data'!A11)</f>
        <v/>
      </c>
      <c r="B10" s="38" t="str">
        <f>IF('Curve Header Data'!C11="","",'Curve Header Data'!C11)</f>
        <v/>
      </c>
      <c r="C10" s="38" t="str">
        <f>IF('Curve Header Data'!D11="","",'Curve Header Data'!D11)</f>
        <v/>
      </c>
      <c r="D10" s="38" t="str">
        <f>IF('Curve Header Data'!E11="","",'Curve Header Data'!E11)</f>
        <v/>
      </c>
      <c r="E10" s="38" t="str">
        <f>IF('Curve Header Data'!B11="","",'Curve Header Data'!B11)</f>
        <v/>
      </c>
      <c r="F10" s="38" t="str">
        <f>IF('Curve Header Data'!K11="","",'Curve Header Data'!K11*$E$2)</f>
        <v/>
      </c>
      <c r="G10" s="38" t="str">
        <f>IF('Curve Header Data'!L11="","",'Curve Header Data'!L11*$E$2)</f>
        <v/>
      </c>
      <c r="H10" s="38">
        <f>IF('Curve Header Data'!N11="","",'Curve Header Data'!N11)</f>
        <v>1</v>
      </c>
      <c r="I10" s="38">
        <f>IF('Curve Header Data'!O11="","",'Curve Header Data'!O11)</f>
        <v>5</v>
      </c>
      <c r="J10" s="27">
        <f>IF('Curve Header Data'!M11="","",'Curve Header Data'!M11)</f>
        <v>63</v>
      </c>
      <c r="K10" s="27" t="str">
        <f>IF('Curve Header Data'!G11="","",'Curve Header Data'!G11)</f>
        <v/>
      </c>
      <c r="L10" s="27" t="str">
        <f>IF('Curve Header Data'!H11="","",'Curve Header Data'!H11)</f>
        <v/>
      </c>
      <c r="M10" s="27" t="str">
        <f>IF('Curve Header Data'!I11="","",'Curve Header Data'!I11)</f>
        <v/>
      </c>
      <c r="N10" s="27" t="str">
        <f>IF('Curve Header Data'!J11="","",'Curve Header Data'!J11*$E$3)</f>
        <v/>
      </c>
      <c r="O10" s="27">
        <f>IF('Curve Header Data'!S11="","",'Curve Header Data'!S11*$J$2)</f>
        <v>0</v>
      </c>
      <c r="P10" s="27">
        <f>IF('Curve Header Data'!T11="","",'Curve Header Data'!T11*$J$3)</f>
        <v>0</v>
      </c>
      <c r="Q10" s="27" t="str">
        <f>IF('Curve Header Data'!U11="","",'Curve Header Data'!U11)</f>
        <v/>
      </c>
      <c r="R10" s="27" t="str">
        <f>IF('Curve Header Data'!V11="","",'Curve Header Data'!V11)</f>
        <v>0</v>
      </c>
      <c r="S10" s="27" t="str">
        <f>IF('Curve Header Data'!W11="","",'Curve Header Data'!W11)</f>
        <v/>
      </c>
    </row>
    <row r="11" spans="1:19" x14ac:dyDescent="0.2">
      <c r="A11" s="38" t="str">
        <f>IF('Curve Header Data'!A12="","",'Curve Header Data'!A12)</f>
        <v/>
      </c>
      <c r="B11" s="38" t="str">
        <f>IF('Curve Header Data'!C12="","",'Curve Header Data'!C12)</f>
        <v/>
      </c>
      <c r="C11" s="38" t="str">
        <f>IF('Curve Header Data'!D12="","",'Curve Header Data'!D12)</f>
        <v/>
      </c>
      <c r="D11" s="38" t="str">
        <f>IF('Curve Header Data'!E12="","",'Curve Header Data'!E12)</f>
        <v/>
      </c>
      <c r="E11" s="38" t="str">
        <f>IF('Curve Header Data'!B12="","",'Curve Header Data'!B12)</f>
        <v/>
      </c>
      <c r="F11" s="38" t="str">
        <f>IF('Curve Header Data'!K12="","",'Curve Header Data'!K12*$E$2)</f>
        <v/>
      </c>
      <c r="G11" s="38" t="str">
        <f>IF('Curve Header Data'!L12="","",'Curve Header Data'!L12*$E$2)</f>
        <v/>
      </c>
      <c r="H11" s="38">
        <f>IF('Curve Header Data'!N12="","",'Curve Header Data'!N12)</f>
        <v>1</v>
      </c>
      <c r="I11" s="38">
        <f>IF('Curve Header Data'!O12="","",'Curve Header Data'!O12)</f>
        <v>5</v>
      </c>
      <c r="J11" s="27" t="str">
        <f>IF('Curve Header Data'!M12="","",'Curve Header Data'!M12)</f>
        <v/>
      </c>
      <c r="K11" s="27" t="str">
        <f>IF('Curve Header Data'!G12="","",'Curve Header Data'!G12)</f>
        <v/>
      </c>
      <c r="L11" s="27" t="str">
        <f>IF('Curve Header Data'!H12="","",'Curve Header Data'!H12)</f>
        <v/>
      </c>
      <c r="M11" s="27" t="str">
        <f>IF('Curve Header Data'!I12="","",'Curve Header Data'!I12)</f>
        <v/>
      </c>
      <c r="N11" s="27" t="str">
        <f>IF('Curve Header Data'!J12="","",'Curve Header Data'!J12*$E$3)</f>
        <v/>
      </c>
      <c r="O11" s="27">
        <f>IF('Curve Header Data'!S12="","",'Curve Header Data'!S12*$J$2)</f>
        <v>0</v>
      </c>
      <c r="P11" s="27">
        <f>IF('Curve Header Data'!T12="","",'Curve Header Data'!T12*$J$3)</f>
        <v>0</v>
      </c>
      <c r="Q11" s="27" t="str">
        <f>IF('Curve Header Data'!U12="","",'Curve Header Data'!U12)</f>
        <v/>
      </c>
      <c r="R11" s="27" t="str">
        <f>IF('Curve Header Data'!V12="","",'Curve Header Data'!V12)</f>
        <v>0</v>
      </c>
      <c r="S11" s="27" t="str">
        <f>IF('Curve Header Data'!W12="","",'Curve Header Data'!W12)</f>
        <v/>
      </c>
    </row>
    <row r="12" spans="1:19" x14ac:dyDescent="0.2">
      <c r="A12" s="38" t="str">
        <f>IF('Curve Header Data'!A13="","",'Curve Header Data'!A13)</f>
        <v/>
      </c>
      <c r="B12" s="38" t="str">
        <f>IF('Curve Header Data'!C13="","",'Curve Header Data'!C13)</f>
        <v/>
      </c>
      <c r="C12" s="38" t="str">
        <f>IF('Curve Header Data'!D13="","",'Curve Header Data'!D13)</f>
        <v/>
      </c>
      <c r="D12" s="38" t="str">
        <f>IF('Curve Header Data'!E13="","",'Curve Header Data'!E13)</f>
        <v/>
      </c>
      <c r="E12" s="38" t="str">
        <f>IF('Curve Header Data'!B13="","",'Curve Header Data'!B13)</f>
        <v/>
      </c>
      <c r="F12" s="38" t="str">
        <f>IF('Curve Header Data'!K13="","",'Curve Header Data'!K13*$E$2)</f>
        <v/>
      </c>
      <c r="G12" s="38" t="str">
        <f>IF('Curve Header Data'!L13="","",'Curve Header Data'!L13*$E$2)</f>
        <v/>
      </c>
      <c r="H12" s="38">
        <f>IF('Curve Header Data'!N13="","",'Curve Header Data'!N13)</f>
        <v>1</v>
      </c>
      <c r="I12" s="38">
        <f>IF('Curve Header Data'!O13="","",'Curve Header Data'!O13)</f>
        <v>5</v>
      </c>
      <c r="J12" s="27" t="str">
        <f>IF('Curve Header Data'!M13="","",'Curve Header Data'!M13)</f>
        <v/>
      </c>
      <c r="K12" s="27" t="str">
        <f>IF('Curve Header Data'!G13="","",'Curve Header Data'!G13)</f>
        <v/>
      </c>
      <c r="L12" s="27" t="str">
        <f>IF('Curve Header Data'!H13="","",'Curve Header Data'!H13)</f>
        <v/>
      </c>
      <c r="M12" s="27" t="str">
        <f>IF('Curve Header Data'!I13="","",'Curve Header Data'!I13)</f>
        <v/>
      </c>
      <c r="N12" s="27" t="str">
        <f>IF('Curve Header Data'!J13="","",'Curve Header Data'!J13*$E$3)</f>
        <v/>
      </c>
      <c r="O12" s="27">
        <f>IF('Curve Header Data'!S13="","",'Curve Header Data'!S13*$J$2)</f>
        <v>0</v>
      </c>
      <c r="P12" s="27">
        <f>IF('Curve Header Data'!T13="","",'Curve Header Data'!T13*$J$3)</f>
        <v>0</v>
      </c>
      <c r="Q12" s="27" t="str">
        <f>IF('Curve Header Data'!U13="","",'Curve Header Data'!U13)</f>
        <v/>
      </c>
      <c r="R12" s="27" t="str">
        <f>IF('Curve Header Data'!V13="","",'Curve Header Data'!V13)</f>
        <v>0</v>
      </c>
      <c r="S12" s="27" t="str">
        <f>IF('Curve Header Data'!W13="","",'Curve Header Data'!W13)</f>
        <v/>
      </c>
    </row>
    <row r="13" spans="1:19" x14ac:dyDescent="0.2">
      <c r="A13" s="38" t="str">
        <f>IF('Curve Header Data'!A14="","",'Curve Header Data'!A14)</f>
        <v/>
      </c>
      <c r="B13" s="38" t="str">
        <f>IF('Curve Header Data'!C14="","",'Curve Header Data'!C14)</f>
        <v/>
      </c>
      <c r="C13" s="38" t="str">
        <f>IF('Curve Header Data'!D14="","",'Curve Header Data'!D14)</f>
        <v/>
      </c>
      <c r="D13" s="38" t="str">
        <f>IF('Curve Header Data'!E14="","",'Curve Header Data'!E14)</f>
        <v/>
      </c>
      <c r="E13" s="38" t="str">
        <f>IF('Curve Header Data'!B14="","",'Curve Header Data'!B14)</f>
        <v/>
      </c>
      <c r="F13" s="38" t="str">
        <f>IF('Curve Header Data'!K14="","",'Curve Header Data'!K14*$E$2)</f>
        <v/>
      </c>
      <c r="G13" s="38" t="str">
        <f>IF('Curve Header Data'!L14="","",'Curve Header Data'!L14*$E$2)</f>
        <v/>
      </c>
      <c r="H13" s="38">
        <f>IF('Curve Header Data'!N14="","",'Curve Header Data'!N14)</f>
        <v>1</v>
      </c>
      <c r="I13" s="38">
        <f>IF('Curve Header Data'!O14="","",'Curve Header Data'!O14)</f>
        <v>5</v>
      </c>
      <c r="J13" s="27" t="str">
        <f>IF('Curve Header Data'!M14="","",'Curve Header Data'!M14)</f>
        <v/>
      </c>
      <c r="K13" s="27" t="str">
        <f>IF('Curve Header Data'!G14="","",'Curve Header Data'!G14)</f>
        <v/>
      </c>
      <c r="L13" s="27" t="str">
        <f>IF('Curve Header Data'!H14="","",'Curve Header Data'!H14)</f>
        <v/>
      </c>
      <c r="M13" s="27" t="str">
        <f>IF('Curve Header Data'!I14="","",'Curve Header Data'!I14)</f>
        <v/>
      </c>
      <c r="N13" s="27" t="str">
        <f>IF('Curve Header Data'!J14="","",'Curve Header Data'!J14*$E$3)</f>
        <v/>
      </c>
      <c r="O13" s="27">
        <f>IF('Curve Header Data'!S14="","",'Curve Header Data'!S14*$J$2)</f>
        <v>0</v>
      </c>
      <c r="P13" s="27">
        <f>IF('Curve Header Data'!T14="","",'Curve Header Data'!T14*$J$3)</f>
        <v>0</v>
      </c>
      <c r="Q13" s="27" t="str">
        <f>IF('Curve Header Data'!U14="","",'Curve Header Data'!U14)</f>
        <v/>
      </c>
      <c r="R13" s="27" t="str">
        <f>IF('Curve Header Data'!V14="","",'Curve Header Data'!V14)</f>
        <v>0</v>
      </c>
      <c r="S13" s="27" t="str">
        <f>IF('Curve Header Data'!W14="","",'Curve Header Data'!W14)</f>
        <v/>
      </c>
    </row>
    <row r="14" spans="1:19" x14ac:dyDescent="0.2">
      <c r="A14" s="38" t="str">
        <f>IF('Curve Header Data'!A15="","",'Curve Header Data'!A15)</f>
        <v/>
      </c>
      <c r="B14" s="38" t="str">
        <f>IF('Curve Header Data'!C15="","",'Curve Header Data'!C15)</f>
        <v/>
      </c>
      <c r="C14" s="38" t="str">
        <f>IF('Curve Header Data'!D15="","",'Curve Header Data'!D15)</f>
        <v/>
      </c>
      <c r="D14" s="38" t="str">
        <f>IF('Curve Header Data'!E15="","",'Curve Header Data'!E15)</f>
        <v/>
      </c>
      <c r="E14" s="38" t="str">
        <f>IF('Curve Header Data'!B15="","",'Curve Header Data'!B15)</f>
        <v/>
      </c>
      <c r="F14" s="38" t="str">
        <f>IF('Curve Header Data'!K15="","",'Curve Header Data'!K15*$E$2)</f>
        <v/>
      </c>
      <c r="G14" s="38" t="str">
        <f>IF('Curve Header Data'!L15="","",'Curve Header Data'!L15*$E$2)</f>
        <v/>
      </c>
      <c r="H14" s="38">
        <f>IF('Curve Header Data'!N15="","",'Curve Header Data'!N15)</f>
        <v>1</v>
      </c>
      <c r="I14" s="38">
        <f>IF('Curve Header Data'!O15="","",'Curve Header Data'!O15)</f>
        <v>5</v>
      </c>
      <c r="J14" s="27" t="str">
        <f>IF('Curve Header Data'!M15="","",'Curve Header Data'!M15)</f>
        <v/>
      </c>
      <c r="K14" s="27" t="str">
        <f>IF('Curve Header Data'!G15="","",'Curve Header Data'!G15)</f>
        <v/>
      </c>
      <c r="L14" s="27" t="str">
        <f>IF('Curve Header Data'!H15="","",'Curve Header Data'!H15)</f>
        <v/>
      </c>
      <c r="M14" s="27" t="str">
        <f>IF('Curve Header Data'!I15="","",'Curve Header Data'!I15)</f>
        <v/>
      </c>
      <c r="N14" s="27" t="str">
        <f>IF('Curve Header Data'!J15="","",'Curve Header Data'!J15*$E$3)</f>
        <v/>
      </c>
      <c r="O14" s="27">
        <f>IF('Curve Header Data'!S15="","",'Curve Header Data'!S15*$J$2)</f>
        <v>0</v>
      </c>
      <c r="P14" s="27">
        <f>IF('Curve Header Data'!T15="","",'Curve Header Data'!T15*$J$3)</f>
        <v>0</v>
      </c>
      <c r="Q14" s="27" t="str">
        <f>IF('Curve Header Data'!U15="","",'Curve Header Data'!U15)</f>
        <v/>
      </c>
      <c r="R14" s="27" t="str">
        <f>IF('Curve Header Data'!V15="","",'Curve Header Data'!V15)</f>
        <v>0</v>
      </c>
      <c r="S14" s="27" t="str">
        <f>IF('Curve Header Data'!W15="","",'Curve Header Data'!W15)</f>
        <v/>
      </c>
    </row>
    <row r="15" spans="1:19" x14ac:dyDescent="0.2">
      <c r="A15" s="38" t="str">
        <f>IF('Curve Header Data'!A16="","",'Curve Header Data'!A16)</f>
        <v/>
      </c>
      <c r="B15" s="38" t="str">
        <f>IF('Curve Header Data'!C16="","",'Curve Header Data'!C16)</f>
        <v/>
      </c>
      <c r="C15" s="38" t="str">
        <f>IF('Curve Header Data'!D16="","",'Curve Header Data'!D16)</f>
        <v/>
      </c>
      <c r="D15" s="38" t="str">
        <f>IF('Curve Header Data'!E16="","",'Curve Header Data'!E16)</f>
        <v/>
      </c>
      <c r="E15" s="38" t="str">
        <f>IF('Curve Header Data'!B16="","",'Curve Header Data'!B16)</f>
        <v/>
      </c>
      <c r="F15" s="38" t="str">
        <f>IF('Curve Header Data'!K16="","",'Curve Header Data'!K16*$E$2)</f>
        <v/>
      </c>
      <c r="G15" s="38" t="str">
        <f>IF('Curve Header Data'!L16="","",'Curve Header Data'!L16*$E$2)</f>
        <v/>
      </c>
      <c r="H15" s="38">
        <f>IF('Curve Header Data'!N16="","",'Curve Header Data'!N16)</f>
        <v>1</v>
      </c>
      <c r="I15" s="38">
        <f>IF('Curve Header Data'!O16="","",'Curve Header Data'!O16)</f>
        <v>5</v>
      </c>
      <c r="J15" s="27" t="str">
        <f>IF('Curve Header Data'!M16="","",'Curve Header Data'!M16)</f>
        <v/>
      </c>
      <c r="K15" s="27" t="str">
        <f>IF('Curve Header Data'!G16="","",'Curve Header Data'!G16)</f>
        <v/>
      </c>
      <c r="L15" s="27" t="str">
        <f>IF('Curve Header Data'!H16="","",'Curve Header Data'!H16)</f>
        <v/>
      </c>
      <c r="M15" s="27" t="str">
        <f>IF('Curve Header Data'!I16="","",'Curve Header Data'!I16)</f>
        <v/>
      </c>
      <c r="N15" s="27" t="str">
        <f>IF('Curve Header Data'!J16="","",'Curve Header Data'!J16*$E$3)</f>
        <v/>
      </c>
      <c r="O15" s="27">
        <f>IF('Curve Header Data'!S16="","",'Curve Header Data'!S16*$J$2)</f>
        <v>0</v>
      </c>
      <c r="P15" s="27">
        <f>IF('Curve Header Data'!T16="","",'Curve Header Data'!T16*$J$3)</f>
        <v>0</v>
      </c>
      <c r="Q15" s="27" t="str">
        <f>IF('Curve Header Data'!U16="","",'Curve Header Data'!U16)</f>
        <v/>
      </c>
      <c r="R15" s="27" t="str">
        <f>IF('Curve Header Data'!V16="","",'Curve Header Data'!V16)</f>
        <v>0</v>
      </c>
      <c r="S15" s="27" t="str">
        <f>IF('Curve Header Data'!W16="","",'Curve Header Data'!W16)</f>
        <v/>
      </c>
    </row>
    <row r="16" spans="1:19" x14ac:dyDescent="0.2">
      <c r="A16" s="38" t="str">
        <f>IF('Curve Header Data'!A17="","",'Curve Header Data'!A17)</f>
        <v/>
      </c>
      <c r="B16" s="38" t="str">
        <f>IF('Curve Header Data'!C17="","",'Curve Header Data'!C17)</f>
        <v/>
      </c>
      <c r="C16" s="38" t="str">
        <f>IF('Curve Header Data'!D17="","",'Curve Header Data'!D17)</f>
        <v/>
      </c>
      <c r="D16" s="38" t="str">
        <f>IF('Curve Header Data'!E17="","",'Curve Header Data'!E17)</f>
        <v/>
      </c>
      <c r="E16" s="38" t="str">
        <f>IF('Curve Header Data'!B17="","",'Curve Header Data'!B17)</f>
        <v/>
      </c>
      <c r="F16" s="38" t="str">
        <f>IF('Curve Header Data'!K17="","",'Curve Header Data'!K17*$E$2)</f>
        <v/>
      </c>
      <c r="G16" s="38" t="str">
        <f>IF('Curve Header Data'!L17="","",'Curve Header Data'!L17*$E$2)</f>
        <v/>
      </c>
      <c r="H16" s="38">
        <f>IF('Curve Header Data'!N17="","",'Curve Header Data'!N17)</f>
        <v>1</v>
      </c>
      <c r="I16" s="38">
        <f>IF('Curve Header Data'!O17="","",'Curve Header Data'!O17)</f>
        <v>5</v>
      </c>
      <c r="J16" s="27" t="str">
        <f>IF('Curve Header Data'!M17="","",'Curve Header Data'!M17)</f>
        <v/>
      </c>
      <c r="K16" s="27" t="str">
        <f>IF('Curve Header Data'!G17="","",'Curve Header Data'!G17)</f>
        <v/>
      </c>
      <c r="L16" s="27" t="str">
        <f>IF('Curve Header Data'!H17="","",'Curve Header Data'!H17)</f>
        <v/>
      </c>
      <c r="M16" s="27" t="str">
        <f>IF('Curve Header Data'!I17="","",'Curve Header Data'!I17)</f>
        <v/>
      </c>
      <c r="N16" s="27" t="str">
        <f>IF('Curve Header Data'!J17="","",'Curve Header Data'!J17*$E$3)</f>
        <v/>
      </c>
      <c r="O16" s="27">
        <f>IF('Curve Header Data'!S17="","",'Curve Header Data'!S17*$J$2)</f>
        <v>0</v>
      </c>
      <c r="P16" s="27">
        <f>IF('Curve Header Data'!T17="","",'Curve Header Data'!T17*$J$3)</f>
        <v>0</v>
      </c>
      <c r="Q16" s="27" t="str">
        <f>IF('Curve Header Data'!U17="","",'Curve Header Data'!U17)</f>
        <v/>
      </c>
      <c r="R16" s="27" t="str">
        <f>IF('Curve Header Data'!V17="","",'Curve Header Data'!V17)</f>
        <v>0</v>
      </c>
      <c r="S16" s="27" t="str">
        <f>IF('Curve Header Data'!W17="","",'Curve Header Data'!W17)</f>
        <v/>
      </c>
    </row>
    <row r="17" spans="1:19" x14ac:dyDescent="0.2">
      <c r="A17" s="38" t="str">
        <f>IF('Curve Header Data'!A18="","",'Curve Header Data'!A18)</f>
        <v/>
      </c>
      <c r="B17" s="38" t="str">
        <f>IF('Curve Header Data'!C18="","",'Curve Header Data'!C18)</f>
        <v/>
      </c>
      <c r="C17" s="38" t="str">
        <f>IF('Curve Header Data'!D18="","",'Curve Header Data'!D18)</f>
        <v/>
      </c>
      <c r="D17" s="38" t="str">
        <f>IF('Curve Header Data'!E18="","",'Curve Header Data'!E18)</f>
        <v/>
      </c>
      <c r="E17" s="38" t="str">
        <f>IF('Curve Header Data'!B18="","",'Curve Header Data'!B18)</f>
        <v/>
      </c>
      <c r="F17" s="38" t="str">
        <f>IF('Curve Header Data'!K18="","",'Curve Header Data'!K18*$E$2)</f>
        <v/>
      </c>
      <c r="G17" s="38" t="str">
        <f>IF('Curve Header Data'!L18="","",'Curve Header Data'!L18*$E$2)</f>
        <v/>
      </c>
      <c r="H17" s="38">
        <f>IF('Curve Header Data'!N18="","",'Curve Header Data'!N18)</f>
        <v>1</v>
      </c>
      <c r="I17" s="38">
        <f>IF('Curve Header Data'!O18="","",'Curve Header Data'!O18)</f>
        <v>5</v>
      </c>
      <c r="J17" s="27" t="str">
        <f>IF('Curve Header Data'!M18="","",'Curve Header Data'!M18)</f>
        <v/>
      </c>
      <c r="K17" s="27" t="str">
        <f>IF('Curve Header Data'!G18="","",'Curve Header Data'!G18)</f>
        <v/>
      </c>
      <c r="L17" s="27" t="str">
        <f>IF('Curve Header Data'!H18="","",'Curve Header Data'!H18)</f>
        <v/>
      </c>
      <c r="M17" s="27" t="str">
        <f>IF('Curve Header Data'!I18="","",'Curve Header Data'!I18)</f>
        <v/>
      </c>
      <c r="N17" s="27" t="str">
        <f>IF('Curve Header Data'!J18="","",'Curve Header Data'!J18*$E$3)</f>
        <v/>
      </c>
      <c r="O17" s="27">
        <f>IF('Curve Header Data'!S18="","",'Curve Header Data'!S18*$J$2)</f>
        <v>0</v>
      </c>
      <c r="P17" s="27">
        <f>IF('Curve Header Data'!T18="","",'Curve Header Data'!T18*$J$3)</f>
        <v>0</v>
      </c>
      <c r="Q17" s="27" t="str">
        <f>IF('Curve Header Data'!U18="","",'Curve Header Data'!U18)</f>
        <v/>
      </c>
      <c r="R17" s="27" t="str">
        <f>IF('Curve Header Data'!V18="","",'Curve Header Data'!V18)</f>
        <v>0</v>
      </c>
      <c r="S17" s="27" t="str">
        <f>IF('Curve Header Data'!W18="","",'Curve Header Data'!W18)</f>
        <v/>
      </c>
    </row>
    <row r="18" spans="1:19" x14ac:dyDescent="0.2">
      <c r="A18" s="38" t="str">
        <f>IF('Curve Header Data'!A19="","",'Curve Header Data'!A19)</f>
        <v/>
      </c>
      <c r="B18" s="38" t="str">
        <f>IF('Curve Header Data'!C19="","",'Curve Header Data'!C19)</f>
        <v/>
      </c>
      <c r="C18" s="38" t="str">
        <f>IF('Curve Header Data'!D19="","",'Curve Header Data'!D19)</f>
        <v/>
      </c>
      <c r="D18" s="38" t="str">
        <f>IF('Curve Header Data'!E19="","",'Curve Header Data'!E19)</f>
        <v/>
      </c>
      <c r="E18" s="38" t="str">
        <f>IF('Curve Header Data'!B19="","",'Curve Header Data'!B19)</f>
        <v/>
      </c>
      <c r="F18" s="38" t="str">
        <f>IF('Curve Header Data'!K19="","",'Curve Header Data'!K19*$E$2)</f>
        <v/>
      </c>
      <c r="G18" s="38" t="str">
        <f>IF('Curve Header Data'!L19="","",'Curve Header Data'!L19*$E$2)</f>
        <v/>
      </c>
      <c r="H18" s="38">
        <f>IF('Curve Header Data'!N19="","",'Curve Header Data'!N19)</f>
        <v>1</v>
      </c>
      <c r="I18" s="38">
        <f>IF('Curve Header Data'!O19="","",'Curve Header Data'!O19)</f>
        <v>5</v>
      </c>
      <c r="J18" s="27" t="str">
        <f>IF('Curve Header Data'!M19="","",'Curve Header Data'!M19)</f>
        <v/>
      </c>
      <c r="K18" s="27" t="str">
        <f>IF('Curve Header Data'!G19="","",'Curve Header Data'!G19)</f>
        <v/>
      </c>
      <c r="L18" s="27" t="str">
        <f>IF('Curve Header Data'!H19="","",'Curve Header Data'!H19)</f>
        <v/>
      </c>
      <c r="M18" s="27" t="str">
        <f>IF('Curve Header Data'!I19="","",'Curve Header Data'!I19)</f>
        <v/>
      </c>
      <c r="N18" s="27" t="str">
        <f>IF('Curve Header Data'!J19="","",'Curve Header Data'!J19*$E$3)</f>
        <v/>
      </c>
      <c r="O18" s="27">
        <f>IF('Curve Header Data'!S19="","",'Curve Header Data'!S19*$J$2)</f>
        <v>0</v>
      </c>
      <c r="P18" s="27">
        <f>IF('Curve Header Data'!T19="","",'Curve Header Data'!T19*$J$3)</f>
        <v>0</v>
      </c>
      <c r="Q18" s="27" t="str">
        <f>IF('Curve Header Data'!U19="","",'Curve Header Data'!U19)</f>
        <v/>
      </c>
      <c r="R18" s="27" t="str">
        <f>IF('Curve Header Data'!V19="","",'Curve Header Data'!V19)</f>
        <v>0</v>
      </c>
      <c r="S18" s="27" t="str">
        <f>IF('Curve Header Data'!W19="","",'Curve Header Data'!W19)</f>
        <v/>
      </c>
    </row>
    <row r="19" spans="1:19" x14ac:dyDescent="0.2">
      <c r="A19" s="38" t="str">
        <f>IF('Curve Header Data'!A20="","",'Curve Header Data'!A20)</f>
        <v/>
      </c>
      <c r="B19" s="38" t="str">
        <f>IF('Curve Header Data'!C20="","",'Curve Header Data'!C20)</f>
        <v/>
      </c>
      <c r="C19" s="38" t="str">
        <f>IF('Curve Header Data'!D20="","",'Curve Header Data'!D20)</f>
        <v/>
      </c>
      <c r="D19" s="38" t="str">
        <f>IF('Curve Header Data'!E20="","",'Curve Header Data'!E20)</f>
        <v/>
      </c>
      <c r="E19" s="38" t="str">
        <f>IF('Curve Header Data'!B20="","",'Curve Header Data'!B20)</f>
        <v/>
      </c>
      <c r="F19" s="38" t="str">
        <f>IF('Curve Header Data'!K20="","",'Curve Header Data'!K20*$E$2)</f>
        <v/>
      </c>
      <c r="G19" s="38" t="str">
        <f>IF('Curve Header Data'!L20="","",'Curve Header Data'!L20*$E$2)</f>
        <v/>
      </c>
      <c r="H19" s="38">
        <f>IF('Curve Header Data'!N20="","",'Curve Header Data'!N20)</f>
        <v>1</v>
      </c>
      <c r="I19" s="38">
        <f>IF('Curve Header Data'!O20="","",'Curve Header Data'!O20)</f>
        <v>5</v>
      </c>
      <c r="J19" s="27" t="str">
        <f>IF('Curve Header Data'!M20="","",'Curve Header Data'!M20)</f>
        <v/>
      </c>
      <c r="K19" s="27" t="str">
        <f>IF('Curve Header Data'!G20="","",'Curve Header Data'!G20)</f>
        <v/>
      </c>
      <c r="L19" s="27" t="str">
        <f>IF('Curve Header Data'!H20="","",'Curve Header Data'!H20)</f>
        <v/>
      </c>
      <c r="M19" s="27" t="str">
        <f>IF('Curve Header Data'!I20="","",'Curve Header Data'!I20)</f>
        <v/>
      </c>
      <c r="N19" s="27" t="str">
        <f>IF('Curve Header Data'!J20="","",'Curve Header Data'!J20*$E$3)</f>
        <v/>
      </c>
      <c r="O19" s="27">
        <f>IF('Curve Header Data'!S20="","",'Curve Header Data'!S20*$J$2)</f>
        <v>0</v>
      </c>
      <c r="P19" s="27">
        <f>IF('Curve Header Data'!T20="","",'Curve Header Data'!T20*$J$3)</f>
        <v>0</v>
      </c>
      <c r="Q19" s="27" t="str">
        <f>IF('Curve Header Data'!U20="","",'Curve Header Data'!U20)</f>
        <v/>
      </c>
      <c r="R19" s="27" t="str">
        <f>IF('Curve Header Data'!V20="","",'Curve Header Data'!V20)</f>
        <v>0</v>
      </c>
      <c r="S19" s="27" t="str">
        <f>IF('Curve Header Data'!W20="","",'Curve Header Data'!W20)</f>
        <v/>
      </c>
    </row>
    <row r="20" spans="1:19" x14ac:dyDescent="0.2">
      <c r="A20" s="38" t="str">
        <f>IF('Curve Header Data'!A21="","",'Curve Header Data'!A21)</f>
        <v/>
      </c>
      <c r="B20" s="38" t="str">
        <f>IF('Curve Header Data'!C21="","",'Curve Header Data'!C21)</f>
        <v/>
      </c>
      <c r="C20" s="38" t="str">
        <f>IF('Curve Header Data'!D21="","",'Curve Header Data'!D21)</f>
        <v/>
      </c>
      <c r="D20" s="38" t="str">
        <f>IF('Curve Header Data'!E21="","",'Curve Header Data'!E21)</f>
        <v/>
      </c>
      <c r="E20" s="38" t="str">
        <f>IF('Curve Header Data'!B21="","",'Curve Header Data'!B21)</f>
        <v/>
      </c>
      <c r="F20" s="38" t="str">
        <f>IF('Curve Header Data'!K21="","",'Curve Header Data'!K21*$E$2)</f>
        <v/>
      </c>
      <c r="G20" s="38" t="str">
        <f>IF('Curve Header Data'!L21="","",'Curve Header Data'!L21*$E$2)</f>
        <v/>
      </c>
      <c r="H20" s="38">
        <f>IF('Curve Header Data'!N21="","",'Curve Header Data'!N21)</f>
        <v>1</v>
      </c>
      <c r="I20" s="38">
        <f>IF('Curve Header Data'!O21="","",'Curve Header Data'!O21)</f>
        <v>5</v>
      </c>
      <c r="J20" s="27" t="str">
        <f>IF('Curve Header Data'!M21="","",'Curve Header Data'!M21)</f>
        <v/>
      </c>
      <c r="K20" s="27" t="str">
        <f>IF('Curve Header Data'!G21="","",'Curve Header Data'!G21)</f>
        <v/>
      </c>
      <c r="L20" s="27" t="str">
        <f>IF('Curve Header Data'!H21="","",'Curve Header Data'!H21)</f>
        <v/>
      </c>
      <c r="M20" s="27" t="str">
        <f>IF('Curve Header Data'!I21="","",'Curve Header Data'!I21)</f>
        <v/>
      </c>
      <c r="N20" s="27" t="str">
        <f>IF('Curve Header Data'!J21="","",'Curve Header Data'!J21*$E$3)</f>
        <v/>
      </c>
      <c r="O20" s="27">
        <f>IF('Curve Header Data'!S21="","",'Curve Header Data'!S21*$J$2)</f>
        <v>0</v>
      </c>
      <c r="P20" s="27">
        <f>IF('Curve Header Data'!T21="","",'Curve Header Data'!T21*$J$3)</f>
        <v>0</v>
      </c>
      <c r="Q20" s="27" t="str">
        <f>IF('Curve Header Data'!U21="","",'Curve Header Data'!U21)</f>
        <v/>
      </c>
      <c r="R20" s="27" t="str">
        <f>IF('Curve Header Data'!V21="","",'Curve Header Data'!V21)</f>
        <v>0</v>
      </c>
      <c r="S20" s="27" t="str">
        <f>IF('Curve Header Data'!W21="","",'Curve Header Data'!W21)</f>
        <v/>
      </c>
    </row>
    <row r="21" spans="1:19" x14ac:dyDescent="0.2">
      <c r="A21" s="38" t="str">
        <f>IF('Curve Header Data'!A22="","",'Curve Header Data'!A22)</f>
        <v/>
      </c>
      <c r="B21" s="38" t="str">
        <f>IF('Curve Header Data'!C22="","",'Curve Header Data'!C22)</f>
        <v/>
      </c>
      <c r="C21" s="38" t="str">
        <f>IF('Curve Header Data'!D22="","",'Curve Header Data'!D22)</f>
        <v/>
      </c>
      <c r="D21" s="38" t="str">
        <f>IF('Curve Header Data'!E22="","",'Curve Header Data'!E22)</f>
        <v/>
      </c>
      <c r="E21" s="38" t="str">
        <f>IF('Curve Header Data'!B22="","",'Curve Header Data'!B22)</f>
        <v/>
      </c>
      <c r="F21" s="38" t="str">
        <f>IF('Curve Header Data'!K22="","",'Curve Header Data'!K22*$E$2)</f>
        <v/>
      </c>
      <c r="G21" s="38" t="str">
        <f>IF('Curve Header Data'!L22="","",'Curve Header Data'!L22*$E$2)</f>
        <v/>
      </c>
      <c r="H21" s="38">
        <f>IF('Curve Header Data'!N22="","",'Curve Header Data'!N22)</f>
        <v>1</v>
      </c>
      <c r="I21" s="38">
        <f>IF('Curve Header Data'!O22="","",'Curve Header Data'!O22)</f>
        <v>5</v>
      </c>
      <c r="J21" s="27" t="str">
        <f>IF('Curve Header Data'!M22="","",'Curve Header Data'!M22)</f>
        <v/>
      </c>
      <c r="K21" s="27" t="str">
        <f>IF('Curve Header Data'!G22="","",'Curve Header Data'!G22)</f>
        <v/>
      </c>
      <c r="L21" s="27" t="str">
        <f>IF('Curve Header Data'!H22="","",'Curve Header Data'!H22)</f>
        <v/>
      </c>
      <c r="M21" s="27" t="str">
        <f>IF('Curve Header Data'!I22="","",'Curve Header Data'!I22)</f>
        <v/>
      </c>
      <c r="N21" s="27" t="str">
        <f>IF('Curve Header Data'!J22="","",'Curve Header Data'!J22*$E$3)</f>
        <v/>
      </c>
      <c r="O21" s="27">
        <f>IF('Curve Header Data'!S22="","",'Curve Header Data'!S22*$J$2)</f>
        <v>0</v>
      </c>
      <c r="P21" s="27">
        <f>IF('Curve Header Data'!T22="","",'Curve Header Data'!T22*$J$3)</f>
        <v>0</v>
      </c>
      <c r="Q21" s="27" t="str">
        <f>IF('Curve Header Data'!U22="","",'Curve Header Data'!U22)</f>
        <v/>
      </c>
      <c r="R21" s="27" t="str">
        <f>IF('Curve Header Data'!V22="","",'Curve Header Data'!V22)</f>
        <v>0</v>
      </c>
      <c r="S21" s="27" t="str">
        <f>IF('Curve Header Data'!W22="","",'Curve Header Data'!W22)</f>
        <v/>
      </c>
    </row>
    <row r="22" spans="1:19" x14ac:dyDescent="0.2">
      <c r="A22" s="38" t="str">
        <f>IF('Curve Header Data'!A23="","",'Curve Header Data'!A23)</f>
        <v/>
      </c>
      <c r="B22" s="38" t="str">
        <f>IF('Curve Header Data'!C23="","",'Curve Header Data'!C23)</f>
        <v/>
      </c>
      <c r="C22" s="38" t="str">
        <f>IF('Curve Header Data'!D23="","",'Curve Header Data'!D23)</f>
        <v/>
      </c>
      <c r="D22" s="38" t="str">
        <f>IF('Curve Header Data'!E23="","",'Curve Header Data'!E23)</f>
        <v/>
      </c>
      <c r="E22" s="38" t="str">
        <f>IF('Curve Header Data'!B23="","",'Curve Header Data'!B23)</f>
        <v/>
      </c>
      <c r="F22" s="38" t="str">
        <f>IF('Curve Header Data'!K23="","",'Curve Header Data'!K23*$E$2)</f>
        <v/>
      </c>
      <c r="G22" s="38" t="str">
        <f>IF('Curve Header Data'!L23="","",'Curve Header Data'!L23*$E$2)</f>
        <v/>
      </c>
      <c r="H22" s="38">
        <f>IF('Curve Header Data'!N23="","",'Curve Header Data'!N23)</f>
        <v>1</v>
      </c>
      <c r="I22" s="38">
        <f>IF('Curve Header Data'!O23="","",'Curve Header Data'!O23)</f>
        <v>5</v>
      </c>
      <c r="J22" s="27" t="str">
        <f>IF('Curve Header Data'!M23="","",'Curve Header Data'!M23)</f>
        <v/>
      </c>
      <c r="K22" s="27" t="str">
        <f>IF('Curve Header Data'!G23="","",'Curve Header Data'!G23)</f>
        <v/>
      </c>
      <c r="L22" s="27" t="str">
        <f>IF('Curve Header Data'!H23="","",'Curve Header Data'!H23)</f>
        <v/>
      </c>
      <c r="M22" s="27" t="str">
        <f>IF('Curve Header Data'!I23="","",'Curve Header Data'!I23)</f>
        <v/>
      </c>
      <c r="N22" s="27" t="str">
        <f>IF('Curve Header Data'!J23="","",'Curve Header Data'!J23*$E$3)</f>
        <v/>
      </c>
      <c r="O22" s="27">
        <f>IF('Curve Header Data'!S23="","",'Curve Header Data'!S23*$J$2)</f>
        <v>0</v>
      </c>
      <c r="P22" s="27">
        <f>IF('Curve Header Data'!T23="","",'Curve Header Data'!T23*$J$3)</f>
        <v>0</v>
      </c>
      <c r="Q22" s="27" t="str">
        <f>IF('Curve Header Data'!U23="","",'Curve Header Data'!U23)</f>
        <v/>
      </c>
      <c r="R22" s="27" t="str">
        <f>IF('Curve Header Data'!V23="","",'Curve Header Data'!V23)</f>
        <v>0</v>
      </c>
      <c r="S22" s="27" t="str">
        <f>IF('Curve Header Data'!W23="","",'Curve Header Data'!W23)</f>
        <v/>
      </c>
    </row>
    <row r="23" spans="1:19" x14ac:dyDescent="0.2">
      <c r="A23" s="38" t="str">
        <f>IF('Curve Header Data'!A24="","",'Curve Header Data'!A24)</f>
        <v/>
      </c>
      <c r="B23" s="38" t="str">
        <f>IF('Curve Header Data'!C24="","",'Curve Header Data'!C24)</f>
        <v/>
      </c>
      <c r="C23" s="38" t="str">
        <f>IF('Curve Header Data'!D24="","",'Curve Header Data'!D24)</f>
        <v/>
      </c>
      <c r="D23" s="38" t="str">
        <f>IF('Curve Header Data'!E24="","",'Curve Header Data'!E24)</f>
        <v/>
      </c>
      <c r="E23" s="38" t="str">
        <f>IF('Curve Header Data'!B24="","",'Curve Header Data'!B24)</f>
        <v/>
      </c>
      <c r="F23" s="38" t="str">
        <f>IF('Curve Header Data'!K24="","",'Curve Header Data'!K24*$E$2)</f>
        <v/>
      </c>
      <c r="G23" s="38" t="str">
        <f>IF('Curve Header Data'!L24="","",'Curve Header Data'!L24*$E$2)</f>
        <v/>
      </c>
      <c r="H23" s="38">
        <f>IF('Curve Header Data'!N24="","",'Curve Header Data'!N24)</f>
        <v>1</v>
      </c>
      <c r="I23" s="38">
        <f>IF('Curve Header Data'!O24="","",'Curve Header Data'!O24)</f>
        <v>5</v>
      </c>
      <c r="J23" s="27" t="str">
        <f>IF('Curve Header Data'!M24="","",'Curve Header Data'!M24)</f>
        <v/>
      </c>
      <c r="K23" s="27" t="str">
        <f>IF('Curve Header Data'!G24="","",'Curve Header Data'!G24)</f>
        <v/>
      </c>
      <c r="L23" s="27" t="str">
        <f>IF('Curve Header Data'!H24="","",'Curve Header Data'!H24)</f>
        <v/>
      </c>
      <c r="M23" s="27" t="str">
        <f>IF('Curve Header Data'!I24="","",'Curve Header Data'!I24)</f>
        <v/>
      </c>
      <c r="N23" s="27" t="str">
        <f>IF('Curve Header Data'!J24="","",'Curve Header Data'!J24*$E$3)</f>
        <v/>
      </c>
      <c r="O23" s="27">
        <f>IF('Curve Header Data'!S24="","",'Curve Header Data'!S24*$J$2)</f>
        <v>0</v>
      </c>
      <c r="P23" s="27">
        <f>IF('Curve Header Data'!T24="","",'Curve Header Data'!T24*$J$3)</f>
        <v>0</v>
      </c>
      <c r="Q23" s="27" t="str">
        <f>IF('Curve Header Data'!U24="","",'Curve Header Data'!U24)</f>
        <v/>
      </c>
      <c r="R23" s="27" t="str">
        <f>IF('Curve Header Data'!V24="","",'Curve Header Data'!V24)</f>
        <v>0</v>
      </c>
      <c r="S23" s="27" t="str">
        <f>IF('Curve Header Data'!W24="","",'Curve Header Data'!W24)</f>
        <v/>
      </c>
    </row>
    <row r="24" spans="1:19" x14ac:dyDescent="0.2">
      <c r="A24" s="38" t="str">
        <f>IF('Curve Header Data'!A25="","",'Curve Header Data'!A25)</f>
        <v/>
      </c>
      <c r="B24" s="38" t="str">
        <f>IF('Curve Header Data'!C25="","",'Curve Header Data'!C25)</f>
        <v/>
      </c>
      <c r="C24" s="38" t="str">
        <f>IF('Curve Header Data'!D25="","",'Curve Header Data'!D25)</f>
        <v/>
      </c>
      <c r="D24" s="38" t="str">
        <f>IF('Curve Header Data'!E25="","",'Curve Header Data'!E25)</f>
        <v/>
      </c>
      <c r="E24" s="38" t="str">
        <f>IF('Curve Header Data'!B25="","",'Curve Header Data'!B25)</f>
        <v/>
      </c>
      <c r="F24" s="38" t="str">
        <f>IF('Curve Header Data'!K25="","",'Curve Header Data'!K25*$E$2)</f>
        <v/>
      </c>
      <c r="G24" s="38" t="str">
        <f>IF('Curve Header Data'!L25="","",'Curve Header Data'!L25*$E$2)</f>
        <v/>
      </c>
      <c r="H24" s="38">
        <f>IF('Curve Header Data'!N25="","",'Curve Header Data'!N25)</f>
        <v>1</v>
      </c>
      <c r="I24" s="38">
        <f>IF('Curve Header Data'!O25="","",'Curve Header Data'!O25)</f>
        <v>5</v>
      </c>
      <c r="J24" s="27" t="str">
        <f>IF('Curve Header Data'!M25="","",'Curve Header Data'!M25)</f>
        <v/>
      </c>
      <c r="K24" s="27" t="str">
        <f>IF('Curve Header Data'!G25="","",'Curve Header Data'!G25)</f>
        <v/>
      </c>
      <c r="L24" s="27" t="str">
        <f>IF('Curve Header Data'!H25="","",'Curve Header Data'!H25)</f>
        <v/>
      </c>
      <c r="M24" s="27" t="str">
        <f>IF('Curve Header Data'!I25="","",'Curve Header Data'!I25)</f>
        <v/>
      </c>
      <c r="N24" s="27" t="str">
        <f>IF('Curve Header Data'!J25="","",'Curve Header Data'!J25*$E$3)</f>
        <v/>
      </c>
      <c r="O24" s="27">
        <f>IF('Curve Header Data'!S25="","",'Curve Header Data'!S25*$J$2)</f>
        <v>0</v>
      </c>
      <c r="P24" s="27">
        <f>IF('Curve Header Data'!T25="","",'Curve Header Data'!T25*$J$3)</f>
        <v>0</v>
      </c>
      <c r="Q24" s="27" t="str">
        <f>IF('Curve Header Data'!U25="","",'Curve Header Data'!U25)</f>
        <v/>
      </c>
      <c r="R24" s="27" t="str">
        <f>IF('Curve Header Data'!V25="","",'Curve Header Data'!V25)</f>
        <v>0</v>
      </c>
      <c r="S24" s="27" t="str">
        <f>IF('Curve Header Data'!W25="","",'Curve Header Data'!W25)</f>
        <v/>
      </c>
    </row>
    <row r="25" spans="1:19" x14ac:dyDescent="0.2">
      <c r="A25" s="38" t="str">
        <f>IF('Curve Header Data'!A26="","",'Curve Header Data'!A26)</f>
        <v/>
      </c>
      <c r="B25" s="38" t="str">
        <f>IF('Curve Header Data'!C26="","",'Curve Header Data'!C26)</f>
        <v/>
      </c>
      <c r="C25" s="38" t="str">
        <f>IF('Curve Header Data'!D26="","",'Curve Header Data'!D26)</f>
        <v/>
      </c>
      <c r="D25" s="38" t="str">
        <f>IF('Curve Header Data'!E26="","",'Curve Header Data'!E26)</f>
        <v/>
      </c>
      <c r="E25" s="38" t="str">
        <f>IF('Curve Header Data'!B26="","",'Curve Header Data'!B26)</f>
        <v/>
      </c>
      <c r="F25" s="38" t="str">
        <f>IF('Curve Header Data'!K26="","",'Curve Header Data'!K26*$E$2)</f>
        <v/>
      </c>
      <c r="G25" s="38" t="str">
        <f>IF('Curve Header Data'!L26="","",'Curve Header Data'!L26*$E$2)</f>
        <v/>
      </c>
      <c r="H25" s="38">
        <f>IF('Curve Header Data'!N26="","",'Curve Header Data'!N26)</f>
        <v>1</v>
      </c>
      <c r="I25" s="38">
        <f>IF('Curve Header Data'!O26="","",'Curve Header Data'!O26)</f>
        <v>5</v>
      </c>
      <c r="J25" s="27" t="str">
        <f>IF('Curve Header Data'!M26="","",'Curve Header Data'!M26)</f>
        <v/>
      </c>
      <c r="K25" s="27" t="str">
        <f>IF('Curve Header Data'!G26="","",'Curve Header Data'!G26)</f>
        <v/>
      </c>
      <c r="L25" s="27" t="str">
        <f>IF('Curve Header Data'!H26="","",'Curve Header Data'!H26)</f>
        <v/>
      </c>
      <c r="M25" s="27" t="str">
        <f>IF('Curve Header Data'!I26="","",'Curve Header Data'!I26)</f>
        <v/>
      </c>
      <c r="N25" s="27" t="str">
        <f>IF('Curve Header Data'!J26="","",'Curve Header Data'!J26*$E$3)</f>
        <v/>
      </c>
      <c r="O25" s="27">
        <f>IF('Curve Header Data'!S26="","",'Curve Header Data'!S26*$J$2)</f>
        <v>0</v>
      </c>
      <c r="P25" s="27">
        <f>IF('Curve Header Data'!T26="","",'Curve Header Data'!T26*$J$3)</f>
        <v>0</v>
      </c>
      <c r="Q25" s="27" t="str">
        <f>IF('Curve Header Data'!U26="","",'Curve Header Data'!U26)</f>
        <v/>
      </c>
      <c r="R25" s="27" t="str">
        <f>IF('Curve Header Data'!V26="","",'Curve Header Data'!V26)</f>
        <v>0</v>
      </c>
      <c r="S25" s="27" t="str">
        <f>IF('Curve Header Data'!W26="","",'Curve Header Data'!W26)</f>
        <v/>
      </c>
    </row>
    <row r="26" spans="1:19" x14ac:dyDescent="0.2">
      <c r="A26" s="38" t="str">
        <f>IF('Curve Header Data'!A27="","",'Curve Header Data'!A27)</f>
        <v/>
      </c>
      <c r="B26" s="38" t="str">
        <f>IF('Curve Header Data'!C27="","",'Curve Header Data'!C27)</f>
        <v/>
      </c>
      <c r="C26" s="38" t="str">
        <f>IF('Curve Header Data'!D27="","",'Curve Header Data'!D27)</f>
        <v/>
      </c>
      <c r="D26" s="38" t="str">
        <f>IF('Curve Header Data'!E27="","",'Curve Header Data'!E27)</f>
        <v/>
      </c>
      <c r="E26" s="38" t="str">
        <f>IF('Curve Header Data'!B27="","",'Curve Header Data'!B27)</f>
        <v/>
      </c>
      <c r="F26" s="38" t="str">
        <f>IF('Curve Header Data'!K27="","",'Curve Header Data'!K27*$E$2)</f>
        <v/>
      </c>
      <c r="G26" s="38" t="str">
        <f>IF('Curve Header Data'!L27="","",'Curve Header Data'!L27*$E$2)</f>
        <v/>
      </c>
      <c r="H26" s="38">
        <f>IF('Curve Header Data'!N27="","",'Curve Header Data'!N27)</f>
        <v>1</v>
      </c>
      <c r="I26" s="38">
        <f>IF('Curve Header Data'!O27="","",'Curve Header Data'!O27)</f>
        <v>5</v>
      </c>
      <c r="J26" s="27" t="str">
        <f>IF('Curve Header Data'!M27="","",'Curve Header Data'!M27)</f>
        <v/>
      </c>
      <c r="K26" s="27" t="str">
        <f>IF('Curve Header Data'!G27="","",'Curve Header Data'!G27)</f>
        <v/>
      </c>
      <c r="L26" s="27" t="str">
        <f>IF('Curve Header Data'!H27="","",'Curve Header Data'!H27)</f>
        <v/>
      </c>
      <c r="M26" s="27" t="str">
        <f>IF('Curve Header Data'!I27="","",'Curve Header Data'!I27)</f>
        <v/>
      </c>
      <c r="N26" s="27" t="str">
        <f>IF('Curve Header Data'!J27="","",'Curve Header Data'!J27*$E$3)</f>
        <v/>
      </c>
      <c r="O26" s="27">
        <f>IF('Curve Header Data'!S27="","",'Curve Header Data'!S27*$J$2)</f>
        <v>0</v>
      </c>
      <c r="P26" s="27">
        <f>IF('Curve Header Data'!T27="","",'Curve Header Data'!T27*$J$3)</f>
        <v>0</v>
      </c>
      <c r="Q26" s="27" t="str">
        <f>IF('Curve Header Data'!U27="","",'Curve Header Data'!U27)</f>
        <v/>
      </c>
      <c r="R26" s="27" t="str">
        <f>IF('Curve Header Data'!V27="","",'Curve Header Data'!V27)</f>
        <v>0</v>
      </c>
      <c r="S26" s="27" t="str">
        <f>IF('Curve Header Data'!W27="","",'Curve Header Data'!W27)</f>
        <v/>
      </c>
    </row>
    <row r="27" spans="1:19" x14ac:dyDescent="0.2">
      <c r="A27" s="38" t="str">
        <f>IF('Curve Header Data'!A28="","",'Curve Header Data'!A28)</f>
        <v/>
      </c>
      <c r="B27" s="38" t="str">
        <f>IF('Curve Header Data'!C28="","",'Curve Header Data'!C28)</f>
        <v/>
      </c>
      <c r="C27" s="38" t="str">
        <f>IF('Curve Header Data'!D28="","",'Curve Header Data'!D28)</f>
        <v/>
      </c>
      <c r="D27" s="38" t="str">
        <f>IF('Curve Header Data'!E28="","",'Curve Header Data'!E28)</f>
        <v/>
      </c>
      <c r="E27" s="38" t="str">
        <f>IF('Curve Header Data'!B28="","",'Curve Header Data'!B28)</f>
        <v/>
      </c>
      <c r="F27" s="38" t="str">
        <f>IF('Curve Header Data'!K28="","",'Curve Header Data'!K28*$E$2)</f>
        <v/>
      </c>
      <c r="G27" s="38" t="str">
        <f>IF('Curve Header Data'!L28="","",'Curve Header Data'!L28*$E$2)</f>
        <v/>
      </c>
      <c r="H27" s="38">
        <f>IF('Curve Header Data'!N28="","",'Curve Header Data'!N28)</f>
        <v>1</v>
      </c>
      <c r="I27" s="38">
        <f>IF('Curve Header Data'!O28="","",'Curve Header Data'!O28)</f>
        <v>5</v>
      </c>
      <c r="J27" s="27" t="str">
        <f>IF('Curve Header Data'!M28="","",'Curve Header Data'!M28)</f>
        <v/>
      </c>
      <c r="K27" s="27" t="str">
        <f>IF('Curve Header Data'!G28="","",'Curve Header Data'!G28)</f>
        <v/>
      </c>
      <c r="L27" s="27" t="str">
        <f>IF('Curve Header Data'!H28="","",'Curve Header Data'!H28)</f>
        <v/>
      </c>
      <c r="M27" s="27" t="str">
        <f>IF('Curve Header Data'!I28="","",'Curve Header Data'!I28)</f>
        <v/>
      </c>
      <c r="N27" s="27" t="str">
        <f>IF('Curve Header Data'!J28="","",'Curve Header Data'!J28*$E$3)</f>
        <v/>
      </c>
      <c r="O27" s="27">
        <f>IF('Curve Header Data'!S28="","",'Curve Header Data'!S28*$J$2)</f>
        <v>0</v>
      </c>
      <c r="P27" s="27">
        <f>IF('Curve Header Data'!T28="","",'Curve Header Data'!T28*$J$3)</f>
        <v>0</v>
      </c>
      <c r="Q27" s="27" t="str">
        <f>IF('Curve Header Data'!U28="","",'Curve Header Data'!U28)</f>
        <v/>
      </c>
      <c r="R27" s="27" t="str">
        <f>IF('Curve Header Data'!V28="","",'Curve Header Data'!V28)</f>
        <v>0</v>
      </c>
      <c r="S27" s="27" t="str">
        <f>IF('Curve Header Data'!W28="","",'Curve Header Data'!W28)</f>
        <v/>
      </c>
    </row>
    <row r="28" spans="1:19" x14ac:dyDescent="0.2">
      <c r="A28" s="38" t="str">
        <f>IF('Curve Header Data'!A29="","",'Curve Header Data'!A29)</f>
        <v/>
      </c>
      <c r="B28" s="38" t="str">
        <f>IF('Curve Header Data'!C29="","",'Curve Header Data'!C29)</f>
        <v/>
      </c>
      <c r="C28" s="38" t="str">
        <f>IF('Curve Header Data'!D29="","",'Curve Header Data'!D29)</f>
        <v/>
      </c>
      <c r="D28" s="38" t="str">
        <f>IF('Curve Header Data'!E29="","",'Curve Header Data'!E29)</f>
        <v/>
      </c>
      <c r="E28" s="38" t="str">
        <f>IF('Curve Header Data'!B29="","",'Curve Header Data'!B29)</f>
        <v/>
      </c>
      <c r="F28" s="38" t="str">
        <f>IF('Curve Header Data'!K29="","",'Curve Header Data'!K29*$E$2)</f>
        <v/>
      </c>
      <c r="G28" s="38" t="str">
        <f>IF('Curve Header Data'!L29="","",'Curve Header Data'!L29*$E$2)</f>
        <v/>
      </c>
      <c r="H28" s="38">
        <f>IF('Curve Header Data'!N29="","",'Curve Header Data'!N29)</f>
        <v>1</v>
      </c>
      <c r="I28" s="38">
        <f>IF('Curve Header Data'!O29="","",'Curve Header Data'!O29)</f>
        <v>5</v>
      </c>
      <c r="J28" s="27" t="str">
        <f>IF('Curve Header Data'!M29="","",'Curve Header Data'!M29)</f>
        <v/>
      </c>
      <c r="K28" s="27" t="str">
        <f>IF('Curve Header Data'!G29="","",'Curve Header Data'!G29)</f>
        <v/>
      </c>
      <c r="L28" s="27" t="str">
        <f>IF('Curve Header Data'!H29="","",'Curve Header Data'!H29)</f>
        <v/>
      </c>
      <c r="M28" s="27" t="str">
        <f>IF('Curve Header Data'!I29="","",'Curve Header Data'!I29)</f>
        <v/>
      </c>
      <c r="N28" s="27" t="str">
        <f>IF('Curve Header Data'!J29="","",'Curve Header Data'!J29*$E$3)</f>
        <v/>
      </c>
      <c r="O28" s="27">
        <f>IF('Curve Header Data'!S29="","",'Curve Header Data'!S29*$J$2)</f>
        <v>0</v>
      </c>
      <c r="P28" s="27">
        <f>IF('Curve Header Data'!T29="","",'Curve Header Data'!T29*$J$3)</f>
        <v>0</v>
      </c>
      <c r="Q28" s="27" t="str">
        <f>IF('Curve Header Data'!U29="","",'Curve Header Data'!U29)</f>
        <v/>
      </c>
      <c r="R28" s="27" t="str">
        <f>IF('Curve Header Data'!V29="","",'Curve Header Data'!V29)</f>
        <v>0</v>
      </c>
      <c r="S28" s="27" t="str">
        <f>IF('Curve Header Data'!W29="","",'Curve Header Data'!W29)</f>
        <v/>
      </c>
    </row>
    <row r="29" spans="1:19" x14ac:dyDescent="0.2">
      <c r="A29" s="38" t="str">
        <f>IF('Curve Header Data'!A30="","",'Curve Header Data'!A30)</f>
        <v/>
      </c>
      <c r="B29" s="38" t="str">
        <f>IF('Curve Header Data'!C30="","",'Curve Header Data'!C30)</f>
        <v/>
      </c>
      <c r="C29" s="38" t="str">
        <f>IF('Curve Header Data'!D30="","",'Curve Header Data'!D30)</f>
        <v/>
      </c>
      <c r="D29" s="38" t="str">
        <f>IF('Curve Header Data'!E30="","",'Curve Header Data'!E30)</f>
        <v/>
      </c>
      <c r="E29" s="38" t="str">
        <f>IF('Curve Header Data'!B30="","",'Curve Header Data'!B30)</f>
        <v/>
      </c>
      <c r="F29" s="38" t="str">
        <f>IF('Curve Header Data'!K30="","",'Curve Header Data'!K30*$E$2)</f>
        <v/>
      </c>
      <c r="G29" s="38" t="str">
        <f>IF('Curve Header Data'!L30="","",'Curve Header Data'!L30*$E$2)</f>
        <v/>
      </c>
      <c r="H29" s="38">
        <f>IF('Curve Header Data'!N30="","",'Curve Header Data'!N30)</f>
        <v>1</v>
      </c>
      <c r="I29" s="38">
        <f>IF('Curve Header Data'!O30="","",'Curve Header Data'!O30)</f>
        <v>5</v>
      </c>
      <c r="J29" s="27" t="str">
        <f>IF('Curve Header Data'!M30="","",'Curve Header Data'!M30)</f>
        <v/>
      </c>
      <c r="K29" s="27" t="str">
        <f>IF('Curve Header Data'!G30="","",'Curve Header Data'!G30)</f>
        <v/>
      </c>
      <c r="L29" s="27" t="str">
        <f>IF('Curve Header Data'!H30="","",'Curve Header Data'!H30)</f>
        <v/>
      </c>
      <c r="M29" s="27" t="str">
        <f>IF('Curve Header Data'!I30="","",'Curve Header Data'!I30)</f>
        <v/>
      </c>
      <c r="N29" s="27" t="str">
        <f>IF('Curve Header Data'!J30="","",'Curve Header Data'!J30*$E$3)</f>
        <v/>
      </c>
      <c r="O29" s="27">
        <f>IF('Curve Header Data'!S30="","",'Curve Header Data'!S30*$J$2)</f>
        <v>0</v>
      </c>
      <c r="P29" s="27">
        <f>IF('Curve Header Data'!T30="","",'Curve Header Data'!T30*$J$3)</f>
        <v>0</v>
      </c>
      <c r="Q29" s="27" t="str">
        <f>IF('Curve Header Data'!U30="","",'Curve Header Data'!U30)</f>
        <v/>
      </c>
      <c r="R29" s="27" t="str">
        <f>IF('Curve Header Data'!V30="","",'Curve Header Data'!V30)</f>
        <v>0</v>
      </c>
      <c r="S29" s="27" t="str">
        <f>IF('Curve Header Data'!W30="","",'Curve Header Data'!W30)</f>
        <v/>
      </c>
    </row>
    <row r="30" spans="1:19" x14ac:dyDescent="0.2">
      <c r="A30" s="38" t="str">
        <f>IF('Curve Header Data'!A31="","",'Curve Header Data'!A31)</f>
        <v/>
      </c>
      <c r="B30" s="38" t="str">
        <f>IF('Curve Header Data'!C31="","",'Curve Header Data'!C31)</f>
        <v/>
      </c>
      <c r="C30" s="38" t="str">
        <f>IF('Curve Header Data'!D31="","",'Curve Header Data'!D31)</f>
        <v/>
      </c>
      <c r="D30" s="38" t="str">
        <f>IF('Curve Header Data'!E31="","",'Curve Header Data'!E31)</f>
        <v/>
      </c>
      <c r="E30" s="38" t="str">
        <f>IF('Curve Header Data'!B31="","",'Curve Header Data'!B31)</f>
        <v/>
      </c>
      <c r="F30" s="38" t="str">
        <f>IF('Curve Header Data'!K31="","",'Curve Header Data'!K31*$E$2)</f>
        <v/>
      </c>
      <c r="G30" s="38" t="str">
        <f>IF('Curve Header Data'!L31="","",'Curve Header Data'!L31*$E$2)</f>
        <v/>
      </c>
      <c r="H30" s="38">
        <f>IF('Curve Header Data'!N31="","",'Curve Header Data'!N31)</f>
        <v>1</v>
      </c>
      <c r="I30" s="38">
        <f>IF('Curve Header Data'!O31="","",'Curve Header Data'!O31)</f>
        <v>5</v>
      </c>
      <c r="J30" s="27" t="str">
        <f>IF('Curve Header Data'!M31="","",'Curve Header Data'!M31)</f>
        <v/>
      </c>
      <c r="K30" s="27" t="str">
        <f>IF('Curve Header Data'!G31="","",'Curve Header Data'!G31)</f>
        <v/>
      </c>
      <c r="L30" s="27" t="str">
        <f>IF('Curve Header Data'!H31="","",'Curve Header Data'!H31)</f>
        <v/>
      </c>
      <c r="M30" s="27" t="str">
        <f>IF('Curve Header Data'!I31="","",'Curve Header Data'!I31)</f>
        <v/>
      </c>
      <c r="N30" s="27" t="str">
        <f>IF('Curve Header Data'!J31="","",'Curve Header Data'!J31*$E$3)</f>
        <v/>
      </c>
      <c r="O30" s="27">
        <f>IF('Curve Header Data'!S31="","",'Curve Header Data'!S31*$J$2)</f>
        <v>0</v>
      </c>
      <c r="P30" s="27">
        <f>IF('Curve Header Data'!T31="","",'Curve Header Data'!T31*$J$3)</f>
        <v>0</v>
      </c>
      <c r="Q30" s="27" t="str">
        <f>IF('Curve Header Data'!U31="","",'Curve Header Data'!U31)</f>
        <v/>
      </c>
      <c r="R30" s="27" t="str">
        <f>IF('Curve Header Data'!V31="","",'Curve Header Data'!V31)</f>
        <v>0</v>
      </c>
      <c r="S30" s="27" t="str">
        <f>IF('Curve Header Data'!W31="","",'Curve Header Data'!W31)</f>
        <v/>
      </c>
    </row>
    <row r="31" spans="1:19" x14ac:dyDescent="0.2">
      <c r="A31" s="38" t="str">
        <f>IF('Curve Header Data'!A32="","",'Curve Header Data'!A32)</f>
        <v/>
      </c>
      <c r="B31" s="38" t="str">
        <f>IF('Curve Header Data'!C32="","",'Curve Header Data'!C32)</f>
        <v/>
      </c>
      <c r="C31" s="38" t="str">
        <f>IF('Curve Header Data'!D32="","",'Curve Header Data'!D32)</f>
        <v/>
      </c>
      <c r="D31" s="38" t="str">
        <f>IF('Curve Header Data'!E32="","",'Curve Header Data'!E32)</f>
        <v/>
      </c>
      <c r="E31" s="38" t="str">
        <f>IF('Curve Header Data'!B32="","",'Curve Header Data'!B32)</f>
        <v/>
      </c>
      <c r="F31" s="38" t="str">
        <f>IF('Curve Header Data'!K32="","",'Curve Header Data'!K32*$E$2)</f>
        <v/>
      </c>
      <c r="G31" s="38" t="str">
        <f>IF('Curve Header Data'!L32="","",'Curve Header Data'!L32*$E$2)</f>
        <v/>
      </c>
      <c r="H31" s="38">
        <f>IF('Curve Header Data'!N32="","",'Curve Header Data'!N32)</f>
        <v>1</v>
      </c>
      <c r="I31" s="38">
        <f>IF('Curve Header Data'!O32="","",'Curve Header Data'!O32)</f>
        <v>5</v>
      </c>
      <c r="J31" s="27" t="str">
        <f>IF('Curve Header Data'!M32="","",'Curve Header Data'!M32)</f>
        <v/>
      </c>
      <c r="K31" s="27" t="str">
        <f>IF('Curve Header Data'!G32="","",'Curve Header Data'!G32)</f>
        <v/>
      </c>
      <c r="L31" s="27" t="str">
        <f>IF('Curve Header Data'!H32="","",'Curve Header Data'!H32)</f>
        <v/>
      </c>
      <c r="M31" s="27" t="str">
        <f>IF('Curve Header Data'!I32="","",'Curve Header Data'!I32)</f>
        <v/>
      </c>
      <c r="N31" s="27" t="str">
        <f>IF('Curve Header Data'!J32="","",'Curve Header Data'!J32*$E$3)</f>
        <v/>
      </c>
      <c r="O31" s="27">
        <f>IF('Curve Header Data'!S32="","",'Curve Header Data'!S32*$J$2)</f>
        <v>0</v>
      </c>
      <c r="P31" s="27">
        <f>IF('Curve Header Data'!T32="","",'Curve Header Data'!T32*$J$3)</f>
        <v>0</v>
      </c>
      <c r="Q31" s="27" t="str">
        <f>IF('Curve Header Data'!U32="","",'Curve Header Data'!U32)</f>
        <v/>
      </c>
      <c r="R31" s="27" t="str">
        <f>IF('Curve Header Data'!V32="","",'Curve Header Data'!V32)</f>
        <v>0</v>
      </c>
      <c r="S31" s="27" t="str">
        <f>IF('Curve Header Data'!W32="","",'Curve Header Data'!W32)</f>
        <v/>
      </c>
    </row>
    <row r="32" spans="1:19" x14ac:dyDescent="0.2">
      <c r="A32" s="38" t="str">
        <f>IF('Curve Header Data'!A33="","",'Curve Header Data'!A33)</f>
        <v/>
      </c>
      <c r="B32" s="38" t="str">
        <f>IF('Curve Header Data'!C33="","",'Curve Header Data'!C33)</f>
        <v/>
      </c>
      <c r="C32" s="38" t="str">
        <f>IF('Curve Header Data'!D33="","",'Curve Header Data'!D33)</f>
        <v/>
      </c>
      <c r="D32" s="38" t="str">
        <f>IF('Curve Header Data'!E33="","",'Curve Header Data'!E33)</f>
        <v/>
      </c>
      <c r="E32" s="38" t="str">
        <f>IF('Curve Header Data'!B33="","",'Curve Header Data'!B33)</f>
        <v/>
      </c>
      <c r="F32" s="38" t="str">
        <f>IF('Curve Header Data'!K33="","",'Curve Header Data'!K33*$E$2)</f>
        <v/>
      </c>
      <c r="G32" s="38" t="str">
        <f>IF('Curve Header Data'!L33="","",'Curve Header Data'!L33*$E$2)</f>
        <v/>
      </c>
      <c r="H32" s="38">
        <f>IF('Curve Header Data'!N33="","",'Curve Header Data'!N33)</f>
        <v>1</v>
      </c>
      <c r="I32" s="38">
        <f>IF('Curve Header Data'!O33="","",'Curve Header Data'!O33)</f>
        <v>5</v>
      </c>
      <c r="J32" s="27" t="str">
        <f>IF('Curve Header Data'!M33="","",'Curve Header Data'!M33)</f>
        <v/>
      </c>
      <c r="K32" s="27" t="str">
        <f>IF('Curve Header Data'!G33="","",'Curve Header Data'!G33)</f>
        <v/>
      </c>
      <c r="L32" s="27" t="str">
        <f>IF('Curve Header Data'!H33="","",'Curve Header Data'!H33)</f>
        <v/>
      </c>
      <c r="M32" s="27" t="str">
        <f>IF('Curve Header Data'!I33="","",'Curve Header Data'!I33)</f>
        <v/>
      </c>
      <c r="N32" s="27" t="str">
        <f>IF('Curve Header Data'!J33="","",'Curve Header Data'!J33*$E$3)</f>
        <v/>
      </c>
      <c r="O32" s="27">
        <f>IF('Curve Header Data'!S33="","",'Curve Header Data'!S33*$J$2)</f>
        <v>0</v>
      </c>
      <c r="P32" s="27">
        <f>IF('Curve Header Data'!T33="","",'Curve Header Data'!T33*$J$3)</f>
        <v>0</v>
      </c>
      <c r="Q32" s="27" t="str">
        <f>IF('Curve Header Data'!U33="","",'Curve Header Data'!U33)</f>
        <v/>
      </c>
      <c r="R32" s="27" t="str">
        <f>IF('Curve Header Data'!V33="","",'Curve Header Data'!V33)</f>
        <v>0</v>
      </c>
      <c r="S32" s="27" t="str">
        <f>IF('Curve Header Data'!W33="","",'Curve Header Data'!W33)</f>
        <v/>
      </c>
    </row>
    <row r="33" spans="1:19" x14ac:dyDescent="0.2">
      <c r="A33" s="38" t="str">
        <f>IF('Curve Header Data'!A34="","",'Curve Header Data'!A34)</f>
        <v/>
      </c>
      <c r="B33" s="38" t="str">
        <f>IF('Curve Header Data'!C34="","",'Curve Header Data'!C34)</f>
        <v/>
      </c>
      <c r="C33" s="38" t="str">
        <f>IF('Curve Header Data'!D34="","",'Curve Header Data'!D34)</f>
        <v/>
      </c>
      <c r="D33" s="38" t="str">
        <f>IF('Curve Header Data'!E34="","",'Curve Header Data'!E34)</f>
        <v/>
      </c>
      <c r="E33" s="38" t="str">
        <f>IF('Curve Header Data'!B34="","",'Curve Header Data'!B34)</f>
        <v/>
      </c>
      <c r="F33" s="38" t="str">
        <f>IF('Curve Header Data'!K34="","",'Curve Header Data'!K34*$E$2)</f>
        <v/>
      </c>
      <c r="G33" s="38" t="str">
        <f>IF('Curve Header Data'!L34="","",'Curve Header Data'!L34*$E$2)</f>
        <v/>
      </c>
      <c r="H33" s="38">
        <f>IF('Curve Header Data'!N34="","",'Curve Header Data'!N34)</f>
        <v>1</v>
      </c>
      <c r="I33" s="38">
        <f>IF('Curve Header Data'!O34="","",'Curve Header Data'!O34)</f>
        <v>5</v>
      </c>
      <c r="J33" s="27" t="str">
        <f>IF('Curve Header Data'!M34="","",'Curve Header Data'!M34)</f>
        <v/>
      </c>
      <c r="K33" s="27" t="str">
        <f>IF('Curve Header Data'!G34="","",'Curve Header Data'!G34)</f>
        <v/>
      </c>
      <c r="L33" s="27" t="str">
        <f>IF('Curve Header Data'!H34="","",'Curve Header Data'!H34)</f>
        <v/>
      </c>
      <c r="M33" s="27" t="str">
        <f>IF('Curve Header Data'!I34="","",'Curve Header Data'!I34)</f>
        <v/>
      </c>
      <c r="N33" s="27" t="str">
        <f>IF('Curve Header Data'!J34="","",'Curve Header Data'!J34*$E$3)</f>
        <v/>
      </c>
      <c r="O33" s="27">
        <f>IF('Curve Header Data'!S34="","",'Curve Header Data'!S34*$J$2)</f>
        <v>0</v>
      </c>
      <c r="P33" s="27">
        <f>IF('Curve Header Data'!T34="","",'Curve Header Data'!T34*$J$3)</f>
        <v>0</v>
      </c>
      <c r="Q33" s="27" t="str">
        <f>IF('Curve Header Data'!U34="","",'Curve Header Data'!U34)</f>
        <v/>
      </c>
      <c r="R33" s="27" t="str">
        <f>IF('Curve Header Data'!V34="","",'Curve Header Data'!V34)</f>
        <v>0</v>
      </c>
      <c r="S33" s="27" t="str">
        <f>IF('Curve Header Data'!W34="","",'Curve Header Data'!W34)</f>
        <v/>
      </c>
    </row>
    <row r="34" spans="1:19" x14ac:dyDescent="0.2">
      <c r="A34" s="38" t="str">
        <f>IF('Curve Header Data'!A35="","",'Curve Header Data'!A35)</f>
        <v/>
      </c>
      <c r="B34" s="38" t="str">
        <f>IF('Curve Header Data'!C35="","",'Curve Header Data'!C35)</f>
        <v/>
      </c>
      <c r="C34" s="38" t="str">
        <f>IF('Curve Header Data'!D35="","",'Curve Header Data'!D35)</f>
        <v/>
      </c>
      <c r="D34" s="38" t="str">
        <f>IF('Curve Header Data'!E35="","",'Curve Header Data'!E35)</f>
        <v/>
      </c>
      <c r="E34" s="38" t="str">
        <f>IF('Curve Header Data'!B35="","",'Curve Header Data'!B35)</f>
        <v/>
      </c>
      <c r="F34" s="38" t="str">
        <f>IF('Curve Header Data'!K35="","",'Curve Header Data'!K35*$E$2)</f>
        <v/>
      </c>
      <c r="G34" s="38" t="str">
        <f>IF('Curve Header Data'!L35="","",'Curve Header Data'!L35*$E$2)</f>
        <v/>
      </c>
      <c r="H34" s="38">
        <f>IF('Curve Header Data'!N35="","",'Curve Header Data'!N35)</f>
        <v>1</v>
      </c>
      <c r="I34" s="38">
        <f>IF('Curve Header Data'!O35="","",'Curve Header Data'!O35)</f>
        <v>5</v>
      </c>
      <c r="J34" s="27" t="str">
        <f>IF('Curve Header Data'!M35="","",'Curve Header Data'!M35)</f>
        <v/>
      </c>
      <c r="K34" s="27" t="str">
        <f>IF('Curve Header Data'!G35="","",'Curve Header Data'!G35)</f>
        <v/>
      </c>
      <c r="L34" s="27" t="str">
        <f>IF('Curve Header Data'!H35="","",'Curve Header Data'!H35)</f>
        <v/>
      </c>
      <c r="M34" s="27" t="str">
        <f>IF('Curve Header Data'!I35="","",'Curve Header Data'!I35)</f>
        <v/>
      </c>
      <c r="N34" s="27" t="str">
        <f>IF('Curve Header Data'!J35="","",'Curve Header Data'!J35*$E$3)</f>
        <v/>
      </c>
      <c r="O34" s="27">
        <f>IF('Curve Header Data'!S35="","",'Curve Header Data'!S35*$J$2)</f>
        <v>0</v>
      </c>
      <c r="P34" s="27">
        <f>IF('Curve Header Data'!T35="","",'Curve Header Data'!T35*$J$3)</f>
        <v>0</v>
      </c>
      <c r="Q34" s="27" t="str">
        <f>IF('Curve Header Data'!U35="","",'Curve Header Data'!U35)</f>
        <v/>
      </c>
      <c r="R34" s="27" t="str">
        <f>IF('Curve Header Data'!V35="","",'Curve Header Data'!V35)</f>
        <v>0</v>
      </c>
      <c r="S34" s="27" t="str">
        <f>IF('Curve Header Data'!W35="","",'Curve Header Data'!W35)</f>
        <v/>
      </c>
    </row>
    <row r="35" spans="1:19" x14ac:dyDescent="0.2">
      <c r="A35" s="38" t="str">
        <f>IF('Curve Header Data'!A36="","",'Curve Header Data'!A36)</f>
        <v/>
      </c>
      <c r="B35" s="38" t="str">
        <f>IF('Curve Header Data'!C36="","",'Curve Header Data'!C36)</f>
        <v/>
      </c>
      <c r="C35" s="38" t="str">
        <f>IF('Curve Header Data'!D36="","",'Curve Header Data'!D36)</f>
        <v/>
      </c>
      <c r="D35" s="38" t="str">
        <f>IF('Curve Header Data'!E36="","",'Curve Header Data'!E36)</f>
        <v/>
      </c>
      <c r="E35" s="38" t="str">
        <f>IF('Curve Header Data'!B36="","",'Curve Header Data'!B36)</f>
        <v/>
      </c>
      <c r="F35" s="38" t="str">
        <f>IF('Curve Header Data'!K36="","",'Curve Header Data'!K36*$E$2)</f>
        <v/>
      </c>
      <c r="G35" s="38" t="str">
        <f>IF('Curve Header Data'!L36="","",'Curve Header Data'!L36*$E$2)</f>
        <v/>
      </c>
      <c r="H35" s="38">
        <f>IF('Curve Header Data'!N36="","",'Curve Header Data'!N36)</f>
        <v>1</v>
      </c>
      <c r="I35" s="38">
        <f>IF('Curve Header Data'!O36="","",'Curve Header Data'!O36)</f>
        <v>5</v>
      </c>
      <c r="J35" s="27" t="str">
        <f>IF('Curve Header Data'!M36="","",'Curve Header Data'!M36)</f>
        <v/>
      </c>
      <c r="K35" s="27" t="str">
        <f>IF('Curve Header Data'!G36="","",'Curve Header Data'!G36)</f>
        <v/>
      </c>
      <c r="L35" s="27" t="str">
        <f>IF('Curve Header Data'!H36="","",'Curve Header Data'!H36)</f>
        <v/>
      </c>
      <c r="M35" s="27" t="str">
        <f>IF('Curve Header Data'!I36="","",'Curve Header Data'!I36)</f>
        <v/>
      </c>
      <c r="N35" s="27" t="str">
        <f>IF('Curve Header Data'!J36="","",'Curve Header Data'!J36*$E$3)</f>
        <v/>
      </c>
      <c r="O35" s="27">
        <f>IF('Curve Header Data'!S36="","",'Curve Header Data'!S36*$J$2)</f>
        <v>0</v>
      </c>
      <c r="P35" s="27">
        <f>IF('Curve Header Data'!T36="","",'Curve Header Data'!T36*$J$3)</f>
        <v>0</v>
      </c>
      <c r="Q35" s="27" t="str">
        <f>IF('Curve Header Data'!U36="","",'Curve Header Data'!U36)</f>
        <v/>
      </c>
      <c r="R35" s="27" t="str">
        <f>IF('Curve Header Data'!V36="","",'Curve Header Data'!V36)</f>
        <v>0</v>
      </c>
      <c r="S35" s="27" t="str">
        <f>IF('Curve Header Data'!W36="","",'Curve Header Data'!W36)</f>
        <v/>
      </c>
    </row>
    <row r="36" spans="1:19" x14ac:dyDescent="0.2">
      <c r="A36" s="38" t="str">
        <f>IF('Curve Header Data'!A37="","",'Curve Header Data'!A37)</f>
        <v/>
      </c>
      <c r="B36" s="38" t="str">
        <f>IF('Curve Header Data'!C37="","",'Curve Header Data'!C37)</f>
        <v/>
      </c>
      <c r="C36" s="38" t="str">
        <f>IF('Curve Header Data'!D37="","",'Curve Header Data'!D37)</f>
        <v/>
      </c>
      <c r="D36" s="38" t="str">
        <f>IF('Curve Header Data'!E37="","",'Curve Header Data'!E37)</f>
        <v/>
      </c>
      <c r="E36" s="38" t="str">
        <f>IF('Curve Header Data'!B37="","",'Curve Header Data'!B37)</f>
        <v/>
      </c>
      <c r="F36" s="38" t="str">
        <f>IF('Curve Header Data'!K37="","",'Curve Header Data'!K37*$E$2)</f>
        <v/>
      </c>
      <c r="G36" s="38" t="str">
        <f>IF('Curve Header Data'!L37="","",'Curve Header Data'!L37*$E$2)</f>
        <v/>
      </c>
      <c r="H36" s="38">
        <f>IF('Curve Header Data'!N37="","",'Curve Header Data'!N37)</f>
        <v>1</v>
      </c>
      <c r="I36" s="38">
        <f>IF('Curve Header Data'!O37="","",'Curve Header Data'!O37)</f>
        <v>5</v>
      </c>
      <c r="J36" s="27" t="str">
        <f>IF('Curve Header Data'!M37="","",'Curve Header Data'!M37)</f>
        <v/>
      </c>
      <c r="K36" s="27" t="str">
        <f>IF('Curve Header Data'!G37="","",'Curve Header Data'!G37)</f>
        <v/>
      </c>
      <c r="L36" s="27" t="str">
        <f>IF('Curve Header Data'!H37="","",'Curve Header Data'!H37)</f>
        <v/>
      </c>
      <c r="M36" s="27" t="str">
        <f>IF('Curve Header Data'!I37="","",'Curve Header Data'!I37)</f>
        <v/>
      </c>
      <c r="N36" s="27" t="str">
        <f>IF('Curve Header Data'!J37="","",'Curve Header Data'!J37*$E$3)</f>
        <v/>
      </c>
      <c r="O36" s="27">
        <f>IF('Curve Header Data'!S37="","",'Curve Header Data'!S37*$J$2)</f>
        <v>0</v>
      </c>
      <c r="P36" s="27">
        <f>IF('Curve Header Data'!T37="","",'Curve Header Data'!T37*$J$3)</f>
        <v>0</v>
      </c>
      <c r="Q36" s="27" t="str">
        <f>IF('Curve Header Data'!U37="","",'Curve Header Data'!U37)</f>
        <v/>
      </c>
      <c r="R36" s="27" t="str">
        <f>IF('Curve Header Data'!V37="","",'Curve Header Data'!V37)</f>
        <v>0</v>
      </c>
      <c r="S36" s="27" t="str">
        <f>IF('Curve Header Data'!W37="","",'Curve Header Data'!W37)</f>
        <v/>
      </c>
    </row>
    <row r="37" spans="1:19" x14ac:dyDescent="0.2">
      <c r="A37" s="38" t="str">
        <f>IF('Curve Header Data'!A38="","",'Curve Header Data'!A38)</f>
        <v/>
      </c>
      <c r="B37" s="38" t="str">
        <f>IF('Curve Header Data'!C38="","",'Curve Header Data'!C38)</f>
        <v/>
      </c>
      <c r="C37" s="38" t="str">
        <f>IF('Curve Header Data'!D38="","",'Curve Header Data'!D38)</f>
        <v/>
      </c>
      <c r="D37" s="38" t="str">
        <f>IF('Curve Header Data'!E38="","",'Curve Header Data'!E38)</f>
        <v/>
      </c>
      <c r="E37" s="38" t="str">
        <f>IF('Curve Header Data'!B38="","",'Curve Header Data'!B38)</f>
        <v/>
      </c>
      <c r="F37" s="38" t="str">
        <f>IF('Curve Header Data'!K38="","",'Curve Header Data'!K38*$E$2)</f>
        <v/>
      </c>
      <c r="G37" s="38" t="str">
        <f>IF('Curve Header Data'!L38="","",'Curve Header Data'!L38*$E$2)</f>
        <v/>
      </c>
      <c r="H37" s="38">
        <f>IF('Curve Header Data'!N38="","",'Curve Header Data'!N38)</f>
        <v>1</v>
      </c>
      <c r="I37" s="38">
        <f>IF('Curve Header Data'!O38="","",'Curve Header Data'!O38)</f>
        <v>5</v>
      </c>
      <c r="J37" s="27" t="str">
        <f>IF('Curve Header Data'!M38="","",'Curve Header Data'!M38)</f>
        <v/>
      </c>
      <c r="K37" s="27" t="str">
        <f>IF('Curve Header Data'!G38="","",'Curve Header Data'!G38)</f>
        <v/>
      </c>
      <c r="L37" s="27" t="str">
        <f>IF('Curve Header Data'!H38="","",'Curve Header Data'!H38)</f>
        <v/>
      </c>
      <c r="M37" s="27" t="str">
        <f>IF('Curve Header Data'!I38="","",'Curve Header Data'!I38)</f>
        <v/>
      </c>
      <c r="N37" s="27" t="str">
        <f>IF('Curve Header Data'!J38="","",'Curve Header Data'!J38*$E$3)</f>
        <v/>
      </c>
      <c r="O37" s="27">
        <f>IF('Curve Header Data'!S38="","",'Curve Header Data'!S38*$J$2)</f>
        <v>0</v>
      </c>
      <c r="P37" s="27">
        <f>IF('Curve Header Data'!T38="","",'Curve Header Data'!T38*$J$3)</f>
        <v>0</v>
      </c>
      <c r="Q37" s="27" t="str">
        <f>IF('Curve Header Data'!U38="","",'Curve Header Data'!U38)</f>
        <v/>
      </c>
      <c r="R37" s="27" t="str">
        <f>IF('Curve Header Data'!V38="","",'Curve Header Data'!V38)</f>
        <v>0</v>
      </c>
      <c r="S37" s="27" t="str">
        <f>IF('Curve Header Data'!W38="","",'Curve Header Data'!W38)</f>
        <v/>
      </c>
    </row>
    <row r="38" spans="1:19" x14ac:dyDescent="0.2">
      <c r="A38" s="38" t="str">
        <f>IF('Curve Header Data'!A39="","",'Curve Header Data'!A39)</f>
        <v/>
      </c>
      <c r="B38" s="38" t="str">
        <f>IF('Curve Header Data'!C39="","",'Curve Header Data'!C39)</f>
        <v/>
      </c>
      <c r="C38" s="38" t="str">
        <f>IF('Curve Header Data'!D39="","",'Curve Header Data'!D39)</f>
        <v/>
      </c>
      <c r="D38" s="38" t="str">
        <f>IF('Curve Header Data'!E39="","",'Curve Header Data'!E39)</f>
        <v/>
      </c>
      <c r="E38" s="38" t="str">
        <f>IF('Curve Header Data'!B39="","",'Curve Header Data'!B39)</f>
        <v/>
      </c>
      <c r="F38" s="38" t="str">
        <f>IF('Curve Header Data'!K39="","",'Curve Header Data'!K39*$E$2)</f>
        <v/>
      </c>
      <c r="G38" s="38" t="str">
        <f>IF('Curve Header Data'!L39="","",'Curve Header Data'!L39*$E$2)</f>
        <v/>
      </c>
      <c r="H38" s="38">
        <f>IF('Curve Header Data'!N39="","",'Curve Header Data'!N39)</f>
        <v>1</v>
      </c>
      <c r="I38" s="38">
        <f>IF('Curve Header Data'!O39="","",'Curve Header Data'!O39)</f>
        <v>5</v>
      </c>
      <c r="J38" s="27" t="str">
        <f>IF('Curve Header Data'!M39="","",'Curve Header Data'!M39)</f>
        <v/>
      </c>
      <c r="K38" s="27" t="str">
        <f>IF('Curve Header Data'!G39="","",'Curve Header Data'!G39)</f>
        <v/>
      </c>
      <c r="L38" s="27" t="str">
        <f>IF('Curve Header Data'!H39="","",'Curve Header Data'!H39)</f>
        <v/>
      </c>
      <c r="M38" s="27" t="str">
        <f>IF('Curve Header Data'!I39="","",'Curve Header Data'!I39)</f>
        <v/>
      </c>
      <c r="N38" s="27" t="str">
        <f>IF('Curve Header Data'!J39="","",'Curve Header Data'!J39*$E$3)</f>
        <v/>
      </c>
      <c r="O38" s="27">
        <f>IF('Curve Header Data'!S39="","",'Curve Header Data'!S39*$J$2)</f>
        <v>0</v>
      </c>
      <c r="P38" s="27">
        <f>IF('Curve Header Data'!T39="","",'Curve Header Data'!T39*$J$3)</f>
        <v>0</v>
      </c>
      <c r="Q38" s="27" t="str">
        <f>IF('Curve Header Data'!U39="","",'Curve Header Data'!U39)</f>
        <v/>
      </c>
      <c r="R38" s="27" t="str">
        <f>IF('Curve Header Data'!V39="","",'Curve Header Data'!V39)</f>
        <v>0</v>
      </c>
      <c r="S38" s="27" t="str">
        <f>IF('Curve Header Data'!W39="","",'Curve Header Data'!W39)</f>
        <v/>
      </c>
    </row>
    <row r="39" spans="1:19" x14ac:dyDescent="0.2">
      <c r="A39" s="38" t="str">
        <f>IF('Curve Header Data'!A40="","",'Curve Header Data'!A40)</f>
        <v/>
      </c>
      <c r="B39" s="38" t="str">
        <f>IF('Curve Header Data'!C40="","",'Curve Header Data'!C40)</f>
        <v/>
      </c>
      <c r="C39" s="38" t="str">
        <f>IF('Curve Header Data'!D40="","",'Curve Header Data'!D40)</f>
        <v/>
      </c>
      <c r="D39" s="38" t="str">
        <f>IF('Curve Header Data'!E40="","",'Curve Header Data'!E40)</f>
        <v/>
      </c>
      <c r="E39" s="38" t="str">
        <f>IF('Curve Header Data'!B40="","",'Curve Header Data'!B40)</f>
        <v/>
      </c>
      <c r="F39" s="38" t="str">
        <f>IF('Curve Header Data'!K40="","",'Curve Header Data'!K40*$E$2)</f>
        <v/>
      </c>
      <c r="G39" s="38" t="str">
        <f>IF('Curve Header Data'!L40="","",'Curve Header Data'!L40*$E$2)</f>
        <v/>
      </c>
      <c r="H39" s="38">
        <f>IF('Curve Header Data'!N40="","",'Curve Header Data'!N40)</f>
        <v>1</v>
      </c>
      <c r="I39" s="38">
        <f>IF('Curve Header Data'!O40="","",'Curve Header Data'!O40)</f>
        <v>5</v>
      </c>
      <c r="J39" s="27" t="str">
        <f>IF('Curve Header Data'!M40="","",'Curve Header Data'!M40)</f>
        <v/>
      </c>
      <c r="K39" s="27" t="str">
        <f>IF('Curve Header Data'!G40="","",'Curve Header Data'!G40)</f>
        <v/>
      </c>
      <c r="L39" s="27" t="str">
        <f>IF('Curve Header Data'!H40="","",'Curve Header Data'!H40)</f>
        <v/>
      </c>
      <c r="M39" s="27" t="str">
        <f>IF('Curve Header Data'!I40="","",'Curve Header Data'!I40)</f>
        <v/>
      </c>
      <c r="N39" s="27" t="str">
        <f>IF('Curve Header Data'!J40="","",'Curve Header Data'!J40*$E$3)</f>
        <v/>
      </c>
      <c r="O39" s="27">
        <f>IF('Curve Header Data'!S40="","",'Curve Header Data'!S40*$J$2)</f>
        <v>0</v>
      </c>
      <c r="P39" s="27">
        <f>IF('Curve Header Data'!T40="","",'Curve Header Data'!T40*$J$3)</f>
        <v>0</v>
      </c>
      <c r="Q39" s="27" t="str">
        <f>IF('Curve Header Data'!U40="","",'Curve Header Data'!U40)</f>
        <v/>
      </c>
      <c r="R39" s="27" t="str">
        <f>IF('Curve Header Data'!V40="","",'Curve Header Data'!V40)</f>
        <v>0</v>
      </c>
      <c r="S39" s="27" t="str">
        <f>IF('Curve Header Data'!W40="","",'Curve Header Data'!W40)</f>
        <v/>
      </c>
    </row>
    <row r="40" spans="1:19" x14ac:dyDescent="0.2">
      <c r="A40" s="38" t="str">
        <f>IF('Curve Header Data'!A41="","",'Curve Header Data'!A41)</f>
        <v/>
      </c>
      <c r="B40" s="38" t="str">
        <f>IF('Curve Header Data'!C41="","",'Curve Header Data'!C41)</f>
        <v/>
      </c>
      <c r="C40" s="38" t="str">
        <f>IF('Curve Header Data'!D41="","",'Curve Header Data'!D41)</f>
        <v/>
      </c>
      <c r="D40" s="38" t="str">
        <f>IF('Curve Header Data'!E41="","",'Curve Header Data'!E41)</f>
        <v/>
      </c>
      <c r="E40" s="38" t="str">
        <f>IF('Curve Header Data'!B41="","",'Curve Header Data'!B41)</f>
        <v/>
      </c>
      <c r="F40" s="38" t="str">
        <f>IF('Curve Header Data'!K41="","",'Curve Header Data'!K41*$E$2)</f>
        <v/>
      </c>
      <c r="G40" s="38" t="str">
        <f>IF('Curve Header Data'!L41="","",'Curve Header Data'!L41*$E$2)</f>
        <v/>
      </c>
      <c r="H40" s="38">
        <f>IF('Curve Header Data'!N41="","",'Curve Header Data'!N41)</f>
        <v>1</v>
      </c>
      <c r="I40" s="38">
        <f>IF('Curve Header Data'!O41="","",'Curve Header Data'!O41)</f>
        <v>5</v>
      </c>
      <c r="J40" s="27" t="str">
        <f>IF('Curve Header Data'!M41="","",'Curve Header Data'!M41)</f>
        <v/>
      </c>
      <c r="K40" s="27" t="str">
        <f>IF('Curve Header Data'!G41="","",'Curve Header Data'!G41)</f>
        <v/>
      </c>
      <c r="L40" s="27" t="str">
        <f>IF('Curve Header Data'!H41="","",'Curve Header Data'!H41)</f>
        <v/>
      </c>
      <c r="M40" s="27" t="str">
        <f>IF('Curve Header Data'!I41="","",'Curve Header Data'!I41)</f>
        <v/>
      </c>
      <c r="N40" s="27" t="str">
        <f>IF('Curve Header Data'!J41="","",'Curve Header Data'!J41*$E$3)</f>
        <v/>
      </c>
      <c r="O40" s="27">
        <f>IF('Curve Header Data'!S41="","",'Curve Header Data'!S41*$J$2)</f>
        <v>0</v>
      </c>
      <c r="P40" s="27">
        <f>IF('Curve Header Data'!T41="","",'Curve Header Data'!T41*$J$3)</f>
        <v>0</v>
      </c>
      <c r="Q40" s="27" t="str">
        <f>IF('Curve Header Data'!U41="","",'Curve Header Data'!U41)</f>
        <v/>
      </c>
      <c r="R40" s="27" t="str">
        <f>IF('Curve Header Data'!V41="","",'Curve Header Data'!V41)</f>
        <v>0</v>
      </c>
      <c r="S40" s="27" t="str">
        <f>IF('Curve Header Data'!W41="","",'Curve Header Data'!W41)</f>
        <v/>
      </c>
    </row>
    <row r="41" spans="1:19" x14ac:dyDescent="0.2">
      <c r="A41" s="38" t="str">
        <f>IF('Curve Header Data'!A42="","",'Curve Header Data'!A42)</f>
        <v/>
      </c>
      <c r="B41" s="38" t="str">
        <f>IF('Curve Header Data'!C42="","",'Curve Header Data'!C42)</f>
        <v/>
      </c>
      <c r="C41" s="38" t="str">
        <f>IF('Curve Header Data'!D42="","",'Curve Header Data'!D42)</f>
        <v/>
      </c>
      <c r="D41" s="38" t="str">
        <f>IF('Curve Header Data'!E42="","",'Curve Header Data'!E42)</f>
        <v/>
      </c>
      <c r="E41" s="38" t="str">
        <f>IF('Curve Header Data'!B42="","",'Curve Header Data'!B42)</f>
        <v/>
      </c>
      <c r="F41" s="38" t="str">
        <f>IF('Curve Header Data'!K42="","",'Curve Header Data'!K42*$E$2)</f>
        <v/>
      </c>
      <c r="G41" s="38" t="str">
        <f>IF('Curve Header Data'!L42="","",'Curve Header Data'!L42*$E$2)</f>
        <v/>
      </c>
      <c r="H41" s="38">
        <f>IF('Curve Header Data'!N42="","",'Curve Header Data'!N42)</f>
        <v>1</v>
      </c>
      <c r="I41" s="38">
        <f>IF('Curve Header Data'!O42="","",'Curve Header Data'!O42)</f>
        <v>5</v>
      </c>
      <c r="J41" s="27" t="str">
        <f>IF('Curve Header Data'!M42="","",'Curve Header Data'!M42)</f>
        <v/>
      </c>
      <c r="K41" s="27" t="str">
        <f>IF('Curve Header Data'!G42="","",'Curve Header Data'!G42)</f>
        <v/>
      </c>
      <c r="L41" s="27" t="str">
        <f>IF('Curve Header Data'!H42="","",'Curve Header Data'!H42)</f>
        <v/>
      </c>
      <c r="M41" s="27" t="str">
        <f>IF('Curve Header Data'!I42="","",'Curve Header Data'!I42)</f>
        <v/>
      </c>
      <c r="N41" s="27" t="str">
        <f>IF('Curve Header Data'!J42="","",'Curve Header Data'!J42*$E$3)</f>
        <v/>
      </c>
      <c r="O41" s="27">
        <f>IF('Curve Header Data'!S42="","",'Curve Header Data'!S42*$J$2)</f>
        <v>0</v>
      </c>
      <c r="P41" s="27">
        <f>IF('Curve Header Data'!T42="","",'Curve Header Data'!T42*$J$3)</f>
        <v>0</v>
      </c>
      <c r="Q41" s="27" t="str">
        <f>IF('Curve Header Data'!U42="","",'Curve Header Data'!U42)</f>
        <v/>
      </c>
      <c r="R41" s="27" t="str">
        <f>IF('Curve Header Data'!V42="","",'Curve Header Data'!V42)</f>
        <v>0</v>
      </c>
      <c r="S41" s="27" t="str">
        <f>IF('Curve Header Data'!W42="","",'Curve Header Data'!W42)</f>
        <v/>
      </c>
    </row>
    <row r="42" spans="1:19" x14ac:dyDescent="0.2">
      <c r="A42" s="38" t="str">
        <f>IF('Curve Header Data'!A43="","",'Curve Header Data'!A43)</f>
        <v/>
      </c>
      <c r="B42" s="38" t="str">
        <f>IF('Curve Header Data'!C43="","",'Curve Header Data'!C43)</f>
        <v/>
      </c>
      <c r="C42" s="38" t="str">
        <f>IF('Curve Header Data'!D43="","",'Curve Header Data'!D43)</f>
        <v/>
      </c>
      <c r="D42" s="38" t="str">
        <f>IF('Curve Header Data'!E43="","",'Curve Header Data'!E43)</f>
        <v/>
      </c>
      <c r="E42" s="38" t="str">
        <f>IF('Curve Header Data'!B43="","",'Curve Header Data'!B43)</f>
        <v/>
      </c>
      <c r="F42" s="38" t="str">
        <f>IF('Curve Header Data'!K43="","",'Curve Header Data'!K43*$E$2)</f>
        <v/>
      </c>
      <c r="G42" s="38" t="str">
        <f>IF('Curve Header Data'!L43="","",'Curve Header Data'!L43*$E$2)</f>
        <v/>
      </c>
      <c r="H42" s="38">
        <f>IF('Curve Header Data'!N43="","",'Curve Header Data'!N43)</f>
        <v>1</v>
      </c>
      <c r="I42" s="38">
        <f>IF('Curve Header Data'!O43="","",'Curve Header Data'!O43)</f>
        <v>5</v>
      </c>
      <c r="J42" s="27" t="str">
        <f>IF('Curve Header Data'!M43="","",'Curve Header Data'!M43)</f>
        <v/>
      </c>
      <c r="K42" s="27" t="str">
        <f>IF('Curve Header Data'!G43="","",'Curve Header Data'!G43)</f>
        <v/>
      </c>
      <c r="L42" s="27" t="str">
        <f>IF('Curve Header Data'!H43="","",'Curve Header Data'!H43)</f>
        <v/>
      </c>
      <c r="M42" s="27" t="str">
        <f>IF('Curve Header Data'!I43="","",'Curve Header Data'!I43)</f>
        <v/>
      </c>
      <c r="N42" s="27" t="str">
        <f>IF('Curve Header Data'!J43="","",'Curve Header Data'!J43*$E$3)</f>
        <v/>
      </c>
      <c r="O42" s="27">
        <f>IF('Curve Header Data'!S43="","",'Curve Header Data'!S43*$J$2)</f>
        <v>0</v>
      </c>
      <c r="P42" s="27">
        <f>IF('Curve Header Data'!T43="","",'Curve Header Data'!T43*$J$3)</f>
        <v>0</v>
      </c>
      <c r="Q42" s="27" t="str">
        <f>IF('Curve Header Data'!U43="","",'Curve Header Data'!U43)</f>
        <v/>
      </c>
      <c r="R42" s="27" t="str">
        <f>IF('Curve Header Data'!V43="","",'Curve Header Data'!V43)</f>
        <v>0</v>
      </c>
      <c r="S42" s="27" t="str">
        <f>IF('Curve Header Data'!W43="","",'Curve Header Data'!W43)</f>
        <v/>
      </c>
    </row>
    <row r="43" spans="1:19" x14ac:dyDescent="0.2">
      <c r="A43" s="38" t="str">
        <f>IF('Curve Header Data'!A44="","",'Curve Header Data'!A44)</f>
        <v/>
      </c>
      <c r="B43" s="38" t="str">
        <f>IF('Curve Header Data'!C44="","",'Curve Header Data'!C44)</f>
        <v/>
      </c>
      <c r="C43" s="38" t="str">
        <f>IF('Curve Header Data'!D44="","",'Curve Header Data'!D44)</f>
        <v/>
      </c>
      <c r="D43" s="38" t="str">
        <f>IF('Curve Header Data'!E44="","",'Curve Header Data'!E44)</f>
        <v/>
      </c>
      <c r="E43" s="38" t="str">
        <f>IF('Curve Header Data'!B44="","",'Curve Header Data'!B44)</f>
        <v/>
      </c>
      <c r="F43" s="38" t="str">
        <f>IF('Curve Header Data'!K44="","",'Curve Header Data'!K44*$E$2)</f>
        <v/>
      </c>
      <c r="G43" s="38" t="str">
        <f>IF('Curve Header Data'!L44="","",'Curve Header Data'!L44*$E$2)</f>
        <v/>
      </c>
      <c r="H43" s="38">
        <f>IF('Curve Header Data'!N44="","",'Curve Header Data'!N44)</f>
        <v>1</v>
      </c>
      <c r="I43" s="38">
        <f>IF('Curve Header Data'!O44="","",'Curve Header Data'!O44)</f>
        <v>5</v>
      </c>
      <c r="J43" s="27" t="str">
        <f>IF('Curve Header Data'!M44="","",'Curve Header Data'!M44)</f>
        <v/>
      </c>
      <c r="K43" s="27" t="str">
        <f>IF('Curve Header Data'!G44="","",'Curve Header Data'!G44)</f>
        <v/>
      </c>
      <c r="L43" s="27" t="str">
        <f>IF('Curve Header Data'!H44="","",'Curve Header Data'!H44)</f>
        <v/>
      </c>
      <c r="M43" s="27" t="str">
        <f>IF('Curve Header Data'!I44="","",'Curve Header Data'!I44)</f>
        <v/>
      </c>
      <c r="N43" s="27" t="str">
        <f>IF('Curve Header Data'!J44="","",'Curve Header Data'!J44*$E$3)</f>
        <v/>
      </c>
      <c r="O43" s="27">
        <f>IF('Curve Header Data'!S44="","",'Curve Header Data'!S44*$J$2)</f>
        <v>0</v>
      </c>
      <c r="P43" s="27">
        <f>IF('Curve Header Data'!T44="","",'Curve Header Data'!T44*$J$3)</f>
        <v>0</v>
      </c>
      <c r="Q43" s="27" t="str">
        <f>IF('Curve Header Data'!U44="","",'Curve Header Data'!U44)</f>
        <v/>
      </c>
      <c r="R43" s="27" t="str">
        <f>IF('Curve Header Data'!V44="","",'Curve Header Data'!V44)</f>
        <v>0</v>
      </c>
      <c r="S43" s="27" t="str">
        <f>IF('Curve Header Data'!W44="","",'Curve Header Data'!W44)</f>
        <v/>
      </c>
    </row>
    <row r="44" spans="1:19" x14ac:dyDescent="0.2">
      <c r="A44" s="38" t="str">
        <f>IF('Curve Header Data'!A45="","",'Curve Header Data'!A45)</f>
        <v/>
      </c>
      <c r="B44" s="38" t="str">
        <f>IF('Curve Header Data'!C45="","",'Curve Header Data'!C45)</f>
        <v/>
      </c>
      <c r="C44" s="38" t="str">
        <f>IF('Curve Header Data'!D45="","",'Curve Header Data'!D45)</f>
        <v/>
      </c>
      <c r="D44" s="38" t="str">
        <f>IF('Curve Header Data'!E45="","",'Curve Header Data'!E45)</f>
        <v/>
      </c>
      <c r="E44" s="38" t="str">
        <f>IF('Curve Header Data'!B45="","",'Curve Header Data'!B45)</f>
        <v/>
      </c>
      <c r="F44" s="38" t="str">
        <f>IF('Curve Header Data'!K45="","",'Curve Header Data'!K45*$E$2)</f>
        <v/>
      </c>
      <c r="G44" s="38" t="str">
        <f>IF('Curve Header Data'!L45="","",'Curve Header Data'!L45*$E$2)</f>
        <v/>
      </c>
      <c r="H44" s="38">
        <f>IF('Curve Header Data'!N45="","",'Curve Header Data'!N45)</f>
        <v>1</v>
      </c>
      <c r="I44" s="38">
        <f>IF('Curve Header Data'!O45="","",'Curve Header Data'!O45)</f>
        <v>5</v>
      </c>
      <c r="J44" s="27" t="str">
        <f>IF('Curve Header Data'!M45="","",'Curve Header Data'!M45)</f>
        <v/>
      </c>
      <c r="K44" s="27" t="str">
        <f>IF('Curve Header Data'!G45="","",'Curve Header Data'!G45)</f>
        <v/>
      </c>
      <c r="L44" s="27" t="str">
        <f>IF('Curve Header Data'!H45="","",'Curve Header Data'!H45)</f>
        <v/>
      </c>
      <c r="M44" s="27" t="str">
        <f>IF('Curve Header Data'!I45="","",'Curve Header Data'!I45)</f>
        <v/>
      </c>
      <c r="N44" s="27" t="str">
        <f>IF('Curve Header Data'!J45="","",'Curve Header Data'!J45*$E$3)</f>
        <v/>
      </c>
      <c r="O44" s="27">
        <f>IF('Curve Header Data'!S45="","",'Curve Header Data'!S45*$J$2)</f>
        <v>0</v>
      </c>
      <c r="P44" s="27">
        <f>IF('Curve Header Data'!T45="","",'Curve Header Data'!T45*$J$3)</f>
        <v>0</v>
      </c>
      <c r="Q44" s="27" t="str">
        <f>IF('Curve Header Data'!U45="","",'Curve Header Data'!U45)</f>
        <v/>
      </c>
      <c r="R44" s="27" t="str">
        <f>IF('Curve Header Data'!V45="","",'Curve Header Data'!V45)</f>
        <v>0</v>
      </c>
      <c r="S44" s="27" t="str">
        <f>IF('Curve Header Data'!W45="","",'Curve Header Data'!W45)</f>
        <v/>
      </c>
    </row>
    <row r="45" spans="1:19" x14ac:dyDescent="0.2">
      <c r="A45" s="38" t="str">
        <f>IF('Curve Header Data'!A46="","",'Curve Header Data'!A46)</f>
        <v/>
      </c>
      <c r="B45" s="38" t="str">
        <f>IF('Curve Header Data'!C46="","",'Curve Header Data'!C46)</f>
        <v/>
      </c>
      <c r="C45" s="38" t="str">
        <f>IF('Curve Header Data'!D46="","",'Curve Header Data'!D46)</f>
        <v/>
      </c>
      <c r="D45" s="38" t="str">
        <f>IF('Curve Header Data'!E46="","",'Curve Header Data'!E46)</f>
        <v/>
      </c>
      <c r="E45" s="38" t="str">
        <f>IF('Curve Header Data'!B46="","",'Curve Header Data'!B46)</f>
        <v/>
      </c>
      <c r="F45" s="38" t="str">
        <f>IF('Curve Header Data'!K46="","",'Curve Header Data'!K46*$E$2)</f>
        <v/>
      </c>
      <c r="G45" s="38" t="str">
        <f>IF('Curve Header Data'!L46="","",'Curve Header Data'!L46*$E$2)</f>
        <v/>
      </c>
      <c r="H45" s="38">
        <f>IF('Curve Header Data'!N46="","",'Curve Header Data'!N46)</f>
        <v>1</v>
      </c>
      <c r="I45" s="38">
        <f>IF('Curve Header Data'!O46="","",'Curve Header Data'!O46)</f>
        <v>5</v>
      </c>
      <c r="J45" s="27" t="str">
        <f>IF('Curve Header Data'!M46="","",'Curve Header Data'!M46)</f>
        <v/>
      </c>
      <c r="K45" s="27" t="str">
        <f>IF('Curve Header Data'!G46="","",'Curve Header Data'!G46)</f>
        <v/>
      </c>
      <c r="L45" s="27" t="str">
        <f>IF('Curve Header Data'!H46="","",'Curve Header Data'!H46)</f>
        <v/>
      </c>
      <c r="M45" s="27" t="str">
        <f>IF('Curve Header Data'!I46="","",'Curve Header Data'!I46)</f>
        <v/>
      </c>
      <c r="N45" s="27" t="str">
        <f>IF('Curve Header Data'!J46="","",'Curve Header Data'!J46*$E$3)</f>
        <v/>
      </c>
      <c r="O45" s="27">
        <f>IF('Curve Header Data'!S46="","",'Curve Header Data'!S46*$J$2)</f>
        <v>0</v>
      </c>
      <c r="P45" s="27">
        <f>IF('Curve Header Data'!T46="","",'Curve Header Data'!T46*$J$3)</f>
        <v>0</v>
      </c>
      <c r="Q45" s="27" t="str">
        <f>IF('Curve Header Data'!U46="","",'Curve Header Data'!U46)</f>
        <v/>
      </c>
      <c r="R45" s="27" t="str">
        <f>IF('Curve Header Data'!V46="","",'Curve Header Data'!V46)</f>
        <v>0</v>
      </c>
      <c r="S45" s="27" t="str">
        <f>IF('Curve Header Data'!W46="","",'Curve Header Data'!W46)</f>
        <v/>
      </c>
    </row>
    <row r="46" spans="1:19" x14ac:dyDescent="0.2">
      <c r="A46" s="38" t="str">
        <f>IF('Curve Header Data'!A47="","",'Curve Header Data'!A47)</f>
        <v/>
      </c>
      <c r="B46" s="38" t="str">
        <f>IF('Curve Header Data'!C47="","",'Curve Header Data'!C47)</f>
        <v/>
      </c>
      <c r="C46" s="38" t="str">
        <f>IF('Curve Header Data'!D47="","",'Curve Header Data'!D47)</f>
        <v/>
      </c>
      <c r="D46" s="38" t="str">
        <f>IF('Curve Header Data'!E47="","",'Curve Header Data'!E47)</f>
        <v/>
      </c>
      <c r="E46" s="38" t="str">
        <f>IF('Curve Header Data'!B47="","",'Curve Header Data'!B47)</f>
        <v/>
      </c>
      <c r="F46" s="38" t="str">
        <f>IF('Curve Header Data'!K47="","",'Curve Header Data'!K47*$E$2)</f>
        <v/>
      </c>
      <c r="G46" s="38" t="str">
        <f>IF('Curve Header Data'!L47="","",'Curve Header Data'!L47*$E$2)</f>
        <v/>
      </c>
      <c r="H46" s="38">
        <f>IF('Curve Header Data'!N47="","",'Curve Header Data'!N47)</f>
        <v>1</v>
      </c>
      <c r="I46" s="38">
        <f>IF('Curve Header Data'!O47="","",'Curve Header Data'!O47)</f>
        <v>5</v>
      </c>
      <c r="J46" s="27" t="str">
        <f>IF('Curve Header Data'!M47="","",'Curve Header Data'!M47)</f>
        <v/>
      </c>
      <c r="K46" s="27" t="str">
        <f>IF('Curve Header Data'!G47="","",'Curve Header Data'!G47)</f>
        <v/>
      </c>
      <c r="L46" s="27" t="str">
        <f>IF('Curve Header Data'!H47="","",'Curve Header Data'!H47)</f>
        <v/>
      </c>
      <c r="M46" s="27" t="str">
        <f>IF('Curve Header Data'!I47="","",'Curve Header Data'!I47)</f>
        <v/>
      </c>
      <c r="N46" s="27" t="str">
        <f>IF('Curve Header Data'!J47="","",'Curve Header Data'!J47*$E$3)</f>
        <v/>
      </c>
      <c r="O46" s="27">
        <f>IF('Curve Header Data'!S47="","",'Curve Header Data'!S47*$J$2)</f>
        <v>0</v>
      </c>
      <c r="P46" s="27">
        <f>IF('Curve Header Data'!T47="","",'Curve Header Data'!T47*$J$3)</f>
        <v>0</v>
      </c>
      <c r="Q46" s="27" t="str">
        <f>IF('Curve Header Data'!U47="","",'Curve Header Data'!U47)</f>
        <v/>
      </c>
      <c r="R46" s="27" t="str">
        <f>IF('Curve Header Data'!V47="","",'Curve Header Data'!V47)</f>
        <v>0</v>
      </c>
      <c r="S46" s="27" t="str">
        <f>IF('Curve Header Data'!W47="","",'Curve Header Data'!W47)</f>
        <v/>
      </c>
    </row>
    <row r="47" spans="1:19" x14ac:dyDescent="0.2">
      <c r="A47" s="38" t="str">
        <f>IF('Curve Header Data'!A48="","",'Curve Header Data'!A48)</f>
        <v/>
      </c>
      <c r="B47" s="38" t="str">
        <f>IF('Curve Header Data'!C48="","",'Curve Header Data'!C48)</f>
        <v/>
      </c>
      <c r="C47" s="38" t="str">
        <f>IF('Curve Header Data'!D48="","",'Curve Header Data'!D48)</f>
        <v/>
      </c>
      <c r="D47" s="38" t="str">
        <f>IF('Curve Header Data'!E48="","",'Curve Header Data'!E48)</f>
        <v/>
      </c>
      <c r="E47" s="38" t="str">
        <f>IF('Curve Header Data'!B48="","",'Curve Header Data'!B48)</f>
        <v/>
      </c>
      <c r="F47" s="38" t="str">
        <f>IF('Curve Header Data'!K48="","",'Curve Header Data'!K48*$E$2)</f>
        <v/>
      </c>
      <c r="G47" s="38" t="str">
        <f>IF('Curve Header Data'!L48="","",'Curve Header Data'!L48*$E$2)</f>
        <v/>
      </c>
      <c r="H47" s="38">
        <f>IF('Curve Header Data'!N48="","",'Curve Header Data'!N48)</f>
        <v>1</v>
      </c>
      <c r="I47" s="38">
        <f>IF('Curve Header Data'!O48="","",'Curve Header Data'!O48)</f>
        <v>5</v>
      </c>
      <c r="J47" s="27" t="str">
        <f>IF('Curve Header Data'!M48="","",'Curve Header Data'!M48)</f>
        <v/>
      </c>
      <c r="K47" s="27" t="str">
        <f>IF('Curve Header Data'!G48="","",'Curve Header Data'!G48)</f>
        <v/>
      </c>
      <c r="L47" s="27" t="str">
        <f>IF('Curve Header Data'!H48="","",'Curve Header Data'!H48)</f>
        <v/>
      </c>
      <c r="M47" s="27" t="str">
        <f>IF('Curve Header Data'!I48="","",'Curve Header Data'!I48)</f>
        <v/>
      </c>
      <c r="N47" s="27" t="str">
        <f>IF('Curve Header Data'!J48="","",'Curve Header Data'!J48*$E$3)</f>
        <v/>
      </c>
      <c r="O47" s="27">
        <f>IF('Curve Header Data'!S48="","",'Curve Header Data'!S48*$J$2)</f>
        <v>0</v>
      </c>
      <c r="P47" s="27">
        <f>IF('Curve Header Data'!T48="","",'Curve Header Data'!T48*$J$3)</f>
        <v>0</v>
      </c>
      <c r="Q47" s="27" t="str">
        <f>IF('Curve Header Data'!U48="","",'Curve Header Data'!U48)</f>
        <v/>
      </c>
      <c r="R47" s="27" t="str">
        <f>IF('Curve Header Data'!V48="","",'Curve Header Data'!V48)</f>
        <v>0</v>
      </c>
      <c r="S47" s="27" t="str">
        <f>IF('Curve Header Data'!W48="","",'Curve Header Data'!W48)</f>
        <v/>
      </c>
    </row>
    <row r="48" spans="1:19" x14ac:dyDescent="0.2">
      <c r="A48" s="38" t="str">
        <f>IF('Curve Header Data'!A49="","",'Curve Header Data'!A49)</f>
        <v/>
      </c>
      <c r="B48" s="38" t="str">
        <f>IF('Curve Header Data'!C49="","",'Curve Header Data'!C49)</f>
        <v/>
      </c>
      <c r="C48" s="38" t="str">
        <f>IF('Curve Header Data'!D49="","",'Curve Header Data'!D49)</f>
        <v/>
      </c>
      <c r="D48" s="38" t="str">
        <f>IF('Curve Header Data'!E49="","",'Curve Header Data'!E49)</f>
        <v/>
      </c>
      <c r="E48" s="38" t="str">
        <f>IF('Curve Header Data'!B49="","",'Curve Header Data'!B49)</f>
        <v/>
      </c>
      <c r="F48" s="38" t="str">
        <f>IF('Curve Header Data'!K49="","",'Curve Header Data'!K49*$E$2)</f>
        <v/>
      </c>
      <c r="G48" s="38" t="str">
        <f>IF('Curve Header Data'!L49="","",'Curve Header Data'!L49*$E$2)</f>
        <v/>
      </c>
      <c r="H48" s="38">
        <f>IF('Curve Header Data'!N49="","",'Curve Header Data'!N49)</f>
        <v>1</v>
      </c>
      <c r="I48" s="38">
        <f>IF('Curve Header Data'!O49="","",'Curve Header Data'!O49)</f>
        <v>5</v>
      </c>
      <c r="J48" s="27" t="str">
        <f>IF('Curve Header Data'!M49="","",'Curve Header Data'!M49)</f>
        <v/>
      </c>
      <c r="K48" s="27" t="str">
        <f>IF('Curve Header Data'!G49="","",'Curve Header Data'!G49)</f>
        <v/>
      </c>
      <c r="L48" s="27" t="str">
        <f>IF('Curve Header Data'!H49="","",'Curve Header Data'!H49)</f>
        <v/>
      </c>
      <c r="M48" s="27" t="str">
        <f>IF('Curve Header Data'!I49="","",'Curve Header Data'!I49)</f>
        <v/>
      </c>
      <c r="N48" s="27" t="str">
        <f>IF('Curve Header Data'!J49="","",'Curve Header Data'!J49*$E$3)</f>
        <v/>
      </c>
      <c r="O48" s="27">
        <f>IF('Curve Header Data'!S49="","",'Curve Header Data'!S49*$J$2)</f>
        <v>0</v>
      </c>
      <c r="P48" s="27">
        <f>IF('Curve Header Data'!T49="","",'Curve Header Data'!T49*$J$3)</f>
        <v>0</v>
      </c>
      <c r="Q48" s="27" t="str">
        <f>IF('Curve Header Data'!U49="","",'Curve Header Data'!U49)</f>
        <v/>
      </c>
      <c r="R48" s="27" t="str">
        <f>IF('Curve Header Data'!V49="","",'Curve Header Data'!V49)</f>
        <v>0</v>
      </c>
      <c r="S48" s="27" t="str">
        <f>IF('Curve Header Data'!W49="","",'Curve Header Data'!W49)</f>
        <v/>
      </c>
    </row>
    <row r="49" spans="1:19" x14ac:dyDescent="0.2">
      <c r="A49" s="38" t="str">
        <f>IF('Curve Header Data'!A50="","",'Curve Header Data'!A50)</f>
        <v/>
      </c>
      <c r="B49" s="38" t="str">
        <f>IF('Curve Header Data'!C50="","",'Curve Header Data'!C50)</f>
        <v/>
      </c>
      <c r="C49" s="38" t="str">
        <f>IF('Curve Header Data'!D50="","",'Curve Header Data'!D50)</f>
        <v/>
      </c>
      <c r="D49" s="38" t="str">
        <f>IF('Curve Header Data'!E50="","",'Curve Header Data'!E50)</f>
        <v/>
      </c>
      <c r="E49" s="38" t="str">
        <f>IF('Curve Header Data'!B50="","",'Curve Header Data'!B50)</f>
        <v/>
      </c>
      <c r="F49" s="38" t="str">
        <f>IF('Curve Header Data'!K50="","",'Curve Header Data'!K50*$E$2)</f>
        <v/>
      </c>
      <c r="G49" s="38" t="str">
        <f>IF('Curve Header Data'!L50="","",'Curve Header Data'!L50*$E$2)</f>
        <v/>
      </c>
      <c r="H49" s="38">
        <f>IF('Curve Header Data'!N50="","",'Curve Header Data'!N50)</f>
        <v>1</v>
      </c>
      <c r="I49" s="38">
        <f>IF('Curve Header Data'!O50="","",'Curve Header Data'!O50)</f>
        <v>5</v>
      </c>
      <c r="J49" s="27" t="str">
        <f>IF('Curve Header Data'!M50="","",'Curve Header Data'!M50)</f>
        <v/>
      </c>
      <c r="K49" s="27" t="str">
        <f>IF('Curve Header Data'!G50="","",'Curve Header Data'!G50)</f>
        <v/>
      </c>
      <c r="L49" s="27" t="str">
        <f>IF('Curve Header Data'!H50="","",'Curve Header Data'!H50)</f>
        <v/>
      </c>
      <c r="M49" s="27" t="str">
        <f>IF('Curve Header Data'!I50="","",'Curve Header Data'!I50)</f>
        <v/>
      </c>
      <c r="N49" s="27" t="str">
        <f>IF('Curve Header Data'!J50="","",'Curve Header Data'!J50*$E$3)</f>
        <v/>
      </c>
      <c r="O49" s="27">
        <f>IF('Curve Header Data'!S50="","",'Curve Header Data'!S50*$J$2)</f>
        <v>0</v>
      </c>
      <c r="P49" s="27">
        <f>IF('Curve Header Data'!T50="","",'Curve Header Data'!T50*$J$3)</f>
        <v>0</v>
      </c>
      <c r="Q49" s="27" t="str">
        <f>IF('Curve Header Data'!U50="","",'Curve Header Data'!U50)</f>
        <v/>
      </c>
      <c r="R49" s="27" t="str">
        <f>IF('Curve Header Data'!V50="","",'Curve Header Data'!V50)</f>
        <v>0</v>
      </c>
      <c r="S49" s="27" t="str">
        <f>IF('Curve Header Data'!W50="","",'Curve Header Data'!W50)</f>
        <v/>
      </c>
    </row>
    <row r="50" spans="1:19" x14ac:dyDescent="0.2">
      <c r="A50" s="38" t="str">
        <f>IF('Curve Header Data'!A51="","",'Curve Header Data'!A51)</f>
        <v/>
      </c>
      <c r="B50" s="38" t="str">
        <f>IF('Curve Header Data'!C51="","",'Curve Header Data'!C51)</f>
        <v/>
      </c>
      <c r="C50" s="38" t="str">
        <f>IF('Curve Header Data'!D51="","",'Curve Header Data'!D51)</f>
        <v/>
      </c>
      <c r="D50" s="38" t="str">
        <f>IF('Curve Header Data'!E51="","",'Curve Header Data'!E51)</f>
        <v/>
      </c>
      <c r="E50" s="38" t="str">
        <f>IF('Curve Header Data'!B51="","",'Curve Header Data'!B51)</f>
        <v/>
      </c>
      <c r="F50" s="38" t="str">
        <f>IF('Curve Header Data'!K51="","",'Curve Header Data'!K51*$E$2)</f>
        <v/>
      </c>
      <c r="G50" s="38" t="str">
        <f>IF('Curve Header Data'!L51="","",'Curve Header Data'!L51*$E$2)</f>
        <v/>
      </c>
      <c r="H50" s="38">
        <f>IF('Curve Header Data'!N51="","",'Curve Header Data'!N51)</f>
        <v>1</v>
      </c>
      <c r="I50" s="38">
        <f>IF('Curve Header Data'!O51="","",'Curve Header Data'!O51)</f>
        <v>5</v>
      </c>
      <c r="J50" s="27" t="str">
        <f>IF('Curve Header Data'!M51="","",'Curve Header Data'!M51)</f>
        <v/>
      </c>
      <c r="K50" s="27" t="str">
        <f>IF('Curve Header Data'!G51="","",'Curve Header Data'!G51)</f>
        <v/>
      </c>
      <c r="L50" s="27" t="str">
        <f>IF('Curve Header Data'!H51="","",'Curve Header Data'!H51)</f>
        <v/>
      </c>
      <c r="M50" s="27" t="str">
        <f>IF('Curve Header Data'!I51="","",'Curve Header Data'!I51)</f>
        <v/>
      </c>
      <c r="N50" s="27" t="str">
        <f>IF('Curve Header Data'!J51="","",'Curve Header Data'!J51*$E$3)</f>
        <v/>
      </c>
      <c r="O50" s="27">
        <f>IF('Curve Header Data'!S51="","",'Curve Header Data'!S51*$J$2)</f>
        <v>0</v>
      </c>
      <c r="P50" s="27">
        <f>IF('Curve Header Data'!T51="","",'Curve Header Data'!T51*$J$3)</f>
        <v>0</v>
      </c>
      <c r="Q50" s="27" t="str">
        <f>IF('Curve Header Data'!U51="","",'Curve Header Data'!U51)</f>
        <v/>
      </c>
      <c r="R50" s="27" t="str">
        <f>IF('Curve Header Data'!V51="","",'Curve Header Data'!V51)</f>
        <v>0</v>
      </c>
      <c r="S50" s="27" t="str">
        <f>IF('Curve Header Data'!W51="","",'Curve Header Data'!W51)</f>
        <v/>
      </c>
    </row>
    <row r="51" spans="1:19" x14ac:dyDescent="0.2">
      <c r="A51" s="38" t="str">
        <f>IF('Curve Header Data'!A52="","",'Curve Header Data'!A52)</f>
        <v/>
      </c>
      <c r="B51" s="38" t="str">
        <f>IF('Curve Header Data'!C52="","",'Curve Header Data'!C52)</f>
        <v/>
      </c>
      <c r="C51" s="38" t="str">
        <f>IF('Curve Header Data'!D52="","",'Curve Header Data'!D52)</f>
        <v/>
      </c>
      <c r="D51" s="38" t="str">
        <f>IF('Curve Header Data'!E52="","",'Curve Header Data'!E52)</f>
        <v/>
      </c>
      <c r="E51" s="38" t="str">
        <f>IF('Curve Header Data'!B52="","",'Curve Header Data'!B52)</f>
        <v/>
      </c>
      <c r="F51" s="38" t="str">
        <f>IF('Curve Header Data'!K52="","",'Curve Header Data'!K52*$E$2)</f>
        <v/>
      </c>
      <c r="G51" s="38" t="str">
        <f>IF('Curve Header Data'!L52="","",'Curve Header Data'!L52*$E$2)</f>
        <v/>
      </c>
      <c r="H51" s="38">
        <f>IF('Curve Header Data'!N52="","",'Curve Header Data'!N52)</f>
        <v>1</v>
      </c>
      <c r="I51" s="38">
        <f>IF('Curve Header Data'!O52="","",'Curve Header Data'!O52)</f>
        <v>5</v>
      </c>
      <c r="J51" s="27" t="str">
        <f>IF('Curve Header Data'!M52="","",'Curve Header Data'!M52)</f>
        <v/>
      </c>
      <c r="K51" s="27" t="str">
        <f>IF('Curve Header Data'!G52="","",'Curve Header Data'!G52)</f>
        <v/>
      </c>
      <c r="L51" s="27" t="str">
        <f>IF('Curve Header Data'!H52="","",'Curve Header Data'!H52)</f>
        <v/>
      </c>
      <c r="M51" s="27" t="str">
        <f>IF('Curve Header Data'!I52="","",'Curve Header Data'!I52)</f>
        <v/>
      </c>
      <c r="N51" s="27" t="str">
        <f>IF('Curve Header Data'!J52="","",'Curve Header Data'!J52*$E$3)</f>
        <v/>
      </c>
      <c r="O51" s="27">
        <f>IF('Curve Header Data'!S52="","",'Curve Header Data'!S52*$J$2)</f>
        <v>0</v>
      </c>
      <c r="P51" s="27">
        <f>IF('Curve Header Data'!T52="","",'Curve Header Data'!T52*$J$3)</f>
        <v>0</v>
      </c>
      <c r="Q51" s="27" t="str">
        <f>IF('Curve Header Data'!U52="","",'Curve Header Data'!U52)</f>
        <v/>
      </c>
      <c r="R51" s="27" t="str">
        <f>IF('Curve Header Data'!V52="","",'Curve Header Data'!V52)</f>
        <v>0</v>
      </c>
      <c r="S51" s="27" t="str">
        <f>IF('Curve Header Data'!W52="","",'Curve Header Data'!W52)</f>
        <v/>
      </c>
    </row>
    <row r="52" spans="1:19" x14ac:dyDescent="0.2">
      <c r="A52" s="38" t="str">
        <f>IF('Curve Header Data'!A53="","",'Curve Header Data'!A53)</f>
        <v/>
      </c>
      <c r="B52" s="38" t="str">
        <f>IF('Curve Header Data'!C53="","",'Curve Header Data'!C53)</f>
        <v/>
      </c>
      <c r="C52" s="38" t="str">
        <f>IF('Curve Header Data'!D53="","",'Curve Header Data'!D53)</f>
        <v/>
      </c>
      <c r="D52" s="38" t="str">
        <f>IF('Curve Header Data'!E53="","",'Curve Header Data'!E53)</f>
        <v/>
      </c>
      <c r="E52" s="38" t="str">
        <f>IF('Curve Header Data'!B53="","",'Curve Header Data'!B53)</f>
        <v/>
      </c>
      <c r="F52" s="38" t="str">
        <f>IF('Curve Header Data'!K53="","",'Curve Header Data'!K53*$E$2)</f>
        <v/>
      </c>
      <c r="G52" s="38" t="str">
        <f>IF('Curve Header Data'!L53="","",'Curve Header Data'!L53*$E$2)</f>
        <v/>
      </c>
      <c r="H52" s="38">
        <f>IF('Curve Header Data'!N53="","",'Curve Header Data'!N53)</f>
        <v>1</v>
      </c>
      <c r="I52" s="38">
        <f>IF('Curve Header Data'!O53="","",'Curve Header Data'!O53)</f>
        <v>5</v>
      </c>
      <c r="J52" s="27" t="str">
        <f>IF('Curve Header Data'!M53="","",'Curve Header Data'!M53)</f>
        <v/>
      </c>
      <c r="K52" s="27" t="str">
        <f>IF('Curve Header Data'!G53="","",'Curve Header Data'!G53)</f>
        <v/>
      </c>
      <c r="L52" s="27" t="str">
        <f>IF('Curve Header Data'!H53="","",'Curve Header Data'!H53)</f>
        <v/>
      </c>
      <c r="M52" s="27" t="str">
        <f>IF('Curve Header Data'!I53="","",'Curve Header Data'!I53)</f>
        <v/>
      </c>
      <c r="N52" s="27" t="str">
        <f>IF('Curve Header Data'!J53="","",'Curve Header Data'!J53*$E$3)</f>
        <v/>
      </c>
      <c r="O52" s="27">
        <f>IF('Curve Header Data'!S53="","",'Curve Header Data'!S53*$J$2)</f>
        <v>0</v>
      </c>
      <c r="P52" s="27">
        <f>IF('Curve Header Data'!T53="","",'Curve Header Data'!T53*$J$3)</f>
        <v>0</v>
      </c>
      <c r="Q52" s="27" t="str">
        <f>IF('Curve Header Data'!U53="","",'Curve Header Data'!U53)</f>
        <v/>
      </c>
      <c r="R52" s="27" t="str">
        <f>IF('Curve Header Data'!V53="","",'Curve Header Data'!V53)</f>
        <v>0</v>
      </c>
      <c r="S52" s="27" t="str">
        <f>IF('Curve Header Data'!W53="","",'Curve Header Data'!W53)</f>
        <v/>
      </c>
    </row>
    <row r="53" spans="1:19" x14ac:dyDescent="0.2">
      <c r="A53" s="38" t="str">
        <f>IF('Curve Header Data'!A54="","",'Curve Header Data'!A54)</f>
        <v/>
      </c>
      <c r="B53" s="38" t="str">
        <f>IF('Curve Header Data'!C54="","",'Curve Header Data'!C54)</f>
        <v/>
      </c>
      <c r="C53" s="38" t="str">
        <f>IF('Curve Header Data'!D54="","",'Curve Header Data'!D54)</f>
        <v/>
      </c>
      <c r="D53" s="38" t="str">
        <f>IF('Curve Header Data'!E54="","",'Curve Header Data'!E54)</f>
        <v/>
      </c>
      <c r="E53" s="38" t="str">
        <f>IF('Curve Header Data'!B54="","",'Curve Header Data'!B54)</f>
        <v/>
      </c>
      <c r="F53" s="38" t="str">
        <f>IF('Curve Header Data'!K54="","",'Curve Header Data'!K54*$E$2)</f>
        <v/>
      </c>
      <c r="G53" s="38" t="str">
        <f>IF('Curve Header Data'!L54="","",'Curve Header Data'!L54*$E$2)</f>
        <v/>
      </c>
      <c r="H53" s="38">
        <f>IF('Curve Header Data'!N54="","",'Curve Header Data'!N54)</f>
        <v>1</v>
      </c>
      <c r="I53" s="38">
        <f>IF('Curve Header Data'!O54="","",'Curve Header Data'!O54)</f>
        <v>5</v>
      </c>
      <c r="J53" s="27" t="str">
        <f>IF('Curve Header Data'!M54="","",'Curve Header Data'!M54)</f>
        <v/>
      </c>
      <c r="K53" s="27" t="str">
        <f>IF('Curve Header Data'!G54="","",'Curve Header Data'!G54)</f>
        <v/>
      </c>
      <c r="L53" s="27" t="str">
        <f>IF('Curve Header Data'!H54="","",'Curve Header Data'!H54)</f>
        <v/>
      </c>
      <c r="M53" s="27" t="str">
        <f>IF('Curve Header Data'!I54="","",'Curve Header Data'!I54)</f>
        <v/>
      </c>
      <c r="N53" s="27" t="str">
        <f>IF('Curve Header Data'!J54="","",'Curve Header Data'!J54*$E$3)</f>
        <v/>
      </c>
      <c r="O53" s="27">
        <f>IF('Curve Header Data'!S54="","",'Curve Header Data'!S54*$J$2)</f>
        <v>0</v>
      </c>
      <c r="P53" s="27">
        <f>IF('Curve Header Data'!T54="","",'Curve Header Data'!T54*$J$3)</f>
        <v>0</v>
      </c>
      <c r="Q53" s="27" t="str">
        <f>IF('Curve Header Data'!U54="","",'Curve Header Data'!U54)</f>
        <v/>
      </c>
      <c r="R53" s="27" t="str">
        <f>IF('Curve Header Data'!V54="","",'Curve Header Data'!V54)</f>
        <v>0</v>
      </c>
      <c r="S53" s="27" t="str">
        <f>IF('Curve Header Data'!W54="","",'Curve Header Data'!W54)</f>
        <v/>
      </c>
    </row>
    <row r="54" spans="1:19" x14ac:dyDescent="0.2">
      <c r="A54" s="38" t="str">
        <f>IF('Curve Header Data'!A55="","",'Curve Header Data'!A55)</f>
        <v/>
      </c>
      <c r="B54" s="38" t="str">
        <f>IF('Curve Header Data'!C55="","",'Curve Header Data'!C55)</f>
        <v/>
      </c>
      <c r="C54" s="38" t="str">
        <f>IF('Curve Header Data'!D55="","",'Curve Header Data'!D55)</f>
        <v/>
      </c>
      <c r="D54" s="38" t="str">
        <f>IF('Curve Header Data'!E55="","",'Curve Header Data'!E55)</f>
        <v/>
      </c>
      <c r="E54" s="38" t="str">
        <f>IF('Curve Header Data'!B55="","",'Curve Header Data'!B55)</f>
        <v/>
      </c>
      <c r="F54" s="38" t="str">
        <f>IF('Curve Header Data'!K55="","",'Curve Header Data'!K55*$E$2)</f>
        <v/>
      </c>
      <c r="G54" s="38" t="str">
        <f>IF('Curve Header Data'!L55="","",'Curve Header Data'!L55*$E$2)</f>
        <v/>
      </c>
      <c r="H54" s="38">
        <f>IF('Curve Header Data'!N55="","",'Curve Header Data'!N55)</f>
        <v>1</v>
      </c>
      <c r="I54" s="38">
        <f>IF('Curve Header Data'!O55="","",'Curve Header Data'!O55)</f>
        <v>5</v>
      </c>
      <c r="J54" s="27" t="str">
        <f>IF('Curve Header Data'!M55="","",'Curve Header Data'!M55)</f>
        <v/>
      </c>
      <c r="K54" s="27" t="str">
        <f>IF('Curve Header Data'!G55="","",'Curve Header Data'!G55)</f>
        <v/>
      </c>
      <c r="L54" s="27" t="str">
        <f>IF('Curve Header Data'!H55="","",'Curve Header Data'!H55)</f>
        <v/>
      </c>
      <c r="M54" s="27" t="str">
        <f>IF('Curve Header Data'!I55="","",'Curve Header Data'!I55)</f>
        <v/>
      </c>
      <c r="N54" s="27" t="str">
        <f>IF('Curve Header Data'!J55="","",'Curve Header Data'!J55*$E$3)</f>
        <v/>
      </c>
      <c r="O54" s="27">
        <f>IF('Curve Header Data'!S55="","",'Curve Header Data'!S55*$J$2)</f>
        <v>0</v>
      </c>
      <c r="P54" s="27">
        <f>IF('Curve Header Data'!T55="","",'Curve Header Data'!T55*$J$3)</f>
        <v>0</v>
      </c>
      <c r="Q54" s="27" t="str">
        <f>IF('Curve Header Data'!U55="","",'Curve Header Data'!U55)</f>
        <v/>
      </c>
      <c r="R54" s="27" t="str">
        <f>IF('Curve Header Data'!V55="","",'Curve Header Data'!V55)</f>
        <v>0</v>
      </c>
      <c r="S54" s="27" t="str">
        <f>IF('Curve Header Data'!W55="","",'Curve Header Data'!W55)</f>
        <v/>
      </c>
    </row>
    <row r="55" spans="1:19" x14ac:dyDescent="0.2">
      <c r="A55" s="38" t="str">
        <f>IF('Curve Header Data'!A56="","",'Curve Header Data'!A56)</f>
        <v/>
      </c>
      <c r="B55" s="38" t="str">
        <f>IF('Curve Header Data'!C56="","",'Curve Header Data'!C56)</f>
        <v/>
      </c>
      <c r="C55" s="38" t="str">
        <f>IF('Curve Header Data'!D56="","",'Curve Header Data'!D56)</f>
        <v/>
      </c>
      <c r="D55" s="38" t="str">
        <f>IF('Curve Header Data'!E56="","",'Curve Header Data'!E56)</f>
        <v/>
      </c>
      <c r="E55" s="38" t="str">
        <f>IF('Curve Header Data'!B56="","",'Curve Header Data'!B56)</f>
        <v/>
      </c>
      <c r="F55" s="38" t="str">
        <f>IF('Curve Header Data'!K56="","",'Curve Header Data'!K56*$E$2)</f>
        <v/>
      </c>
      <c r="G55" s="38" t="str">
        <f>IF('Curve Header Data'!L56="","",'Curve Header Data'!L56*$E$2)</f>
        <v/>
      </c>
      <c r="H55" s="38">
        <f>IF('Curve Header Data'!N56="","",'Curve Header Data'!N56)</f>
        <v>1</v>
      </c>
      <c r="I55" s="38">
        <f>IF('Curve Header Data'!O56="","",'Curve Header Data'!O56)</f>
        <v>5</v>
      </c>
      <c r="J55" s="27" t="str">
        <f>IF('Curve Header Data'!M56="","",'Curve Header Data'!M56)</f>
        <v/>
      </c>
      <c r="K55" s="27" t="str">
        <f>IF('Curve Header Data'!G56="","",'Curve Header Data'!G56)</f>
        <v/>
      </c>
      <c r="L55" s="27" t="str">
        <f>IF('Curve Header Data'!H56="","",'Curve Header Data'!H56)</f>
        <v/>
      </c>
      <c r="M55" s="27" t="str">
        <f>IF('Curve Header Data'!I56="","",'Curve Header Data'!I56)</f>
        <v/>
      </c>
      <c r="N55" s="27" t="str">
        <f>IF('Curve Header Data'!J56="","",'Curve Header Data'!J56*$E$3)</f>
        <v/>
      </c>
      <c r="O55" s="27">
        <f>IF('Curve Header Data'!S56="","",'Curve Header Data'!S56*$J$2)</f>
        <v>0</v>
      </c>
      <c r="P55" s="27">
        <f>IF('Curve Header Data'!T56="","",'Curve Header Data'!T56*$J$3)</f>
        <v>0</v>
      </c>
      <c r="Q55" s="27" t="str">
        <f>IF('Curve Header Data'!U56="","",'Curve Header Data'!U56)</f>
        <v/>
      </c>
      <c r="R55" s="27" t="str">
        <f>IF('Curve Header Data'!V56="","",'Curve Header Data'!V56)</f>
        <v>0</v>
      </c>
      <c r="S55" s="27" t="str">
        <f>IF('Curve Header Data'!W56="","",'Curve Header Data'!W56)</f>
        <v/>
      </c>
    </row>
    <row r="56" spans="1:19" x14ac:dyDescent="0.2">
      <c r="A56" s="38" t="str">
        <f>IF('Curve Header Data'!A57="","",'Curve Header Data'!A57)</f>
        <v/>
      </c>
      <c r="B56" s="38" t="str">
        <f>IF('Curve Header Data'!C57="","",'Curve Header Data'!C57)</f>
        <v/>
      </c>
      <c r="C56" s="38" t="str">
        <f>IF('Curve Header Data'!D57="","",'Curve Header Data'!D57)</f>
        <v/>
      </c>
      <c r="D56" s="38" t="str">
        <f>IF('Curve Header Data'!E57="","",'Curve Header Data'!E57)</f>
        <v/>
      </c>
      <c r="E56" s="38" t="str">
        <f>IF('Curve Header Data'!B57="","",'Curve Header Data'!B57)</f>
        <v/>
      </c>
      <c r="F56" s="38" t="str">
        <f>IF('Curve Header Data'!K57="","",'Curve Header Data'!K57*$E$2)</f>
        <v/>
      </c>
      <c r="G56" s="38" t="str">
        <f>IF('Curve Header Data'!L57="","",'Curve Header Data'!L57*$E$2)</f>
        <v/>
      </c>
      <c r="H56" s="38">
        <f>IF('Curve Header Data'!N57="","",'Curve Header Data'!N57)</f>
        <v>1</v>
      </c>
      <c r="I56" s="38">
        <f>IF('Curve Header Data'!O57="","",'Curve Header Data'!O57)</f>
        <v>5</v>
      </c>
      <c r="J56" s="27" t="str">
        <f>IF('Curve Header Data'!M57="","",'Curve Header Data'!M57)</f>
        <v/>
      </c>
      <c r="K56" s="27" t="str">
        <f>IF('Curve Header Data'!G57="","",'Curve Header Data'!G57)</f>
        <v/>
      </c>
      <c r="L56" s="27" t="str">
        <f>IF('Curve Header Data'!H57="","",'Curve Header Data'!H57)</f>
        <v/>
      </c>
      <c r="M56" s="27" t="str">
        <f>IF('Curve Header Data'!I57="","",'Curve Header Data'!I57)</f>
        <v/>
      </c>
      <c r="N56" s="27" t="str">
        <f>IF('Curve Header Data'!J57="","",'Curve Header Data'!J57*$E$3)</f>
        <v/>
      </c>
      <c r="O56" s="27">
        <f>IF('Curve Header Data'!S57="","",'Curve Header Data'!S57*$J$2)</f>
        <v>0</v>
      </c>
      <c r="P56" s="27">
        <f>IF('Curve Header Data'!T57="","",'Curve Header Data'!T57*$J$3)</f>
        <v>0</v>
      </c>
      <c r="Q56" s="27" t="str">
        <f>IF('Curve Header Data'!U57="","",'Curve Header Data'!U57)</f>
        <v/>
      </c>
      <c r="R56" s="27" t="str">
        <f>IF('Curve Header Data'!V57="","",'Curve Header Data'!V57)</f>
        <v>0</v>
      </c>
      <c r="S56" s="27" t="str">
        <f>IF('Curve Header Data'!W57="","",'Curve Header Data'!W57)</f>
        <v/>
      </c>
    </row>
    <row r="57" spans="1:19" x14ac:dyDescent="0.2">
      <c r="A57" s="38" t="str">
        <f>IF('Curve Header Data'!A58="","",'Curve Header Data'!A58)</f>
        <v/>
      </c>
      <c r="B57" s="38" t="str">
        <f>IF('Curve Header Data'!C58="","",'Curve Header Data'!C58)</f>
        <v/>
      </c>
      <c r="C57" s="38" t="str">
        <f>IF('Curve Header Data'!D58="","",'Curve Header Data'!D58)</f>
        <v/>
      </c>
      <c r="D57" s="38" t="str">
        <f>IF('Curve Header Data'!E58="","",'Curve Header Data'!E58)</f>
        <v/>
      </c>
      <c r="E57" s="38" t="str">
        <f>IF('Curve Header Data'!B58="","",'Curve Header Data'!B58)</f>
        <v/>
      </c>
      <c r="F57" s="38" t="str">
        <f>IF('Curve Header Data'!K58="","",'Curve Header Data'!K58*$E$2)</f>
        <v/>
      </c>
      <c r="G57" s="38" t="str">
        <f>IF('Curve Header Data'!L58="","",'Curve Header Data'!L58*$E$2)</f>
        <v/>
      </c>
      <c r="H57" s="38">
        <f>IF('Curve Header Data'!N58="","",'Curve Header Data'!N58)</f>
        <v>1</v>
      </c>
      <c r="I57" s="38">
        <f>IF('Curve Header Data'!O58="","",'Curve Header Data'!O58)</f>
        <v>5</v>
      </c>
      <c r="J57" s="27" t="str">
        <f>IF('Curve Header Data'!M58="","",'Curve Header Data'!M58)</f>
        <v/>
      </c>
      <c r="K57" s="27" t="str">
        <f>IF('Curve Header Data'!G58="","",'Curve Header Data'!G58)</f>
        <v/>
      </c>
      <c r="L57" s="27" t="str">
        <f>IF('Curve Header Data'!H58="","",'Curve Header Data'!H58)</f>
        <v/>
      </c>
      <c r="M57" s="27" t="str">
        <f>IF('Curve Header Data'!I58="","",'Curve Header Data'!I58)</f>
        <v/>
      </c>
      <c r="N57" s="27" t="str">
        <f>IF('Curve Header Data'!J58="","",'Curve Header Data'!J58*$E$3)</f>
        <v/>
      </c>
      <c r="O57" s="27">
        <f>IF('Curve Header Data'!S58="","",'Curve Header Data'!S58*$J$2)</f>
        <v>0</v>
      </c>
      <c r="P57" s="27">
        <f>IF('Curve Header Data'!T58="","",'Curve Header Data'!T58*$J$3)</f>
        <v>0</v>
      </c>
      <c r="Q57" s="27" t="str">
        <f>IF('Curve Header Data'!U58="","",'Curve Header Data'!U58)</f>
        <v/>
      </c>
      <c r="R57" s="27" t="str">
        <f>IF('Curve Header Data'!V58="","",'Curve Header Data'!V58)</f>
        <v>0</v>
      </c>
      <c r="S57" s="27" t="str">
        <f>IF('Curve Header Data'!W58="","",'Curve Header Data'!W58)</f>
        <v/>
      </c>
    </row>
    <row r="58" spans="1:19" x14ac:dyDescent="0.2">
      <c r="A58" s="38" t="str">
        <f>IF('Curve Header Data'!A59="","",'Curve Header Data'!A59)</f>
        <v/>
      </c>
      <c r="B58" s="38" t="str">
        <f>IF('Curve Header Data'!C59="","",'Curve Header Data'!C59)</f>
        <v/>
      </c>
      <c r="C58" s="38" t="str">
        <f>IF('Curve Header Data'!D59="","",'Curve Header Data'!D59)</f>
        <v/>
      </c>
      <c r="D58" s="38" t="str">
        <f>IF('Curve Header Data'!E59="","",'Curve Header Data'!E59)</f>
        <v/>
      </c>
      <c r="E58" s="38" t="str">
        <f>IF('Curve Header Data'!B59="","",'Curve Header Data'!B59)</f>
        <v/>
      </c>
      <c r="F58" s="38" t="str">
        <f>IF('Curve Header Data'!K59="","",'Curve Header Data'!K59*$E$2)</f>
        <v/>
      </c>
      <c r="G58" s="38" t="str">
        <f>IF('Curve Header Data'!L59="","",'Curve Header Data'!L59*$E$2)</f>
        <v/>
      </c>
      <c r="H58" s="38">
        <f>IF('Curve Header Data'!N59="","",'Curve Header Data'!N59)</f>
        <v>1</v>
      </c>
      <c r="I58" s="38">
        <f>IF('Curve Header Data'!O59="","",'Curve Header Data'!O59)</f>
        <v>5</v>
      </c>
      <c r="J58" s="27" t="str">
        <f>IF('Curve Header Data'!M59="","",'Curve Header Data'!M59)</f>
        <v/>
      </c>
      <c r="K58" s="27" t="str">
        <f>IF('Curve Header Data'!G59="","",'Curve Header Data'!G59)</f>
        <v/>
      </c>
      <c r="L58" s="27" t="str">
        <f>IF('Curve Header Data'!H59="","",'Curve Header Data'!H59)</f>
        <v/>
      </c>
      <c r="M58" s="27" t="str">
        <f>IF('Curve Header Data'!I59="","",'Curve Header Data'!I59)</f>
        <v/>
      </c>
      <c r="N58" s="27" t="str">
        <f>IF('Curve Header Data'!J59="","",'Curve Header Data'!J59*$E$3)</f>
        <v/>
      </c>
      <c r="O58" s="27">
        <f>IF('Curve Header Data'!S59="","",'Curve Header Data'!S59*$J$2)</f>
        <v>0</v>
      </c>
      <c r="P58" s="27">
        <f>IF('Curve Header Data'!T59="","",'Curve Header Data'!T59*$J$3)</f>
        <v>0</v>
      </c>
      <c r="Q58" s="27" t="str">
        <f>IF('Curve Header Data'!U59="","",'Curve Header Data'!U59)</f>
        <v/>
      </c>
      <c r="R58" s="27" t="str">
        <f>IF('Curve Header Data'!V59="","",'Curve Header Data'!V59)</f>
        <v>0</v>
      </c>
      <c r="S58" s="27" t="str">
        <f>IF('Curve Header Data'!W59="","",'Curve Header Data'!W59)</f>
        <v/>
      </c>
    </row>
    <row r="59" spans="1:19" x14ac:dyDescent="0.2">
      <c r="A59" s="38" t="str">
        <f>IF('Curve Header Data'!A60="","",'Curve Header Data'!A60)</f>
        <v/>
      </c>
      <c r="B59" s="38" t="str">
        <f>IF('Curve Header Data'!C60="","",'Curve Header Data'!C60)</f>
        <v/>
      </c>
      <c r="C59" s="38" t="str">
        <f>IF('Curve Header Data'!D60="","",'Curve Header Data'!D60)</f>
        <v/>
      </c>
      <c r="D59" s="38" t="str">
        <f>IF('Curve Header Data'!E60="","",'Curve Header Data'!E60)</f>
        <v/>
      </c>
      <c r="E59" s="38" t="str">
        <f>IF('Curve Header Data'!B60="","",'Curve Header Data'!B60)</f>
        <v/>
      </c>
      <c r="F59" s="38" t="str">
        <f>IF('Curve Header Data'!K60="","",'Curve Header Data'!K60*$E$2)</f>
        <v/>
      </c>
      <c r="G59" s="38" t="str">
        <f>IF('Curve Header Data'!L60="","",'Curve Header Data'!L60*$E$2)</f>
        <v/>
      </c>
      <c r="H59" s="38">
        <f>IF('Curve Header Data'!N60="","",'Curve Header Data'!N60)</f>
        <v>1</v>
      </c>
      <c r="I59" s="38">
        <f>IF('Curve Header Data'!O60="","",'Curve Header Data'!O60)</f>
        <v>5</v>
      </c>
      <c r="J59" s="27" t="str">
        <f>IF('Curve Header Data'!M60="","",'Curve Header Data'!M60)</f>
        <v/>
      </c>
      <c r="K59" s="27" t="str">
        <f>IF('Curve Header Data'!G60="","",'Curve Header Data'!G60)</f>
        <v/>
      </c>
      <c r="L59" s="27" t="str">
        <f>IF('Curve Header Data'!H60="","",'Curve Header Data'!H60)</f>
        <v/>
      </c>
      <c r="M59" s="27" t="str">
        <f>IF('Curve Header Data'!I60="","",'Curve Header Data'!I60)</f>
        <v/>
      </c>
      <c r="N59" s="27" t="str">
        <f>IF('Curve Header Data'!J60="","",'Curve Header Data'!J60*$E$3)</f>
        <v/>
      </c>
      <c r="O59" s="27">
        <f>IF('Curve Header Data'!S60="","",'Curve Header Data'!S60*$J$2)</f>
        <v>0</v>
      </c>
      <c r="P59" s="27">
        <f>IF('Curve Header Data'!T60="","",'Curve Header Data'!T60*$J$3)</f>
        <v>0</v>
      </c>
      <c r="Q59" s="27" t="str">
        <f>IF('Curve Header Data'!U60="","",'Curve Header Data'!U60)</f>
        <v/>
      </c>
      <c r="R59" s="27" t="str">
        <f>IF('Curve Header Data'!V60="","",'Curve Header Data'!V60)</f>
        <v>0</v>
      </c>
      <c r="S59" s="27" t="str">
        <f>IF('Curve Header Data'!W60="","",'Curve Header Data'!W60)</f>
        <v/>
      </c>
    </row>
    <row r="60" spans="1:19" x14ac:dyDescent="0.2">
      <c r="A60" s="38" t="str">
        <f>IF('Curve Header Data'!A61="","",'Curve Header Data'!A61)</f>
        <v/>
      </c>
      <c r="B60" s="38" t="str">
        <f>IF('Curve Header Data'!C61="","",'Curve Header Data'!C61)</f>
        <v/>
      </c>
      <c r="C60" s="38" t="str">
        <f>IF('Curve Header Data'!D61="","",'Curve Header Data'!D61)</f>
        <v/>
      </c>
      <c r="D60" s="38" t="str">
        <f>IF('Curve Header Data'!E61="","",'Curve Header Data'!E61)</f>
        <v/>
      </c>
      <c r="E60" s="38" t="str">
        <f>IF('Curve Header Data'!B61="","",'Curve Header Data'!B61)</f>
        <v/>
      </c>
      <c r="F60" s="38" t="str">
        <f>IF('Curve Header Data'!K61="","",'Curve Header Data'!K61*$E$2)</f>
        <v/>
      </c>
      <c r="G60" s="38" t="str">
        <f>IF('Curve Header Data'!L61="","",'Curve Header Data'!L61*$E$2)</f>
        <v/>
      </c>
      <c r="H60" s="38">
        <f>IF('Curve Header Data'!N61="","",'Curve Header Data'!N61)</f>
        <v>1</v>
      </c>
      <c r="I60" s="38">
        <f>IF('Curve Header Data'!O61="","",'Curve Header Data'!O61)</f>
        <v>5</v>
      </c>
      <c r="J60" s="27" t="str">
        <f>IF('Curve Header Data'!M61="","",'Curve Header Data'!M61)</f>
        <v/>
      </c>
      <c r="K60" s="27" t="str">
        <f>IF('Curve Header Data'!G61="","",'Curve Header Data'!G61)</f>
        <v/>
      </c>
      <c r="L60" s="27" t="str">
        <f>IF('Curve Header Data'!H61="","",'Curve Header Data'!H61)</f>
        <v/>
      </c>
      <c r="M60" s="27" t="str">
        <f>IF('Curve Header Data'!I61="","",'Curve Header Data'!I61)</f>
        <v/>
      </c>
      <c r="N60" s="27" t="str">
        <f>IF('Curve Header Data'!J61="","",'Curve Header Data'!J61*$E$3)</f>
        <v/>
      </c>
      <c r="O60" s="27">
        <f>IF('Curve Header Data'!S61="","",'Curve Header Data'!S61*$J$2)</f>
        <v>0</v>
      </c>
      <c r="P60" s="27">
        <f>IF('Curve Header Data'!T61="","",'Curve Header Data'!T61*$J$3)</f>
        <v>0</v>
      </c>
      <c r="Q60" s="27" t="str">
        <f>IF('Curve Header Data'!U61="","",'Curve Header Data'!U61)</f>
        <v/>
      </c>
      <c r="R60" s="27" t="str">
        <f>IF('Curve Header Data'!V61="","",'Curve Header Data'!V61)</f>
        <v>0</v>
      </c>
      <c r="S60" s="27" t="str">
        <f>IF('Curve Header Data'!W61="","",'Curve Header Data'!W61)</f>
        <v/>
      </c>
    </row>
    <row r="61" spans="1:19" x14ac:dyDescent="0.2">
      <c r="A61" s="38" t="str">
        <f>IF('Curve Header Data'!A62="","",'Curve Header Data'!A62)</f>
        <v/>
      </c>
      <c r="B61" s="38" t="str">
        <f>IF('Curve Header Data'!C62="","",'Curve Header Data'!C62)</f>
        <v/>
      </c>
      <c r="C61" s="38" t="str">
        <f>IF('Curve Header Data'!D62="","",'Curve Header Data'!D62)</f>
        <v/>
      </c>
      <c r="D61" s="38" t="str">
        <f>IF('Curve Header Data'!E62="","",'Curve Header Data'!E62)</f>
        <v/>
      </c>
      <c r="E61" s="38" t="str">
        <f>IF('Curve Header Data'!B62="","",'Curve Header Data'!B62)</f>
        <v/>
      </c>
      <c r="F61" s="38" t="str">
        <f>IF('Curve Header Data'!K62="","",'Curve Header Data'!K62*$E$2)</f>
        <v/>
      </c>
      <c r="G61" s="38" t="str">
        <f>IF('Curve Header Data'!L62="","",'Curve Header Data'!L62*$E$2)</f>
        <v/>
      </c>
      <c r="H61" s="38">
        <f>IF('Curve Header Data'!N62="","",'Curve Header Data'!N62)</f>
        <v>1</v>
      </c>
      <c r="I61" s="38">
        <f>IF('Curve Header Data'!O62="","",'Curve Header Data'!O62)</f>
        <v>5</v>
      </c>
      <c r="J61" s="27" t="str">
        <f>IF('Curve Header Data'!M62="","",'Curve Header Data'!M62)</f>
        <v/>
      </c>
      <c r="K61" s="27" t="str">
        <f>IF('Curve Header Data'!G62="","",'Curve Header Data'!G62)</f>
        <v/>
      </c>
      <c r="L61" s="27" t="str">
        <f>IF('Curve Header Data'!H62="","",'Curve Header Data'!H62)</f>
        <v/>
      </c>
      <c r="M61" s="27" t="str">
        <f>IF('Curve Header Data'!I62="","",'Curve Header Data'!I62)</f>
        <v/>
      </c>
      <c r="N61" s="27" t="str">
        <f>IF('Curve Header Data'!J62="","",'Curve Header Data'!J62*$E$3)</f>
        <v/>
      </c>
      <c r="O61" s="27">
        <f>IF('Curve Header Data'!S62="","",'Curve Header Data'!S62*$J$2)</f>
        <v>0</v>
      </c>
      <c r="P61" s="27">
        <f>IF('Curve Header Data'!T62="","",'Curve Header Data'!T62*$J$3)</f>
        <v>0</v>
      </c>
      <c r="Q61" s="27" t="str">
        <f>IF('Curve Header Data'!U62="","",'Curve Header Data'!U62)</f>
        <v/>
      </c>
      <c r="R61" s="27" t="str">
        <f>IF('Curve Header Data'!V62="","",'Curve Header Data'!V62)</f>
        <v>0</v>
      </c>
      <c r="S61" s="27" t="str">
        <f>IF('Curve Header Data'!W62="","",'Curve Header Data'!W62)</f>
        <v/>
      </c>
    </row>
    <row r="62" spans="1:19" x14ac:dyDescent="0.2">
      <c r="A62" s="38" t="str">
        <f>IF('Curve Header Data'!A63="","",'Curve Header Data'!A63)</f>
        <v/>
      </c>
      <c r="B62" s="38" t="str">
        <f>IF('Curve Header Data'!C63="","",'Curve Header Data'!C63)</f>
        <v/>
      </c>
      <c r="C62" s="38" t="str">
        <f>IF('Curve Header Data'!D63="","",'Curve Header Data'!D63)</f>
        <v/>
      </c>
      <c r="D62" s="38" t="str">
        <f>IF('Curve Header Data'!E63="","",'Curve Header Data'!E63)</f>
        <v/>
      </c>
      <c r="E62" s="38" t="str">
        <f>IF('Curve Header Data'!B63="","",'Curve Header Data'!B63)</f>
        <v/>
      </c>
      <c r="F62" s="38" t="str">
        <f>IF('Curve Header Data'!K63="","",'Curve Header Data'!K63*$E$2)</f>
        <v/>
      </c>
      <c r="G62" s="38" t="str">
        <f>IF('Curve Header Data'!L63="","",'Curve Header Data'!L63*$E$2)</f>
        <v/>
      </c>
      <c r="H62" s="38">
        <f>IF('Curve Header Data'!N63="","",'Curve Header Data'!N63)</f>
        <v>1</v>
      </c>
      <c r="I62" s="38">
        <f>IF('Curve Header Data'!O63="","",'Curve Header Data'!O63)</f>
        <v>5</v>
      </c>
      <c r="J62" s="27" t="str">
        <f>IF('Curve Header Data'!M63="","",'Curve Header Data'!M63)</f>
        <v/>
      </c>
      <c r="K62" s="27" t="str">
        <f>IF('Curve Header Data'!G63="","",'Curve Header Data'!G63)</f>
        <v/>
      </c>
      <c r="L62" s="27" t="str">
        <f>IF('Curve Header Data'!H63="","",'Curve Header Data'!H63)</f>
        <v/>
      </c>
      <c r="M62" s="27" t="str">
        <f>IF('Curve Header Data'!I63="","",'Curve Header Data'!I63)</f>
        <v/>
      </c>
      <c r="N62" s="27" t="str">
        <f>IF('Curve Header Data'!J63="","",'Curve Header Data'!J63*$E$3)</f>
        <v/>
      </c>
      <c r="O62" s="27">
        <f>IF('Curve Header Data'!S63="","",'Curve Header Data'!S63*$J$2)</f>
        <v>0</v>
      </c>
      <c r="P62" s="27">
        <f>IF('Curve Header Data'!T63="","",'Curve Header Data'!T63*$J$3)</f>
        <v>0</v>
      </c>
      <c r="Q62" s="27" t="str">
        <f>IF('Curve Header Data'!U63="","",'Curve Header Data'!U63)</f>
        <v/>
      </c>
      <c r="R62" s="27" t="str">
        <f>IF('Curve Header Data'!V63="","",'Curve Header Data'!V63)</f>
        <v>0</v>
      </c>
      <c r="S62" s="27" t="str">
        <f>IF('Curve Header Data'!W63="","",'Curve Header Data'!W63)</f>
        <v/>
      </c>
    </row>
    <row r="63" spans="1:19" x14ac:dyDescent="0.2">
      <c r="A63" s="38" t="str">
        <f>IF('Curve Header Data'!A64="","",'Curve Header Data'!A64)</f>
        <v/>
      </c>
      <c r="B63" s="38" t="str">
        <f>IF('Curve Header Data'!C64="","",'Curve Header Data'!C64)</f>
        <v/>
      </c>
      <c r="C63" s="38" t="str">
        <f>IF('Curve Header Data'!D64="","",'Curve Header Data'!D64)</f>
        <v/>
      </c>
      <c r="D63" s="38" t="str">
        <f>IF('Curve Header Data'!E64="","",'Curve Header Data'!E64)</f>
        <v/>
      </c>
      <c r="E63" s="38" t="str">
        <f>IF('Curve Header Data'!B64="","",'Curve Header Data'!B64)</f>
        <v/>
      </c>
      <c r="F63" s="38" t="str">
        <f>IF('Curve Header Data'!K64="","",'Curve Header Data'!K64*$E$2)</f>
        <v/>
      </c>
      <c r="G63" s="38" t="str">
        <f>IF('Curve Header Data'!L64="","",'Curve Header Data'!L64*$E$2)</f>
        <v/>
      </c>
      <c r="H63" s="38">
        <f>IF('Curve Header Data'!N64="","",'Curve Header Data'!N64)</f>
        <v>1</v>
      </c>
      <c r="I63" s="38">
        <f>IF('Curve Header Data'!O64="","",'Curve Header Data'!O64)</f>
        <v>5</v>
      </c>
      <c r="J63" s="27" t="str">
        <f>IF('Curve Header Data'!M64="","",'Curve Header Data'!M64)</f>
        <v/>
      </c>
      <c r="K63" s="27" t="str">
        <f>IF('Curve Header Data'!G64="","",'Curve Header Data'!G64)</f>
        <v/>
      </c>
      <c r="L63" s="27" t="str">
        <f>IF('Curve Header Data'!H64="","",'Curve Header Data'!H64)</f>
        <v/>
      </c>
      <c r="M63" s="27" t="str">
        <f>IF('Curve Header Data'!I64="","",'Curve Header Data'!I64)</f>
        <v/>
      </c>
      <c r="N63" s="27" t="str">
        <f>IF('Curve Header Data'!J64="","",'Curve Header Data'!J64*$E$3)</f>
        <v/>
      </c>
      <c r="O63" s="27">
        <f>IF('Curve Header Data'!S64="","",'Curve Header Data'!S64*$J$2)</f>
        <v>0</v>
      </c>
      <c r="P63" s="27">
        <f>IF('Curve Header Data'!T64="","",'Curve Header Data'!T64*$J$3)</f>
        <v>0</v>
      </c>
      <c r="Q63" s="27" t="str">
        <f>IF('Curve Header Data'!U64="","",'Curve Header Data'!U64)</f>
        <v/>
      </c>
      <c r="R63" s="27" t="str">
        <f>IF('Curve Header Data'!V64="","",'Curve Header Data'!V64)</f>
        <v>0</v>
      </c>
      <c r="S63" s="27" t="str">
        <f>IF('Curve Header Data'!W64="","",'Curve Header Data'!W64)</f>
        <v/>
      </c>
    </row>
    <row r="64" spans="1:19" x14ac:dyDescent="0.2">
      <c r="A64" s="38" t="str">
        <f>IF('Curve Header Data'!A65="","",'Curve Header Data'!A65)</f>
        <v/>
      </c>
      <c r="B64" s="38" t="str">
        <f>IF('Curve Header Data'!C65="","",'Curve Header Data'!C65)</f>
        <v/>
      </c>
      <c r="C64" s="38" t="str">
        <f>IF('Curve Header Data'!D65="","",'Curve Header Data'!D65)</f>
        <v/>
      </c>
      <c r="D64" s="38" t="str">
        <f>IF('Curve Header Data'!E65="","",'Curve Header Data'!E65)</f>
        <v/>
      </c>
      <c r="E64" s="38" t="str">
        <f>IF('Curve Header Data'!B65="","",'Curve Header Data'!B65)</f>
        <v/>
      </c>
      <c r="F64" s="38" t="str">
        <f>IF('Curve Header Data'!K65="","",'Curve Header Data'!K65*$E$2)</f>
        <v/>
      </c>
      <c r="G64" s="38" t="str">
        <f>IF('Curve Header Data'!L65="","",'Curve Header Data'!L65*$E$2)</f>
        <v/>
      </c>
      <c r="H64" s="38">
        <f>IF('Curve Header Data'!N65="","",'Curve Header Data'!N65)</f>
        <v>1</v>
      </c>
      <c r="I64" s="38">
        <f>IF('Curve Header Data'!O65="","",'Curve Header Data'!O65)</f>
        <v>5</v>
      </c>
      <c r="J64" s="27" t="str">
        <f>IF('Curve Header Data'!M65="","",'Curve Header Data'!M65)</f>
        <v/>
      </c>
      <c r="K64" s="27" t="str">
        <f>IF('Curve Header Data'!G65="","",'Curve Header Data'!G65)</f>
        <v/>
      </c>
      <c r="L64" s="27" t="str">
        <f>IF('Curve Header Data'!H65="","",'Curve Header Data'!H65)</f>
        <v/>
      </c>
      <c r="M64" s="27" t="str">
        <f>IF('Curve Header Data'!I65="","",'Curve Header Data'!I65)</f>
        <v/>
      </c>
      <c r="N64" s="27" t="str">
        <f>IF('Curve Header Data'!J65="","",'Curve Header Data'!J65*$E$3)</f>
        <v/>
      </c>
      <c r="O64" s="27">
        <f>IF('Curve Header Data'!S65="","",'Curve Header Data'!S65*$J$2)</f>
        <v>0</v>
      </c>
      <c r="P64" s="27">
        <f>IF('Curve Header Data'!T65="","",'Curve Header Data'!T65*$J$3)</f>
        <v>0</v>
      </c>
      <c r="Q64" s="27" t="str">
        <f>IF('Curve Header Data'!U65="","",'Curve Header Data'!U65)</f>
        <v/>
      </c>
      <c r="R64" s="27" t="str">
        <f>IF('Curve Header Data'!V65="","",'Curve Header Data'!V65)</f>
        <v>0</v>
      </c>
      <c r="S64" s="27" t="str">
        <f>IF('Curve Header Data'!W65="","",'Curve Header Data'!W65)</f>
        <v/>
      </c>
    </row>
    <row r="65" spans="1:19" x14ac:dyDescent="0.2">
      <c r="A65" s="38" t="str">
        <f>IF('Curve Header Data'!A66="","",'Curve Header Data'!A66)</f>
        <v/>
      </c>
      <c r="B65" s="38" t="str">
        <f>IF('Curve Header Data'!C66="","",'Curve Header Data'!C66)</f>
        <v/>
      </c>
      <c r="C65" s="38" t="str">
        <f>IF('Curve Header Data'!D66="","",'Curve Header Data'!D66)</f>
        <v/>
      </c>
      <c r="D65" s="38" t="str">
        <f>IF('Curve Header Data'!E66="","",'Curve Header Data'!E66)</f>
        <v/>
      </c>
      <c r="E65" s="38" t="str">
        <f>IF('Curve Header Data'!B66="","",'Curve Header Data'!B66)</f>
        <v/>
      </c>
      <c r="F65" s="38" t="str">
        <f>IF('Curve Header Data'!K66="","",'Curve Header Data'!K66*$E$2)</f>
        <v/>
      </c>
      <c r="G65" s="38" t="str">
        <f>IF('Curve Header Data'!L66="","",'Curve Header Data'!L66*$E$2)</f>
        <v/>
      </c>
      <c r="H65" s="38">
        <f>IF('Curve Header Data'!N66="","",'Curve Header Data'!N66)</f>
        <v>1</v>
      </c>
      <c r="I65" s="38">
        <f>IF('Curve Header Data'!O66="","",'Curve Header Data'!O66)</f>
        <v>5</v>
      </c>
      <c r="J65" s="27" t="str">
        <f>IF('Curve Header Data'!M66="","",'Curve Header Data'!M66)</f>
        <v/>
      </c>
      <c r="K65" s="27" t="str">
        <f>IF('Curve Header Data'!G66="","",'Curve Header Data'!G66)</f>
        <v/>
      </c>
      <c r="L65" s="27" t="str">
        <f>IF('Curve Header Data'!H66="","",'Curve Header Data'!H66)</f>
        <v/>
      </c>
      <c r="M65" s="27" t="str">
        <f>IF('Curve Header Data'!I66="","",'Curve Header Data'!I66)</f>
        <v/>
      </c>
      <c r="N65" s="27" t="str">
        <f>IF('Curve Header Data'!J66="","",'Curve Header Data'!J66*$E$3)</f>
        <v/>
      </c>
      <c r="O65" s="27">
        <f>IF('Curve Header Data'!S66="","",'Curve Header Data'!S66*$J$2)</f>
        <v>0</v>
      </c>
      <c r="P65" s="27">
        <f>IF('Curve Header Data'!T66="","",'Curve Header Data'!T66*$J$3)</f>
        <v>0</v>
      </c>
      <c r="Q65" s="27" t="str">
        <f>IF('Curve Header Data'!U66="","",'Curve Header Data'!U66)</f>
        <v/>
      </c>
      <c r="R65" s="27" t="str">
        <f>IF('Curve Header Data'!V66="","",'Curve Header Data'!V66)</f>
        <v>0</v>
      </c>
      <c r="S65" s="27" t="str">
        <f>IF('Curve Header Data'!W66="","",'Curve Header Data'!W66)</f>
        <v/>
      </c>
    </row>
    <row r="66" spans="1:19" x14ac:dyDescent="0.2">
      <c r="A66" s="38" t="str">
        <f>IF('Curve Header Data'!A67="","",'Curve Header Data'!A67)</f>
        <v/>
      </c>
      <c r="B66" s="38" t="str">
        <f>IF('Curve Header Data'!C67="","",'Curve Header Data'!C67)</f>
        <v/>
      </c>
      <c r="C66" s="38" t="str">
        <f>IF('Curve Header Data'!D67="","",'Curve Header Data'!D67)</f>
        <v/>
      </c>
      <c r="D66" s="38" t="str">
        <f>IF('Curve Header Data'!E67="","",'Curve Header Data'!E67)</f>
        <v/>
      </c>
      <c r="E66" s="38" t="str">
        <f>IF('Curve Header Data'!B67="","",'Curve Header Data'!B67)</f>
        <v/>
      </c>
      <c r="F66" s="38" t="str">
        <f>IF('Curve Header Data'!K67="","",'Curve Header Data'!K67*$E$2)</f>
        <v/>
      </c>
      <c r="G66" s="38" t="str">
        <f>IF('Curve Header Data'!L67="","",'Curve Header Data'!L67*$E$2)</f>
        <v/>
      </c>
      <c r="H66" s="38">
        <f>IF('Curve Header Data'!N67="","",'Curve Header Data'!N67)</f>
        <v>1</v>
      </c>
      <c r="I66" s="38">
        <f>IF('Curve Header Data'!O67="","",'Curve Header Data'!O67)</f>
        <v>5</v>
      </c>
      <c r="J66" s="27" t="str">
        <f>IF('Curve Header Data'!M67="","",'Curve Header Data'!M67)</f>
        <v/>
      </c>
      <c r="K66" s="27" t="str">
        <f>IF('Curve Header Data'!G67="","",'Curve Header Data'!G67)</f>
        <v/>
      </c>
      <c r="L66" s="27" t="str">
        <f>IF('Curve Header Data'!H67="","",'Curve Header Data'!H67)</f>
        <v/>
      </c>
      <c r="M66" s="27" t="str">
        <f>IF('Curve Header Data'!I67="","",'Curve Header Data'!I67)</f>
        <v/>
      </c>
      <c r="N66" s="27" t="str">
        <f>IF('Curve Header Data'!J67="","",'Curve Header Data'!J67*$E$3)</f>
        <v/>
      </c>
      <c r="O66" s="27">
        <f>IF('Curve Header Data'!S67="","",'Curve Header Data'!S67*$J$2)</f>
        <v>0</v>
      </c>
      <c r="P66" s="27">
        <f>IF('Curve Header Data'!T67="","",'Curve Header Data'!T67*$J$3)</f>
        <v>0</v>
      </c>
      <c r="Q66" s="27" t="str">
        <f>IF('Curve Header Data'!U67="","",'Curve Header Data'!U67)</f>
        <v/>
      </c>
      <c r="R66" s="27" t="str">
        <f>IF('Curve Header Data'!V67="","",'Curve Header Data'!V67)</f>
        <v>0</v>
      </c>
      <c r="S66" s="27" t="str">
        <f>IF('Curve Header Data'!W67="","",'Curve Header Data'!W67)</f>
        <v/>
      </c>
    </row>
    <row r="67" spans="1:19" x14ac:dyDescent="0.2">
      <c r="A67" s="38" t="str">
        <f>IF('Curve Header Data'!A68="","",'Curve Header Data'!A68)</f>
        <v/>
      </c>
      <c r="B67" s="38" t="str">
        <f>IF('Curve Header Data'!C68="","",'Curve Header Data'!C68)</f>
        <v/>
      </c>
      <c r="C67" s="38" t="str">
        <f>IF('Curve Header Data'!D68="","",'Curve Header Data'!D68)</f>
        <v/>
      </c>
      <c r="D67" s="38" t="str">
        <f>IF('Curve Header Data'!E68="","",'Curve Header Data'!E68)</f>
        <v/>
      </c>
      <c r="E67" s="38" t="str">
        <f>IF('Curve Header Data'!B68="","",'Curve Header Data'!B68)</f>
        <v/>
      </c>
      <c r="F67" s="38" t="str">
        <f>IF('Curve Header Data'!K68="","",'Curve Header Data'!K68*$E$2)</f>
        <v/>
      </c>
      <c r="G67" s="38" t="str">
        <f>IF('Curve Header Data'!L68="","",'Curve Header Data'!L68*$E$2)</f>
        <v/>
      </c>
      <c r="H67" s="38">
        <f>IF('Curve Header Data'!N68="","",'Curve Header Data'!N68)</f>
        <v>1</v>
      </c>
      <c r="I67" s="38">
        <f>IF('Curve Header Data'!O68="","",'Curve Header Data'!O68)</f>
        <v>5</v>
      </c>
      <c r="J67" s="27" t="str">
        <f>IF('Curve Header Data'!M68="","",'Curve Header Data'!M68)</f>
        <v/>
      </c>
      <c r="K67" s="27" t="str">
        <f>IF('Curve Header Data'!G68="","",'Curve Header Data'!G68)</f>
        <v/>
      </c>
      <c r="L67" s="27" t="str">
        <f>IF('Curve Header Data'!H68="","",'Curve Header Data'!H68)</f>
        <v/>
      </c>
      <c r="M67" s="27" t="str">
        <f>IF('Curve Header Data'!I68="","",'Curve Header Data'!I68)</f>
        <v/>
      </c>
      <c r="N67" s="27" t="str">
        <f>IF('Curve Header Data'!J68="","",'Curve Header Data'!J68*$E$3)</f>
        <v/>
      </c>
      <c r="O67" s="27">
        <f>IF('Curve Header Data'!S68="","",'Curve Header Data'!S68*$J$2)</f>
        <v>0</v>
      </c>
      <c r="P67" s="27">
        <f>IF('Curve Header Data'!T68="","",'Curve Header Data'!T68*$J$3)</f>
        <v>0</v>
      </c>
      <c r="Q67" s="27" t="str">
        <f>IF('Curve Header Data'!U68="","",'Curve Header Data'!U68)</f>
        <v/>
      </c>
      <c r="R67" s="27" t="str">
        <f>IF('Curve Header Data'!V68="","",'Curve Header Data'!V68)</f>
        <v>0</v>
      </c>
      <c r="S67" s="27" t="str">
        <f>IF('Curve Header Data'!W68="","",'Curve Header Data'!W68)</f>
        <v/>
      </c>
    </row>
    <row r="68" spans="1:19" x14ac:dyDescent="0.2">
      <c r="A68" s="38" t="str">
        <f>IF('Curve Header Data'!A69="","",'Curve Header Data'!A69)</f>
        <v/>
      </c>
      <c r="B68" s="38" t="str">
        <f>IF('Curve Header Data'!C69="","",'Curve Header Data'!C69)</f>
        <v/>
      </c>
      <c r="C68" s="38" t="str">
        <f>IF('Curve Header Data'!D69="","",'Curve Header Data'!D69)</f>
        <v/>
      </c>
      <c r="D68" s="38" t="str">
        <f>IF('Curve Header Data'!E69="","",'Curve Header Data'!E69)</f>
        <v/>
      </c>
      <c r="E68" s="38" t="str">
        <f>IF('Curve Header Data'!B69="","",'Curve Header Data'!B69)</f>
        <v/>
      </c>
      <c r="F68" s="38" t="str">
        <f>IF('Curve Header Data'!K69="","",'Curve Header Data'!K69*$E$2)</f>
        <v/>
      </c>
      <c r="G68" s="38" t="str">
        <f>IF('Curve Header Data'!L69="","",'Curve Header Data'!L69*$E$2)</f>
        <v/>
      </c>
      <c r="H68" s="38">
        <f>IF('Curve Header Data'!N69="","",'Curve Header Data'!N69)</f>
        <v>1</v>
      </c>
      <c r="I68" s="38">
        <f>IF('Curve Header Data'!O69="","",'Curve Header Data'!O69)</f>
        <v>5</v>
      </c>
      <c r="J68" s="27" t="str">
        <f>IF('Curve Header Data'!M69="","",'Curve Header Data'!M69)</f>
        <v/>
      </c>
      <c r="K68" s="27" t="str">
        <f>IF('Curve Header Data'!G69="","",'Curve Header Data'!G69)</f>
        <v/>
      </c>
      <c r="L68" s="27" t="str">
        <f>IF('Curve Header Data'!H69="","",'Curve Header Data'!H69)</f>
        <v/>
      </c>
      <c r="M68" s="27" t="str">
        <f>IF('Curve Header Data'!I69="","",'Curve Header Data'!I69)</f>
        <v/>
      </c>
      <c r="N68" s="27" t="str">
        <f>IF('Curve Header Data'!J69="","",'Curve Header Data'!J69*$E$3)</f>
        <v/>
      </c>
      <c r="O68" s="27">
        <f>IF('Curve Header Data'!S69="","",'Curve Header Data'!S69*$J$2)</f>
        <v>0</v>
      </c>
      <c r="P68" s="27">
        <f>IF('Curve Header Data'!T69="","",'Curve Header Data'!T69*$J$3)</f>
        <v>0</v>
      </c>
      <c r="Q68" s="27" t="str">
        <f>IF('Curve Header Data'!U69="","",'Curve Header Data'!U69)</f>
        <v/>
      </c>
      <c r="R68" s="27" t="str">
        <f>IF('Curve Header Data'!V69="","",'Curve Header Data'!V69)</f>
        <v>0</v>
      </c>
      <c r="S68" s="27" t="str">
        <f>IF('Curve Header Data'!W69="","",'Curve Header Data'!W69)</f>
        <v/>
      </c>
    </row>
    <row r="69" spans="1:19" x14ac:dyDescent="0.2">
      <c r="A69" s="38" t="str">
        <f>IF('Curve Header Data'!A70="","",'Curve Header Data'!A70)</f>
        <v/>
      </c>
      <c r="B69" s="38" t="str">
        <f>IF('Curve Header Data'!C70="","",'Curve Header Data'!C70)</f>
        <v/>
      </c>
      <c r="C69" s="38" t="str">
        <f>IF('Curve Header Data'!D70="","",'Curve Header Data'!D70)</f>
        <v/>
      </c>
      <c r="D69" s="38" t="str">
        <f>IF('Curve Header Data'!E70="","",'Curve Header Data'!E70)</f>
        <v/>
      </c>
      <c r="E69" s="38" t="str">
        <f>IF('Curve Header Data'!B70="","",'Curve Header Data'!B70)</f>
        <v/>
      </c>
      <c r="F69" s="38" t="str">
        <f>IF('Curve Header Data'!K70="","",'Curve Header Data'!K70*$E$2)</f>
        <v/>
      </c>
      <c r="G69" s="38" t="str">
        <f>IF('Curve Header Data'!L70="","",'Curve Header Data'!L70*$E$2)</f>
        <v/>
      </c>
      <c r="H69" s="38">
        <f>IF('Curve Header Data'!N70="","",'Curve Header Data'!N70)</f>
        <v>1</v>
      </c>
      <c r="I69" s="38">
        <f>IF('Curve Header Data'!O70="","",'Curve Header Data'!O70)</f>
        <v>5</v>
      </c>
      <c r="J69" s="27" t="str">
        <f>IF('Curve Header Data'!M70="","",'Curve Header Data'!M70)</f>
        <v/>
      </c>
      <c r="K69" s="27" t="str">
        <f>IF('Curve Header Data'!G70="","",'Curve Header Data'!G70)</f>
        <v/>
      </c>
      <c r="L69" s="27" t="str">
        <f>IF('Curve Header Data'!H70="","",'Curve Header Data'!H70)</f>
        <v/>
      </c>
      <c r="M69" s="27" t="str">
        <f>IF('Curve Header Data'!I70="","",'Curve Header Data'!I70)</f>
        <v/>
      </c>
      <c r="N69" s="27" t="str">
        <f>IF('Curve Header Data'!J70="","",'Curve Header Data'!J70*$E$3)</f>
        <v/>
      </c>
      <c r="O69" s="27">
        <f>IF('Curve Header Data'!S70="","",'Curve Header Data'!S70*$J$2)</f>
        <v>0</v>
      </c>
      <c r="P69" s="27">
        <f>IF('Curve Header Data'!T70="","",'Curve Header Data'!T70*$J$3)</f>
        <v>0</v>
      </c>
      <c r="Q69" s="27" t="str">
        <f>IF('Curve Header Data'!U70="","",'Curve Header Data'!U70)</f>
        <v/>
      </c>
      <c r="R69" s="27" t="str">
        <f>IF('Curve Header Data'!V70="","",'Curve Header Data'!V70)</f>
        <v>0</v>
      </c>
      <c r="S69" s="27" t="str">
        <f>IF('Curve Header Data'!W70="","",'Curve Header Data'!W70)</f>
        <v/>
      </c>
    </row>
    <row r="70" spans="1:19" x14ac:dyDescent="0.2">
      <c r="A70" s="38" t="str">
        <f>IF('Curve Header Data'!A71="","",'Curve Header Data'!A71)</f>
        <v/>
      </c>
      <c r="B70" s="38" t="str">
        <f>IF('Curve Header Data'!C71="","",'Curve Header Data'!C71)</f>
        <v/>
      </c>
      <c r="C70" s="38" t="str">
        <f>IF('Curve Header Data'!D71="","",'Curve Header Data'!D71)</f>
        <v/>
      </c>
      <c r="D70" s="38" t="str">
        <f>IF('Curve Header Data'!E71="","",'Curve Header Data'!E71)</f>
        <v/>
      </c>
      <c r="E70" s="38" t="str">
        <f>IF('Curve Header Data'!B71="","",'Curve Header Data'!B71)</f>
        <v/>
      </c>
      <c r="F70" s="38" t="str">
        <f>IF('Curve Header Data'!K71="","",'Curve Header Data'!K71*$E$2)</f>
        <v/>
      </c>
      <c r="G70" s="38" t="str">
        <f>IF('Curve Header Data'!L71="","",'Curve Header Data'!L71*$E$2)</f>
        <v/>
      </c>
      <c r="H70" s="38">
        <f>IF('Curve Header Data'!N71="","",'Curve Header Data'!N71)</f>
        <v>1</v>
      </c>
      <c r="I70" s="38">
        <f>IF('Curve Header Data'!O71="","",'Curve Header Data'!O71)</f>
        <v>5</v>
      </c>
      <c r="J70" s="27" t="str">
        <f>IF('Curve Header Data'!M71="","",'Curve Header Data'!M71)</f>
        <v/>
      </c>
      <c r="K70" s="27" t="str">
        <f>IF('Curve Header Data'!G71="","",'Curve Header Data'!G71)</f>
        <v/>
      </c>
      <c r="L70" s="27" t="str">
        <f>IF('Curve Header Data'!H71="","",'Curve Header Data'!H71)</f>
        <v/>
      </c>
      <c r="M70" s="27" t="str">
        <f>IF('Curve Header Data'!I71="","",'Curve Header Data'!I71)</f>
        <v/>
      </c>
      <c r="N70" s="27" t="str">
        <f>IF('Curve Header Data'!J71="","",'Curve Header Data'!J71*$E$3)</f>
        <v/>
      </c>
      <c r="O70" s="27">
        <f>IF('Curve Header Data'!S71="","",'Curve Header Data'!S71*$J$2)</f>
        <v>0</v>
      </c>
      <c r="P70" s="27">
        <f>IF('Curve Header Data'!T71="","",'Curve Header Data'!T71*$J$3)</f>
        <v>0</v>
      </c>
      <c r="Q70" s="27" t="str">
        <f>IF('Curve Header Data'!U71="","",'Curve Header Data'!U71)</f>
        <v/>
      </c>
      <c r="R70" s="27" t="str">
        <f>IF('Curve Header Data'!V71="","",'Curve Header Data'!V71)</f>
        <v>0</v>
      </c>
      <c r="S70" s="27" t="str">
        <f>IF('Curve Header Data'!W71="","",'Curve Header Data'!W71)</f>
        <v/>
      </c>
    </row>
    <row r="71" spans="1:19" x14ac:dyDescent="0.2">
      <c r="A71" s="38" t="str">
        <f>IF('Curve Header Data'!A72="","",'Curve Header Data'!A72)</f>
        <v/>
      </c>
      <c r="B71" s="38" t="str">
        <f>IF('Curve Header Data'!C72="","",'Curve Header Data'!C72)</f>
        <v/>
      </c>
      <c r="C71" s="38" t="str">
        <f>IF('Curve Header Data'!D72="","",'Curve Header Data'!D72)</f>
        <v/>
      </c>
      <c r="D71" s="38" t="str">
        <f>IF('Curve Header Data'!E72="","",'Curve Header Data'!E72)</f>
        <v/>
      </c>
      <c r="E71" s="38" t="str">
        <f>IF('Curve Header Data'!B72="","",'Curve Header Data'!B72)</f>
        <v/>
      </c>
      <c r="F71" s="38" t="str">
        <f>IF('Curve Header Data'!K72="","",'Curve Header Data'!K72*$E$2)</f>
        <v/>
      </c>
      <c r="G71" s="38" t="str">
        <f>IF('Curve Header Data'!L72="","",'Curve Header Data'!L72*$E$2)</f>
        <v/>
      </c>
      <c r="H71" s="38">
        <f>IF('Curve Header Data'!N72="","",'Curve Header Data'!N72)</f>
        <v>1</v>
      </c>
      <c r="I71" s="38">
        <f>IF('Curve Header Data'!O72="","",'Curve Header Data'!O72)</f>
        <v>5</v>
      </c>
      <c r="J71" s="27" t="str">
        <f>IF('Curve Header Data'!M72="","",'Curve Header Data'!M72)</f>
        <v/>
      </c>
      <c r="K71" s="27" t="str">
        <f>IF('Curve Header Data'!G72="","",'Curve Header Data'!G72)</f>
        <v/>
      </c>
      <c r="L71" s="27" t="str">
        <f>IF('Curve Header Data'!H72="","",'Curve Header Data'!H72)</f>
        <v/>
      </c>
      <c r="M71" s="27" t="str">
        <f>IF('Curve Header Data'!I72="","",'Curve Header Data'!I72)</f>
        <v/>
      </c>
      <c r="N71" s="27" t="str">
        <f>IF('Curve Header Data'!J72="","",'Curve Header Data'!J72*$E$3)</f>
        <v/>
      </c>
      <c r="O71" s="27">
        <f>IF('Curve Header Data'!S72="","",'Curve Header Data'!S72*$J$2)</f>
        <v>0</v>
      </c>
      <c r="P71" s="27">
        <f>IF('Curve Header Data'!T72="","",'Curve Header Data'!T72*$J$3)</f>
        <v>0</v>
      </c>
      <c r="Q71" s="27" t="str">
        <f>IF('Curve Header Data'!U72="","",'Curve Header Data'!U72)</f>
        <v/>
      </c>
      <c r="R71" s="27" t="str">
        <f>IF('Curve Header Data'!V72="","",'Curve Header Data'!V72)</f>
        <v>0</v>
      </c>
      <c r="S71" s="27" t="str">
        <f>IF('Curve Header Data'!W72="","",'Curve Header Data'!W72)</f>
        <v/>
      </c>
    </row>
    <row r="72" spans="1:19" x14ac:dyDescent="0.2">
      <c r="A72" s="38" t="str">
        <f>IF('Curve Header Data'!A73="","",'Curve Header Data'!A73)</f>
        <v/>
      </c>
      <c r="B72" s="38" t="str">
        <f>IF('Curve Header Data'!C73="","",'Curve Header Data'!C73)</f>
        <v/>
      </c>
      <c r="C72" s="38" t="str">
        <f>IF('Curve Header Data'!D73="","",'Curve Header Data'!D73)</f>
        <v/>
      </c>
      <c r="D72" s="38" t="str">
        <f>IF('Curve Header Data'!E73="","",'Curve Header Data'!E73)</f>
        <v/>
      </c>
      <c r="E72" s="38" t="str">
        <f>IF('Curve Header Data'!B73="","",'Curve Header Data'!B73)</f>
        <v/>
      </c>
      <c r="F72" s="38" t="str">
        <f>IF('Curve Header Data'!K73="","",'Curve Header Data'!K73*$E$2)</f>
        <v/>
      </c>
      <c r="G72" s="38" t="str">
        <f>IF('Curve Header Data'!L73="","",'Curve Header Data'!L73*$E$2)</f>
        <v/>
      </c>
      <c r="H72" s="38">
        <f>IF('Curve Header Data'!N73="","",'Curve Header Data'!N73)</f>
        <v>1</v>
      </c>
      <c r="I72" s="38">
        <f>IF('Curve Header Data'!O73="","",'Curve Header Data'!O73)</f>
        <v>5</v>
      </c>
      <c r="J72" s="27" t="str">
        <f>IF('Curve Header Data'!M73="","",'Curve Header Data'!M73)</f>
        <v/>
      </c>
      <c r="K72" s="27" t="str">
        <f>IF('Curve Header Data'!G73="","",'Curve Header Data'!G73)</f>
        <v/>
      </c>
      <c r="L72" s="27" t="str">
        <f>IF('Curve Header Data'!H73="","",'Curve Header Data'!H73)</f>
        <v/>
      </c>
      <c r="M72" s="27" t="str">
        <f>IF('Curve Header Data'!I73="","",'Curve Header Data'!I73)</f>
        <v/>
      </c>
      <c r="N72" s="27" t="str">
        <f>IF('Curve Header Data'!J73="","",'Curve Header Data'!J73*$E$3)</f>
        <v/>
      </c>
      <c r="O72" s="27">
        <f>IF('Curve Header Data'!S73="","",'Curve Header Data'!S73*$J$2)</f>
        <v>0</v>
      </c>
      <c r="P72" s="27">
        <f>IF('Curve Header Data'!T73="","",'Curve Header Data'!T73*$J$3)</f>
        <v>0</v>
      </c>
      <c r="Q72" s="27" t="str">
        <f>IF('Curve Header Data'!U73="","",'Curve Header Data'!U73)</f>
        <v/>
      </c>
      <c r="R72" s="27" t="str">
        <f>IF('Curve Header Data'!V73="","",'Curve Header Data'!V73)</f>
        <v>0</v>
      </c>
      <c r="S72" s="27" t="str">
        <f>IF('Curve Header Data'!W73="","",'Curve Header Data'!W73)</f>
        <v/>
      </c>
    </row>
    <row r="73" spans="1:19" x14ac:dyDescent="0.2">
      <c r="A73" s="38" t="str">
        <f>IF('Curve Header Data'!A74="","",'Curve Header Data'!A74)</f>
        <v/>
      </c>
      <c r="B73" s="38" t="str">
        <f>IF('Curve Header Data'!C74="","",'Curve Header Data'!C74)</f>
        <v/>
      </c>
      <c r="C73" s="38" t="str">
        <f>IF('Curve Header Data'!D74="","",'Curve Header Data'!D74)</f>
        <v/>
      </c>
      <c r="D73" s="38" t="str">
        <f>IF('Curve Header Data'!E74="","",'Curve Header Data'!E74)</f>
        <v/>
      </c>
      <c r="E73" s="38" t="str">
        <f>IF('Curve Header Data'!B74="","",'Curve Header Data'!B74)</f>
        <v/>
      </c>
      <c r="F73" s="38" t="str">
        <f>IF('Curve Header Data'!K74="","",'Curve Header Data'!K74*$E$2)</f>
        <v/>
      </c>
      <c r="G73" s="38" t="str">
        <f>IF('Curve Header Data'!L74="","",'Curve Header Data'!L74*$E$2)</f>
        <v/>
      </c>
      <c r="H73" s="38">
        <f>IF('Curve Header Data'!N74="","",'Curve Header Data'!N74)</f>
        <v>1</v>
      </c>
      <c r="I73" s="38">
        <f>IF('Curve Header Data'!O74="","",'Curve Header Data'!O74)</f>
        <v>5</v>
      </c>
      <c r="J73" s="27" t="str">
        <f>IF('Curve Header Data'!M74="","",'Curve Header Data'!M74)</f>
        <v/>
      </c>
      <c r="K73" s="27" t="str">
        <f>IF('Curve Header Data'!G74="","",'Curve Header Data'!G74)</f>
        <v/>
      </c>
      <c r="L73" s="27" t="str">
        <f>IF('Curve Header Data'!H74="","",'Curve Header Data'!H74)</f>
        <v/>
      </c>
      <c r="M73" s="27" t="str">
        <f>IF('Curve Header Data'!I74="","",'Curve Header Data'!I74)</f>
        <v/>
      </c>
      <c r="N73" s="27" t="str">
        <f>IF('Curve Header Data'!J74="","",'Curve Header Data'!J74*$E$3)</f>
        <v/>
      </c>
      <c r="O73" s="27">
        <f>IF('Curve Header Data'!S74="","",'Curve Header Data'!S74*$J$2)</f>
        <v>0</v>
      </c>
      <c r="P73" s="27">
        <f>IF('Curve Header Data'!T74="","",'Curve Header Data'!T74*$J$3)</f>
        <v>0</v>
      </c>
      <c r="Q73" s="27" t="str">
        <f>IF('Curve Header Data'!U74="","",'Curve Header Data'!U74)</f>
        <v/>
      </c>
      <c r="R73" s="27" t="str">
        <f>IF('Curve Header Data'!V74="","",'Curve Header Data'!V74)</f>
        <v>0</v>
      </c>
      <c r="S73" s="27" t="str">
        <f>IF('Curve Header Data'!W74="","",'Curve Header Data'!W74)</f>
        <v/>
      </c>
    </row>
    <row r="74" spans="1:19" x14ac:dyDescent="0.2">
      <c r="A74" s="38" t="str">
        <f>IF('Curve Header Data'!A75="","",'Curve Header Data'!A75)</f>
        <v/>
      </c>
      <c r="B74" s="38" t="str">
        <f>IF('Curve Header Data'!C75="","",'Curve Header Data'!C75)</f>
        <v/>
      </c>
      <c r="C74" s="38" t="str">
        <f>IF('Curve Header Data'!D75="","",'Curve Header Data'!D75)</f>
        <v/>
      </c>
      <c r="D74" s="38" t="str">
        <f>IF('Curve Header Data'!E75="","",'Curve Header Data'!E75)</f>
        <v/>
      </c>
      <c r="E74" s="38" t="str">
        <f>IF('Curve Header Data'!B75="","",'Curve Header Data'!B75)</f>
        <v/>
      </c>
      <c r="F74" s="38" t="str">
        <f>IF('Curve Header Data'!K75="","",'Curve Header Data'!K75*$E$2)</f>
        <v/>
      </c>
      <c r="G74" s="38" t="str">
        <f>IF('Curve Header Data'!L75="","",'Curve Header Data'!L75*$E$2)</f>
        <v/>
      </c>
      <c r="H74" s="38">
        <f>IF('Curve Header Data'!N75="","",'Curve Header Data'!N75)</f>
        <v>1</v>
      </c>
      <c r="I74" s="38">
        <f>IF('Curve Header Data'!O75="","",'Curve Header Data'!O75)</f>
        <v>5</v>
      </c>
      <c r="J74" s="27" t="str">
        <f>IF('Curve Header Data'!M75="","",'Curve Header Data'!M75)</f>
        <v/>
      </c>
      <c r="K74" s="27" t="str">
        <f>IF('Curve Header Data'!G75="","",'Curve Header Data'!G75)</f>
        <v/>
      </c>
      <c r="L74" s="27" t="str">
        <f>IF('Curve Header Data'!H75="","",'Curve Header Data'!H75)</f>
        <v/>
      </c>
      <c r="M74" s="27" t="str">
        <f>IF('Curve Header Data'!I75="","",'Curve Header Data'!I75)</f>
        <v/>
      </c>
      <c r="N74" s="27" t="str">
        <f>IF('Curve Header Data'!J75="","",'Curve Header Data'!J75*$E$3)</f>
        <v/>
      </c>
      <c r="O74" s="27">
        <f>IF('Curve Header Data'!S75="","",'Curve Header Data'!S75*$J$2)</f>
        <v>0</v>
      </c>
      <c r="P74" s="27">
        <f>IF('Curve Header Data'!T75="","",'Curve Header Data'!T75*$J$3)</f>
        <v>0</v>
      </c>
      <c r="Q74" s="27" t="str">
        <f>IF('Curve Header Data'!U75="","",'Curve Header Data'!U75)</f>
        <v/>
      </c>
      <c r="R74" s="27" t="str">
        <f>IF('Curve Header Data'!V75="","",'Curve Header Data'!V75)</f>
        <v>0</v>
      </c>
      <c r="S74" s="27" t="str">
        <f>IF('Curve Header Data'!W75="","",'Curve Header Data'!W75)</f>
        <v/>
      </c>
    </row>
    <row r="75" spans="1:19" x14ac:dyDescent="0.2">
      <c r="A75" s="38" t="str">
        <f>IF('Curve Header Data'!A76="","",'Curve Header Data'!A76)</f>
        <v/>
      </c>
      <c r="B75" s="38" t="str">
        <f>IF('Curve Header Data'!C76="","",'Curve Header Data'!C76)</f>
        <v/>
      </c>
      <c r="C75" s="38" t="str">
        <f>IF('Curve Header Data'!D76="","",'Curve Header Data'!D76)</f>
        <v/>
      </c>
      <c r="D75" s="38" t="str">
        <f>IF('Curve Header Data'!E76="","",'Curve Header Data'!E76)</f>
        <v/>
      </c>
      <c r="E75" s="38" t="str">
        <f>IF('Curve Header Data'!B76="","",'Curve Header Data'!B76)</f>
        <v/>
      </c>
      <c r="F75" s="38" t="str">
        <f>IF('Curve Header Data'!K76="","",'Curve Header Data'!K76*$E$2)</f>
        <v/>
      </c>
      <c r="G75" s="38" t="str">
        <f>IF('Curve Header Data'!L76="","",'Curve Header Data'!L76*$E$2)</f>
        <v/>
      </c>
      <c r="H75" s="38">
        <f>IF('Curve Header Data'!N76="","",'Curve Header Data'!N76)</f>
        <v>1</v>
      </c>
      <c r="I75" s="38">
        <f>IF('Curve Header Data'!O76="","",'Curve Header Data'!O76)</f>
        <v>5</v>
      </c>
      <c r="J75" s="27" t="str">
        <f>IF('Curve Header Data'!M76="","",'Curve Header Data'!M76)</f>
        <v/>
      </c>
      <c r="K75" s="27" t="str">
        <f>IF('Curve Header Data'!G76="","",'Curve Header Data'!G76)</f>
        <v/>
      </c>
      <c r="L75" s="27" t="str">
        <f>IF('Curve Header Data'!H76="","",'Curve Header Data'!H76)</f>
        <v/>
      </c>
      <c r="M75" s="27" t="str">
        <f>IF('Curve Header Data'!I76="","",'Curve Header Data'!I76)</f>
        <v/>
      </c>
      <c r="N75" s="27" t="str">
        <f>IF('Curve Header Data'!J76="","",'Curve Header Data'!J76*$E$3)</f>
        <v/>
      </c>
      <c r="O75" s="27">
        <f>IF('Curve Header Data'!S76="","",'Curve Header Data'!S76*$J$2)</f>
        <v>0</v>
      </c>
      <c r="P75" s="27">
        <f>IF('Curve Header Data'!T76="","",'Curve Header Data'!T76*$J$3)</f>
        <v>0</v>
      </c>
      <c r="Q75" s="27" t="str">
        <f>IF('Curve Header Data'!U76="","",'Curve Header Data'!U76)</f>
        <v/>
      </c>
      <c r="R75" s="27" t="str">
        <f>IF('Curve Header Data'!V76="","",'Curve Header Data'!V76)</f>
        <v>0</v>
      </c>
      <c r="S75" s="27" t="str">
        <f>IF('Curve Header Data'!W76="","",'Curve Header Data'!W76)</f>
        <v/>
      </c>
    </row>
    <row r="76" spans="1:19" x14ac:dyDescent="0.2">
      <c r="A76" s="38" t="str">
        <f>IF('Curve Header Data'!A77="","",'Curve Header Data'!A77)</f>
        <v/>
      </c>
      <c r="B76" s="38" t="str">
        <f>IF('Curve Header Data'!C77="","",'Curve Header Data'!C77)</f>
        <v/>
      </c>
      <c r="C76" s="38" t="str">
        <f>IF('Curve Header Data'!D77="","",'Curve Header Data'!D77)</f>
        <v/>
      </c>
      <c r="D76" s="38" t="str">
        <f>IF('Curve Header Data'!E77="","",'Curve Header Data'!E77)</f>
        <v/>
      </c>
      <c r="E76" s="38" t="str">
        <f>IF('Curve Header Data'!B77="","",'Curve Header Data'!B77)</f>
        <v/>
      </c>
      <c r="F76" s="38" t="str">
        <f>IF('Curve Header Data'!K77="","",'Curve Header Data'!K77*$E$2)</f>
        <v/>
      </c>
      <c r="G76" s="38" t="str">
        <f>IF('Curve Header Data'!L77="","",'Curve Header Data'!L77*$E$2)</f>
        <v/>
      </c>
      <c r="H76" s="38">
        <f>IF('Curve Header Data'!N77="","",'Curve Header Data'!N77)</f>
        <v>1</v>
      </c>
      <c r="I76" s="38">
        <f>IF('Curve Header Data'!O77="","",'Curve Header Data'!O77)</f>
        <v>5</v>
      </c>
      <c r="J76" s="27" t="str">
        <f>IF('Curve Header Data'!M77="","",'Curve Header Data'!M77)</f>
        <v/>
      </c>
      <c r="K76" s="27" t="str">
        <f>IF('Curve Header Data'!G77="","",'Curve Header Data'!G77)</f>
        <v/>
      </c>
      <c r="L76" s="27" t="str">
        <f>IF('Curve Header Data'!H77="","",'Curve Header Data'!H77)</f>
        <v/>
      </c>
      <c r="M76" s="27" t="str">
        <f>IF('Curve Header Data'!I77="","",'Curve Header Data'!I77)</f>
        <v/>
      </c>
      <c r="N76" s="27" t="str">
        <f>IF('Curve Header Data'!J77="","",'Curve Header Data'!J77*$E$3)</f>
        <v/>
      </c>
      <c r="O76" s="27">
        <f>IF('Curve Header Data'!S77="","",'Curve Header Data'!S77*$J$2)</f>
        <v>0</v>
      </c>
      <c r="P76" s="27">
        <f>IF('Curve Header Data'!T77="","",'Curve Header Data'!T77*$J$3)</f>
        <v>0</v>
      </c>
      <c r="Q76" s="27" t="str">
        <f>IF('Curve Header Data'!U77="","",'Curve Header Data'!U77)</f>
        <v/>
      </c>
      <c r="R76" s="27" t="str">
        <f>IF('Curve Header Data'!V77="","",'Curve Header Data'!V77)</f>
        <v>0</v>
      </c>
      <c r="S76" s="27" t="str">
        <f>IF('Curve Header Data'!W77="","",'Curve Header Data'!W77)</f>
        <v/>
      </c>
    </row>
    <row r="77" spans="1:19" x14ac:dyDescent="0.2">
      <c r="A77" s="38" t="str">
        <f>IF('Curve Header Data'!A78="","",'Curve Header Data'!A78)</f>
        <v/>
      </c>
      <c r="B77" s="38" t="str">
        <f>IF('Curve Header Data'!C78="","",'Curve Header Data'!C78)</f>
        <v/>
      </c>
      <c r="C77" s="38" t="str">
        <f>IF('Curve Header Data'!D78="","",'Curve Header Data'!D78)</f>
        <v/>
      </c>
      <c r="D77" s="38" t="str">
        <f>IF('Curve Header Data'!E78="","",'Curve Header Data'!E78)</f>
        <v/>
      </c>
      <c r="E77" s="38" t="str">
        <f>IF('Curve Header Data'!B78="","",'Curve Header Data'!B78)</f>
        <v/>
      </c>
      <c r="F77" s="38" t="str">
        <f>IF('Curve Header Data'!K78="","",'Curve Header Data'!K78*$E$2)</f>
        <v/>
      </c>
      <c r="G77" s="38" t="str">
        <f>IF('Curve Header Data'!L78="","",'Curve Header Data'!L78*$E$2)</f>
        <v/>
      </c>
      <c r="H77" s="38">
        <f>IF('Curve Header Data'!N78="","",'Curve Header Data'!N78)</f>
        <v>1</v>
      </c>
      <c r="I77" s="38">
        <f>IF('Curve Header Data'!O78="","",'Curve Header Data'!O78)</f>
        <v>5</v>
      </c>
      <c r="J77" s="27" t="str">
        <f>IF('Curve Header Data'!M78="","",'Curve Header Data'!M78)</f>
        <v/>
      </c>
      <c r="K77" s="27" t="str">
        <f>IF('Curve Header Data'!G78="","",'Curve Header Data'!G78)</f>
        <v/>
      </c>
      <c r="L77" s="27" t="str">
        <f>IF('Curve Header Data'!H78="","",'Curve Header Data'!H78)</f>
        <v/>
      </c>
      <c r="M77" s="27" t="str">
        <f>IF('Curve Header Data'!I78="","",'Curve Header Data'!I78)</f>
        <v/>
      </c>
      <c r="N77" s="27" t="str">
        <f>IF('Curve Header Data'!J78="","",'Curve Header Data'!J78*$E$3)</f>
        <v/>
      </c>
      <c r="O77" s="27">
        <f>IF('Curve Header Data'!S78="","",'Curve Header Data'!S78*$J$2)</f>
        <v>0</v>
      </c>
      <c r="P77" s="27">
        <f>IF('Curve Header Data'!T78="","",'Curve Header Data'!T78*$J$3)</f>
        <v>0</v>
      </c>
      <c r="Q77" s="27" t="str">
        <f>IF('Curve Header Data'!U78="","",'Curve Header Data'!U78)</f>
        <v/>
      </c>
      <c r="R77" s="27" t="str">
        <f>IF('Curve Header Data'!V78="","",'Curve Header Data'!V78)</f>
        <v>0</v>
      </c>
      <c r="S77" s="27" t="str">
        <f>IF('Curve Header Data'!W78="","",'Curve Header Data'!W78)</f>
        <v/>
      </c>
    </row>
    <row r="78" spans="1:19" x14ac:dyDescent="0.2">
      <c r="A78" s="38" t="str">
        <f>IF('Curve Header Data'!A79="","",'Curve Header Data'!A79)</f>
        <v/>
      </c>
      <c r="B78" s="38" t="str">
        <f>IF('Curve Header Data'!C79="","",'Curve Header Data'!C79)</f>
        <v/>
      </c>
      <c r="C78" s="38" t="str">
        <f>IF('Curve Header Data'!D79="","",'Curve Header Data'!D79)</f>
        <v/>
      </c>
      <c r="D78" s="38" t="str">
        <f>IF('Curve Header Data'!E79="","",'Curve Header Data'!E79)</f>
        <v/>
      </c>
      <c r="E78" s="38" t="str">
        <f>IF('Curve Header Data'!B79="","",'Curve Header Data'!B79)</f>
        <v/>
      </c>
      <c r="F78" s="38" t="str">
        <f>IF('Curve Header Data'!K79="","",'Curve Header Data'!K79*$E$2)</f>
        <v/>
      </c>
      <c r="G78" s="38" t="str">
        <f>IF('Curve Header Data'!L79="","",'Curve Header Data'!L79*$E$2)</f>
        <v/>
      </c>
      <c r="H78" s="38">
        <f>IF('Curve Header Data'!N79="","",'Curve Header Data'!N79)</f>
        <v>1</v>
      </c>
      <c r="I78" s="38">
        <f>IF('Curve Header Data'!O79="","",'Curve Header Data'!O79)</f>
        <v>5</v>
      </c>
      <c r="J78" s="27" t="str">
        <f>IF('Curve Header Data'!M79="","",'Curve Header Data'!M79)</f>
        <v/>
      </c>
      <c r="K78" s="27" t="str">
        <f>IF('Curve Header Data'!G79="","",'Curve Header Data'!G79)</f>
        <v/>
      </c>
      <c r="L78" s="27" t="str">
        <f>IF('Curve Header Data'!H79="","",'Curve Header Data'!H79)</f>
        <v/>
      </c>
      <c r="M78" s="27" t="str">
        <f>IF('Curve Header Data'!I79="","",'Curve Header Data'!I79)</f>
        <v/>
      </c>
      <c r="N78" s="27" t="str">
        <f>IF('Curve Header Data'!J79="","",'Curve Header Data'!J79*$E$3)</f>
        <v/>
      </c>
      <c r="O78" s="27">
        <f>IF('Curve Header Data'!S79="","",'Curve Header Data'!S79*$J$2)</f>
        <v>0</v>
      </c>
      <c r="P78" s="27">
        <f>IF('Curve Header Data'!T79="","",'Curve Header Data'!T79*$J$3)</f>
        <v>0</v>
      </c>
      <c r="Q78" s="27" t="str">
        <f>IF('Curve Header Data'!U79="","",'Curve Header Data'!U79)</f>
        <v/>
      </c>
      <c r="R78" s="27" t="str">
        <f>IF('Curve Header Data'!V79="","",'Curve Header Data'!V79)</f>
        <v>0</v>
      </c>
      <c r="S78" s="27" t="str">
        <f>IF('Curve Header Data'!W79="","",'Curve Header Data'!W79)</f>
        <v/>
      </c>
    </row>
    <row r="79" spans="1:19" x14ac:dyDescent="0.2">
      <c r="A79" s="38" t="str">
        <f>IF('Curve Header Data'!A80="","",'Curve Header Data'!A80)</f>
        <v/>
      </c>
      <c r="B79" s="38" t="str">
        <f>IF('Curve Header Data'!C80="","",'Curve Header Data'!C80)</f>
        <v/>
      </c>
      <c r="C79" s="38" t="str">
        <f>IF('Curve Header Data'!D80="","",'Curve Header Data'!D80)</f>
        <v/>
      </c>
      <c r="D79" s="38" t="str">
        <f>IF('Curve Header Data'!E80="","",'Curve Header Data'!E80)</f>
        <v/>
      </c>
      <c r="E79" s="38" t="str">
        <f>IF('Curve Header Data'!B80="","",'Curve Header Data'!B80)</f>
        <v/>
      </c>
      <c r="F79" s="38" t="str">
        <f>IF('Curve Header Data'!K80="","",'Curve Header Data'!K80*$E$2)</f>
        <v/>
      </c>
      <c r="G79" s="38" t="str">
        <f>IF('Curve Header Data'!L80="","",'Curve Header Data'!L80*$E$2)</f>
        <v/>
      </c>
      <c r="H79" s="38">
        <f>IF('Curve Header Data'!N80="","",'Curve Header Data'!N80)</f>
        <v>1</v>
      </c>
      <c r="I79" s="38">
        <f>IF('Curve Header Data'!O80="","",'Curve Header Data'!O80)</f>
        <v>5</v>
      </c>
      <c r="J79" s="27" t="str">
        <f>IF('Curve Header Data'!M80="","",'Curve Header Data'!M80)</f>
        <v/>
      </c>
      <c r="K79" s="27" t="str">
        <f>IF('Curve Header Data'!G80="","",'Curve Header Data'!G80)</f>
        <v/>
      </c>
      <c r="L79" s="27" t="str">
        <f>IF('Curve Header Data'!H80="","",'Curve Header Data'!H80)</f>
        <v/>
      </c>
      <c r="M79" s="27" t="str">
        <f>IF('Curve Header Data'!I80="","",'Curve Header Data'!I80)</f>
        <v/>
      </c>
      <c r="N79" s="27" t="str">
        <f>IF('Curve Header Data'!J80="","",'Curve Header Data'!J80*$E$3)</f>
        <v/>
      </c>
      <c r="O79" s="27">
        <f>IF('Curve Header Data'!S80="","",'Curve Header Data'!S80*$J$2)</f>
        <v>0</v>
      </c>
      <c r="P79" s="27">
        <f>IF('Curve Header Data'!T80="","",'Curve Header Data'!T80*$J$3)</f>
        <v>0</v>
      </c>
      <c r="Q79" s="27" t="str">
        <f>IF('Curve Header Data'!U80="","",'Curve Header Data'!U80)</f>
        <v/>
      </c>
      <c r="R79" s="27" t="str">
        <f>IF('Curve Header Data'!V80="","",'Curve Header Data'!V80)</f>
        <v>0</v>
      </c>
      <c r="S79" s="27" t="str">
        <f>IF('Curve Header Data'!W80="","",'Curve Header Data'!W80)</f>
        <v/>
      </c>
    </row>
    <row r="80" spans="1:19" x14ac:dyDescent="0.2">
      <c r="A80" s="38" t="str">
        <f>IF('Curve Header Data'!A81="","",'Curve Header Data'!A81)</f>
        <v/>
      </c>
      <c r="B80" s="38" t="str">
        <f>IF('Curve Header Data'!C81="","",'Curve Header Data'!C81)</f>
        <v/>
      </c>
      <c r="C80" s="38" t="str">
        <f>IF('Curve Header Data'!D81="","",'Curve Header Data'!D81)</f>
        <v/>
      </c>
      <c r="D80" s="38" t="str">
        <f>IF('Curve Header Data'!E81="","",'Curve Header Data'!E81)</f>
        <v/>
      </c>
      <c r="E80" s="38" t="str">
        <f>IF('Curve Header Data'!B81="","",'Curve Header Data'!B81)</f>
        <v/>
      </c>
      <c r="F80" s="38" t="str">
        <f>IF('Curve Header Data'!K81="","",'Curve Header Data'!K81*$E$2)</f>
        <v/>
      </c>
      <c r="G80" s="38" t="str">
        <f>IF('Curve Header Data'!L81="","",'Curve Header Data'!L81*$E$2)</f>
        <v/>
      </c>
      <c r="H80" s="38">
        <f>IF('Curve Header Data'!N81="","",'Curve Header Data'!N81)</f>
        <v>1</v>
      </c>
      <c r="I80" s="38">
        <f>IF('Curve Header Data'!O81="","",'Curve Header Data'!O81)</f>
        <v>5</v>
      </c>
      <c r="J80" s="27" t="str">
        <f>IF('Curve Header Data'!M81="","",'Curve Header Data'!M81)</f>
        <v/>
      </c>
      <c r="K80" s="27" t="str">
        <f>IF('Curve Header Data'!G81="","",'Curve Header Data'!G81)</f>
        <v/>
      </c>
      <c r="L80" s="27" t="str">
        <f>IF('Curve Header Data'!H81="","",'Curve Header Data'!H81)</f>
        <v/>
      </c>
      <c r="M80" s="27" t="str">
        <f>IF('Curve Header Data'!I81="","",'Curve Header Data'!I81)</f>
        <v/>
      </c>
      <c r="N80" s="27" t="str">
        <f>IF('Curve Header Data'!J81="","",'Curve Header Data'!J81*$E$3)</f>
        <v/>
      </c>
      <c r="O80" s="27">
        <f>IF('Curve Header Data'!S81="","",'Curve Header Data'!S81*$J$2)</f>
        <v>0</v>
      </c>
      <c r="P80" s="27">
        <f>IF('Curve Header Data'!T81="","",'Curve Header Data'!T81*$J$3)</f>
        <v>0</v>
      </c>
      <c r="Q80" s="27" t="str">
        <f>IF('Curve Header Data'!U81="","",'Curve Header Data'!U81)</f>
        <v/>
      </c>
      <c r="R80" s="27" t="str">
        <f>IF('Curve Header Data'!V81="","",'Curve Header Data'!V81)</f>
        <v>0</v>
      </c>
      <c r="S80" s="27" t="str">
        <f>IF('Curve Header Data'!W81="","",'Curve Header Data'!W81)</f>
        <v/>
      </c>
    </row>
    <row r="81" spans="1:19" x14ac:dyDescent="0.2">
      <c r="A81" s="38" t="str">
        <f>IF('Curve Header Data'!A82="","",'Curve Header Data'!A82)</f>
        <v/>
      </c>
      <c r="B81" s="38" t="str">
        <f>IF('Curve Header Data'!C82="","",'Curve Header Data'!C82)</f>
        <v/>
      </c>
      <c r="C81" s="38" t="str">
        <f>IF('Curve Header Data'!D82="","",'Curve Header Data'!D82)</f>
        <v/>
      </c>
      <c r="D81" s="38" t="str">
        <f>IF('Curve Header Data'!E82="","",'Curve Header Data'!E82)</f>
        <v/>
      </c>
      <c r="E81" s="38" t="str">
        <f>IF('Curve Header Data'!B82="","",'Curve Header Data'!B82)</f>
        <v/>
      </c>
      <c r="F81" s="38" t="str">
        <f>IF('Curve Header Data'!K82="","",'Curve Header Data'!K82*$E$2)</f>
        <v/>
      </c>
      <c r="G81" s="38" t="str">
        <f>IF('Curve Header Data'!L82="","",'Curve Header Data'!L82*$E$2)</f>
        <v/>
      </c>
      <c r="H81" s="38">
        <f>IF('Curve Header Data'!N82="","",'Curve Header Data'!N82)</f>
        <v>1</v>
      </c>
      <c r="I81" s="38">
        <f>IF('Curve Header Data'!O82="","",'Curve Header Data'!O82)</f>
        <v>5</v>
      </c>
      <c r="J81" s="27" t="str">
        <f>IF('Curve Header Data'!M82="","",'Curve Header Data'!M82)</f>
        <v/>
      </c>
      <c r="K81" s="27" t="str">
        <f>IF('Curve Header Data'!G82="","",'Curve Header Data'!G82)</f>
        <v/>
      </c>
      <c r="L81" s="27" t="str">
        <f>IF('Curve Header Data'!H82="","",'Curve Header Data'!H82)</f>
        <v/>
      </c>
      <c r="M81" s="27" t="str">
        <f>IF('Curve Header Data'!I82="","",'Curve Header Data'!I82)</f>
        <v/>
      </c>
      <c r="N81" s="27" t="str">
        <f>IF('Curve Header Data'!J82="","",'Curve Header Data'!J82*$E$3)</f>
        <v/>
      </c>
      <c r="O81" s="27">
        <f>IF('Curve Header Data'!S82="","",'Curve Header Data'!S82*$J$2)</f>
        <v>0</v>
      </c>
      <c r="P81" s="27">
        <f>IF('Curve Header Data'!T82="","",'Curve Header Data'!T82*$J$3)</f>
        <v>0</v>
      </c>
      <c r="Q81" s="27" t="str">
        <f>IF('Curve Header Data'!U82="","",'Curve Header Data'!U82)</f>
        <v/>
      </c>
      <c r="R81" s="27" t="str">
        <f>IF('Curve Header Data'!V82="","",'Curve Header Data'!V82)</f>
        <v>0</v>
      </c>
      <c r="S81" s="27" t="str">
        <f>IF('Curve Header Data'!W82="","",'Curve Header Data'!W82)</f>
        <v/>
      </c>
    </row>
    <row r="82" spans="1:19" x14ac:dyDescent="0.2">
      <c r="A82" s="38" t="str">
        <f>IF('Curve Header Data'!A83="","",'Curve Header Data'!A83)</f>
        <v/>
      </c>
      <c r="B82" s="38" t="str">
        <f>IF('Curve Header Data'!C83="","",'Curve Header Data'!C83)</f>
        <v/>
      </c>
      <c r="C82" s="38" t="str">
        <f>IF('Curve Header Data'!D83="","",'Curve Header Data'!D83)</f>
        <v/>
      </c>
      <c r="D82" s="38" t="str">
        <f>IF('Curve Header Data'!E83="","",'Curve Header Data'!E83)</f>
        <v/>
      </c>
      <c r="E82" s="38" t="str">
        <f>IF('Curve Header Data'!B83="","",'Curve Header Data'!B83)</f>
        <v/>
      </c>
      <c r="F82" s="38" t="str">
        <f>IF('Curve Header Data'!K83="","",'Curve Header Data'!K83*$E$2)</f>
        <v/>
      </c>
      <c r="G82" s="38" t="str">
        <f>IF('Curve Header Data'!L83="","",'Curve Header Data'!L83*$E$2)</f>
        <v/>
      </c>
      <c r="H82" s="38">
        <f>IF('Curve Header Data'!N83="","",'Curve Header Data'!N83)</f>
        <v>1</v>
      </c>
      <c r="I82" s="38">
        <f>IF('Curve Header Data'!O83="","",'Curve Header Data'!O83)</f>
        <v>5</v>
      </c>
      <c r="J82" s="27" t="str">
        <f>IF('Curve Header Data'!M83="","",'Curve Header Data'!M83)</f>
        <v/>
      </c>
      <c r="K82" s="27" t="str">
        <f>IF('Curve Header Data'!G83="","",'Curve Header Data'!G83)</f>
        <v/>
      </c>
      <c r="L82" s="27" t="str">
        <f>IF('Curve Header Data'!H83="","",'Curve Header Data'!H83)</f>
        <v/>
      </c>
      <c r="M82" s="27" t="str">
        <f>IF('Curve Header Data'!I83="","",'Curve Header Data'!I83)</f>
        <v/>
      </c>
      <c r="N82" s="27" t="str">
        <f>IF('Curve Header Data'!J83="","",'Curve Header Data'!J83*$E$3)</f>
        <v/>
      </c>
      <c r="O82" s="27">
        <f>IF('Curve Header Data'!S83="","",'Curve Header Data'!S83*$J$2)</f>
        <v>0</v>
      </c>
      <c r="P82" s="27">
        <f>IF('Curve Header Data'!T83="","",'Curve Header Data'!T83*$J$3)</f>
        <v>0</v>
      </c>
      <c r="Q82" s="27" t="str">
        <f>IF('Curve Header Data'!U83="","",'Curve Header Data'!U83)</f>
        <v/>
      </c>
      <c r="R82" s="27" t="str">
        <f>IF('Curve Header Data'!V83="","",'Curve Header Data'!V83)</f>
        <v>0</v>
      </c>
      <c r="S82" s="27" t="str">
        <f>IF('Curve Header Data'!W83="","",'Curve Header Data'!W83)</f>
        <v/>
      </c>
    </row>
    <row r="83" spans="1:19" x14ac:dyDescent="0.2">
      <c r="A83" s="38" t="str">
        <f>IF('Curve Header Data'!A84="","",'Curve Header Data'!A84)</f>
        <v/>
      </c>
      <c r="B83" s="38" t="str">
        <f>IF('Curve Header Data'!C84="","",'Curve Header Data'!C84)</f>
        <v/>
      </c>
      <c r="C83" s="38" t="str">
        <f>IF('Curve Header Data'!D84="","",'Curve Header Data'!D84)</f>
        <v/>
      </c>
      <c r="D83" s="38" t="str">
        <f>IF('Curve Header Data'!E84="","",'Curve Header Data'!E84)</f>
        <v/>
      </c>
      <c r="E83" s="38" t="str">
        <f>IF('Curve Header Data'!B84="","",'Curve Header Data'!B84)</f>
        <v/>
      </c>
      <c r="F83" s="38" t="str">
        <f>IF('Curve Header Data'!K84="","",'Curve Header Data'!K84*$E$2)</f>
        <v/>
      </c>
      <c r="G83" s="38" t="str">
        <f>IF('Curve Header Data'!L84="","",'Curve Header Data'!L84*$E$2)</f>
        <v/>
      </c>
      <c r="H83" s="38">
        <f>IF('Curve Header Data'!N84="","",'Curve Header Data'!N84)</f>
        <v>1</v>
      </c>
      <c r="I83" s="38">
        <f>IF('Curve Header Data'!O84="","",'Curve Header Data'!O84)</f>
        <v>5</v>
      </c>
      <c r="J83" s="27" t="str">
        <f>IF('Curve Header Data'!M84="","",'Curve Header Data'!M84)</f>
        <v/>
      </c>
      <c r="K83" s="27" t="str">
        <f>IF('Curve Header Data'!G84="","",'Curve Header Data'!G84)</f>
        <v/>
      </c>
      <c r="L83" s="27" t="str">
        <f>IF('Curve Header Data'!H84="","",'Curve Header Data'!H84)</f>
        <v/>
      </c>
      <c r="M83" s="27" t="str">
        <f>IF('Curve Header Data'!I84="","",'Curve Header Data'!I84)</f>
        <v/>
      </c>
      <c r="N83" s="27" t="str">
        <f>IF('Curve Header Data'!J84="","",'Curve Header Data'!J84*$E$3)</f>
        <v/>
      </c>
      <c r="O83" s="27">
        <f>IF('Curve Header Data'!S84="","",'Curve Header Data'!S84*$J$2)</f>
        <v>0</v>
      </c>
      <c r="P83" s="27">
        <f>IF('Curve Header Data'!T84="","",'Curve Header Data'!T84*$J$3)</f>
        <v>0</v>
      </c>
      <c r="Q83" s="27" t="str">
        <f>IF('Curve Header Data'!U84="","",'Curve Header Data'!U84)</f>
        <v/>
      </c>
      <c r="R83" s="27" t="str">
        <f>IF('Curve Header Data'!V84="","",'Curve Header Data'!V84)</f>
        <v>0</v>
      </c>
      <c r="S83" s="27" t="str">
        <f>IF('Curve Header Data'!W84="","",'Curve Header Data'!W84)</f>
        <v/>
      </c>
    </row>
    <row r="84" spans="1:19" x14ac:dyDescent="0.2">
      <c r="A84" s="38" t="str">
        <f>IF('Curve Header Data'!A85="","",'Curve Header Data'!A85)</f>
        <v/>
      </c>
      <c r="B84" s="38" t="str">
        <f>IF('Curve Header Data'!C85="","",'Curve Header Data'!C85)</f>
        <v/>
      </c>
      <c r="C84" s="38" t="str">
        <f>IF('Curve Header Data'!D85="","",'Curve Header Data'!D85)</f>
        <v/>
      </c>
      <c r="D84" s="38" t="str">
        <f>IF('Curve Header Data'!E85="","",'Curve Header Data'!E85)</f>
        <v/>
      </c>
      <c r="E84" s="38" t="str">
        <f>IF('Curve Header Data'!B85="","",'Curve Header Data'!B85)</f>
        <v/>
      </c>
      <c r="F84" s="38" t="str">
        <f>IF('Curve Header Data'!K85="","",'Curve Header Data'!K85*$E$2)</f>
        <v/>
      </c>
      <c r="G84" s="38" t="str">
        <f>IF('Curve Header Data'!L85="","",'Curve Header Data'!L85*$E$2)</f>
        <v/>
      </c>
      <c r="H84" s="38">
        <f>IF('Curve Header Data'!N85="","",'Curve Header Data'!N85)</f>
        <v>1</v>
      </c>
      <c r="I84" s="38">
        <f>IF('Curve Header Data'!O85="","",'Curve Header Data'!O85)</f>
        <v>5</v>
      </c>
      <c r="J84" s="27" t="str">
        <f>IF('Curve Header Data'!M85="","",'Curve Header Data'!M85)</f>
        <v/>
      </c>
      <c r="K84" s="27" t="str">
        <f>IF('Curve Header Data'!G85="","",'Curve Header Data'!G85)</f>
        <v/>
      </c>
      <c r="L84" s="27" t="str">
        <f>IF('Curve Header Data'!H85="","",'Curve Header Data'!H85)</f>
        <v/>
      </c>
      <c r="M84" s="27" t="str">
        <f>IF('Curve Header Data'!I85="","",'Curve Header Data'!I85)</f>
        <v/>
      </c>
      <c r="N84" s="27" t="str">
        <f>IF('Curve Header Data'!J85="","",'Curve Header Data'!J85*$E$3)</f>
        <v/>
      </c>
      <c r="O84" s="27">
        <f>IF('Curve Header Data'!S85="","",'Curve Header Data'!S85*$J$2)</f>
        <v>0</v>
      </c>
      <c r="P84" s="27">
        <f>IF('Curve Header Data'!T85="","",'Curve Header Data'!T85*$J$3)</f>
        <v>0</v>
      </c>
      <c r="Q84" s="27" t="str">
        <f>IF('Curve Header Data'!U85="","",'Curve Header Data'!U85)</f>
        <v/>
      </c>
      <c r="R84" s="27" t="str">
        <f>IF('Curve Header Data'!V85="","",'Curve Header Data'!V85)</f>
        <v>0</v>
      </c>
      <c r="S84" s="27" t="str">
        <f>IF('Curve Header Data'!W85="","",'Curve Header Data'!W85)</f>
        <v/>
      </c>
    </row>
    <row r="85" spans="1:19" x14ac:dyDescent="0.2">
      <c r="A85" s="38" t="str">
        <f>IF('Curve Header Data'!A86="","",'Curve Header Data'!A86)</f>
        <v/>
      </c>
      <c r="B85" s="38" t="str">
        <f>IF('Curve Header Data'!C86="","",'Curve Header Data'!C86)</f>
        <v/>
      </c>
      <c r="C85" s="38" t="str">
        <f>IF('Curve Header Data'!D86="","",'Curve Header Data'!D86)</f>
        <v/>
      </c>
      <c r="D85" s="38" t="str">
        <f>IF('Curve Header Data'!E86="","",'Curve Header Data'!E86)</f>
        <v/>
      </c>
      <c r="E85" s="38" t="str">
        <f>IF('Curve Header Data'!B86="","",'Curve Header Data'!B86)</f>
        <v/>
      </c>
      <c r="F85" s="38" t="str">
        <f>IF('Curve Header Data'!K86="","",'Curve Header Data'!K86*$E$2)</f>
        <v/>
      </c>
      <c r="G85" s="38" t="str">
        <f>IF('Curve Header Data'!L86="","",'Curve Header Data'!L86*$E$2)</f>
        <v/>
      </c>
      <c r="H85" s="38">
        <f>IF('Curve Header Data'!N86="","",'Curve Header Data'!N86)</f>
        <v>1</v>
      </c>
      <c r="I85" s="38">
        <f>IF('Curve Header Data'!O86="","",'Curve Header Data'!O86)</f>
        <v>5</v>
      </c>
      <c r="J85" s="27" t="str">
        <f>IF('Curve Header Data'!M86="","",'Curve Header Data'!M86)</f>
        <v/>
      </c>
      <c r="K85" s="27" t="str">
        <f>IF('Curve Header Data'!G86="","",'Curve Header Data'!G86)</f>
        <v/>
      </c>
      <c r="L85" s="27" t="str">
        <f>IF('Curve Header Data'!H86="","",'Curve Header Data'!H86)</f>
        <v/>
      </c>
      <c r="M85" s="27" t="str">
        <f>IF('Curve Header Data'!I86="","",'Curve Header Data'!I86)</f>
        <v/>
      </c>
      <c r="N85" s="27" t="str">
        <f>IF('Curve Header Data'!J86="","",'Curve Header Data'!J86*$E$3)</f>
        <v/>
      </c>
      <c r="O85" s="27">
        <f>IF('Curve Header Data'!S86="","",'Curve Header Data'!S86*$J$2)</f>
        <v>0</v>
      </c>
      <c r="P85" s="27">
        <f>IF('Curve Header Data'!T86="","",'Curve Header Data'!T86*$J$3)</f>
        <v>0</v>
      </c>
      <c r="Q85" s="27" t="str">
        <f>IF('Curve Header Data'!U86="","",'Curve Header Data'!U86)</f>
        <v/>
      </c>
      <c r="R85" s="27" t="str">
        <f>IF('Curve Header Data'!V86="","",'Curve Header Data'!V86)</f>
        <v>0</v>
      </c>
      <c r="S85" s="27" t="str">
        <f>IF('Curve Header Data'!W86="","",'Curve Header Data'!W86)</f>
        <v/>
      </c>
    </row>
    <row r="86" spans="1:19" x14ac:dyDescent="0.2">
      <c r="A86" s="38" t="str">
        <f>IF('Curve Header Data'!A87="","",'Curve Header Data'!A87)</f>
        <v/>
      </c>
      <c r="B86" s="38" t="str">
        <f>IF('Curve Header Data'!C87="","",'Curve Header Data'!C87)</f>
        <v/>
      </c>
      <c r="C86" s="38" t="str">
        <f>IF('Curve Header Data'!D87="","",'Curve Header Data'!D87)</f>
        <v/>
      </c>
      <c r="D86" s="38" t="str">
        <f>IF('Curve Header Data'!E87="","",'Curve Header Data'!E87)</f>
        <v/>
      </c>
      <c r="E86" s="38" t="str">
        <f>IF('Curve Header Data'!B87="","",'Curve Header Data'!B87)</f>
        <v/>
      </c>
      <c r="F86" s="38" t="str">
        <f>IF('Curve Header Data'!K87="","",'Curve Header Data'!K87*$E$2)</f>
        <v/>
      </c>
      <c r="G86" s="38" t="str">
        <f>IF('Curve Header Data'!L87="","",'Curve Header Data'!L87*$E$2)</f>
        <v/>
      </c>
      <c r="H86" s="38">
        <f>IF('Curve Header Data'!N87="","",'Curve Header Data'!N87)</f>
        <v>1</v>
      </c>
      <c r="I86" s="38">
        <f>IF('Curve Header Data'!O87="","",'Curve Header Data'!O87)</f>
        <v>5</v>
      </c>
      <c r="J86" s="27" t="str">
        <f>IF('Curve Header Data'!M87="","",'Curve Header Data'!M87)</f>
        <v/>
      </c>
      <c r="K86" s="27" t="str">
        <f>IF('Curve Header Data'!G87="","",'Curve Header Data'!G87)</f>
        <v/>
      </c>
      <c r="L86" s="27" t="str">
        <f>IF('Curve Header Data'!H87="","",'Curve Header Data'!H87)</f>
        <v/>
      </c>
      <c r="M86" s="27" t="str">
        <f>IF('Curve Header Data'!I87="","",'Curve Header Data'!I87)</f>
        <v/>
      </c>
      <c r="N86" s="27" t="str">
        <f>IF('Curve Header Data'!J87="","",'Curve Header Data'!J87*$E$3)</f>
        <v/>
      </c>
      <c r="O86" s="27">
        <f>IF('Curve Header Data'!S87="","",'Curve Header Data'!S87*$J$2)</f>
        <v>0</v>
      </c>
      <c r="P86" s="27">
        <f>IF('Curve Header Data'!T87="","",'Curve Header Data'!T87*$J$3)</f>
        <v>0</v>
      </c>
      <c r="Q86" s="27" t="str">
        <f>IF('Curve Header Data'!U87="","",'Curve Header Data'!U87)</f>
        <v/>
      </c>
      <c r="R86" s="27" t="str">
        <f>IF('Curve Header Data'!V87="","",'Curve Header Data'!V87)</f>
        <v>0</v>
      </c>
      <c r="S86" s="27" t="str">
        <f>IF('Curve Header Data'!W87="","",'Curve Header Data'!W87)</f>
        <v/>
      </c>
    </row>
    <row r="87" spans="1:19" x14ac:dyDescent="0.2">
      <c r="A87" s="38" t="str">
        <f>IF('Curve Header Data'!A88="","",'Curve Header Data'!A88)</f>
        <v/>
      </c>
      <c r="B87" s="38" t="str">
        <f>IF('Curve Header Data'!C88="","",'Curve Header Data'!C88)</f>
        <v/>
      </c>
      <c r="C87" s="38" t="str">
        <f>IF('Curve Header Data'!D88="","",'Curve Header Data'!D88)</f>
        <v/>
      </c>
      <c r="D87" s="38" t="str">
        <f>IF('Curve Header Data'!E88="","",'Curve Header Data'!E88)</f>
        <v/>
      </c>
      <c r="E87" s="38" t="str">
        <f>IF('Curve Header Data'!B88="","",'Curve Header Data'!B88)</f>
        <v/>
      </c>
      <c r="F87" s="38" t="str">
        <f>IF('Curve Header Data'!K88="","",'Curve Header Data'!K88*$E$2)</f>
        <v/>
      </c>
      <c r="G87" s="38" t="str">
        <f>IF('Curve Header Data'!L88="","",'Curve Header Data'!L88*$E$2)</f>
        <v/>
      </c>
      <c r="H87" s="38">
        <f>IF('Curve Header Data'!N88="","",'Curve Header Data'!N88)</f>
        <v>1</v>
      </c>
      <c r="I87" s="38">
        <f>IF('Curve Header Data'!O88="","",'Curve Header Data'!O88)</f>
        <v>5</v>
      </c>
      <c r="J87" s="27" t="str">
        <f>IF('Curve Header Data'!M88="","",'Curve Header Data'!M88)</f>
        <v/>
      </c>
      <c r="K87" s="27" t="str">
        <f>IF('Curve Header Data'!G88="","",'Curve Header Data'!G88)</f>
        <v/>
      </c>
      <c r="L87" s="27" t="str">
        <f>IF('Curve Header Data'!H88="","",'Curve Header Data'!H88)</f>
        <v/>
      </c>
      <c r="M87" s="27" t="str">
        <f>IF('Curve Header Data'!I88="","",'Curve Header Data'!I88)</f>
        <v/>
      </c>
      <c r="N87" s="27" t="str">
        <f>IF('Curve Header Data'!J88="","",'Curve Header Data'!J88*$E$3)</f>
        <v/>
      </c>
      <c r="O87" s="27">
        <f>IF('Curve Header Data'!S88="","",'Curve Header Data'!S88*$J$2)</f>
        <v>0</v>
      </c>
      <c r="P87" s="27">
        <f>IF('Curve Header Data'!T88="","",'Curve Header Data'!T88*$J$3)</f>
        <v>0</v>
      </c>
      <c r="Q87" s="27" t="str">
        <f>IF('Curve Header Data'!U88="","",'Curve Header Data'!U88)</f>
        <v/>
      </c>
      <c r="R87" s="27" t="str">
        <f>IF('Curve Header Data'!V88="","",'Curve Header Data'!V88)</f>
        <v>0</v>
      </c>
      <c r="S87" s="27" t="str">
        <f>IF('Curve Header Data'!W88="","",'Curve Header Data'!W88)</f>
        <v/>
      </c>
    </row>
    <row r="88" spans="1:19" x14ac:dyDescent="0.2">
      <c r="A88" s="38" t="str">
        <f>IF('Curve Header Data'!A89="","",'Curve Header Data'!A89)</f>
        <v/>
      </c>
      <c r="B88" s="38" t="str">
        <f>IF('Curve Header Data'!C89="","",'Curve Header Data'!C89)</f>
        <v/>
      </c>
      <c r="C88" s="38" t="str">
        <f>IF('Curve Header Data'!D89="","",'Curve Header Data'!D89)</f>
        <v/>
      </c>
      <c r="D88" s="38" t="str">
        <f>IF('Curve Header Data'!E89="","",'Curve Header Data'!E89)</f>
        <v/>
      </c>
      <c r="E88" s="38" t="str">
        <f>IF('Curve Header Data'!B89="","",'Curve Header Data'!B89)</f>
        <v/>
      </c>
      <c r="F88" s="38" t="str">
        <f>IF('Curve Header Data'!K89="","",'Curve Header Data'!K89*$E$2)</f>
        <v/>
      </c>
      <c r="G88" s="38" t="str">
        <f>IF('Curve Header Data'!L89="","",'Curve Header Data'!L89*$E$2)</f>
        <v/>
      </c>
      <c r="H88" s="38">
        <f>IF('Curve Header Data'!N89="","",'Curve Header Data'!N89)</f>
        <v>1</v>
      </c>
      <c r="I88" s="38">
        <f>IF('Curve Header Data'!O89="","",'Curve Header Data'!O89)</f>
        <v>5</v>
      </c>
      <c r="J88" s="27" t="str">
        <f>IF('Curve Header Data'!M89="","",'Curve Header Data'!M89)</f>
        <v/>
      </c>
      <c r="K88" s="27" t="str">
        <f>IF('Curve Header Data'!G89="","",'Curve Header Data'!G89)</f>
        <v/>
      </c>
      <c r="L88" s="27" t="str">
        <f>IF('Curve Header Data'!H89="","",'Curve Header Data'!H89)</f>
        <v/>
      </c>
      <c r="M88" s="27" t="str">
        <f>IF('Curve Header Data'!I89="","",'Curve Header Data'!I89)</f>
        <v/>
      </c>
      <c r="N88" s="27" t="str">
        <f>IF('Curve Header Data'!J89="","",'Curve Header Data'!J89*$E$3)</f>
        <v/>
      </c>
      <c r="O88" s="27">
        <f>IF('Curve Header Data'!S89="","",'Curve Header Data'!S89*$J$2)</f>
        <v>0</v>
      </c>
      <c r="P88" s="27">
        <f>IF('Curve Header Data'!T89="","",'Curve Header Data'!T89*$J$3)</f>
        <v>0</v>
      </c>
      <c r="Q88" s="27" t="str">
        <f>IF('Curve Header Data'!U89="","",'Curve Header Data'!U89)</f>
        <v/>
      </c>
      <c r="R88" s="27" t="str">
        <f>IF('Curve Header Data'!V89="","",'Curve Header Data'!V89)</f>
        <v>0</v>
      </c>
      <c r="S88" s="27" t="str">
        <f>IF('Curve Header Data'!W89="","",'Curve Header Data'!W89)</f>
        <v/>
      </c>
    </row>
    <row r="89" spans="1:19" x14ac:dyDescent="0.2">
      <c r="A89" s="38" t="str">
        <f>IF('Curve Header Data'!A90="","",'Curve Header Data'!A90)</f>
        <v/>
      </c>
      <c r="B89" s="38" t="str">
        <f>IF('Curve Header Data'!C90="","",'Curve Header Data'!C90)</f>
        <v/>
      </c>
      <c r="C89" s="38" t="str">
        <f>IF('Curve Header Data'!D90="","",'Curve Header Data'!D90)</f>
        <v/>
      </c>
      <c r="D89" s="38" t="str">
        <f>IF('Curve Header Data'!E90="","",'Curve Header Data'!E90)</f>
        <v/>
      </c>
      <c r="E89" s="38" t="str">
        <f>IF('Curve Header Data'!B90="","",'Curve Header Data'!B90)</f>
        <v/>
      </c>
      <c r="F89" s="38" t="str">
        <f>IF('Curve Header Data'!K90="","",'Curve Header Data'!K90*$E$2)</f>
        <v/>
      </c>
      <c r="G89" s="38" t="str">
        <f>IF('Curve Header Data'!L90="","",'Curve Header Data'!L90*$E$2)</f>
        <v/>
      </c>
      <c r="H89" s="38">
        <f>IF('Curve Header Data'!N90="","",'Curve Header Data'!N90)</f>
        <v>1</v>
      </c>
      <c r="I89" s="38">
        <f>IF('Curve Header Data'!O90="","",'Curve Header Data'!O90)</f>
        <v>5</v>
      </c>
      <c r="J89" s="27" t="str">
        <f>IF('Curve Header Data'!M90="","",'Curve Header Data'!M90)</f>
        <v/>
      </c>
      <c r="K89" s="27" t="str">
        <f>IF('Curve Header Data'!G90="","",'Curve Header Data'!G90)</f>
        <v/>
      </c>
      <c r="L89" s="27" t="str">
        <f>IF('Curve Header Data'!H90="","",'Curve Header Data'!H90)</f>
        <v/>
      </c>
      <c r="M89" s="27" t="str">
        <f>IF('Curve Header Data'!I90="","",'Curve Header Data'!I90)</f>
        <v/>
      </c>
      <c r="N89" s="27" t="str">
        <f>IF('Curve Header Data'!J90="","",'Curve Header Data'!J90*$E$3)</f>
        <v/>
      </c>
      <c r="O89" s="27">
        <f>IF('Curve Header Data'!S90="","",'Curve Header Data'!S90*$J$2)</f>
        <v>0</v>
      </c>
      <c r="P89" s="27">
        <f>IF('Curve Header Data'!T90="","",'Curve Header Data'!T90*$J$3)</f>
        <v>0</v>
      </c>
      <c r="Q89" s="27" t="str">
        <f>IF('Curve Header Data'!U90="","",'Curve Header Data'!U90)</f>
        <v/>
      </c>
      <c r="R89" s="27" t="str">
        <f>IF('Curve Header Data'!V90="","",'Curve Header Data'!V90)</f>
        <v>0</v>
      </c>
      <c r="S89" s="27" t="str">
        <f>IF('Curve Header Data'!W90="","",'Curve Header Data'!W90)</f>
        <v/>
      </c>
    </row>
    <row r="90" spans="1:19" x14ac:dyDescent="0.2">
      <c r="A90" s="38" t="str">
        <f>IF('Curve Header Data'!A91="","",'Curve Header Data'!A91)</f>
        <v/>
      </c>
      <c r="B90" s="38" t="str">
        <f>IF('Curve Header Data'!C91="","",'Curve Header Data'!C91)</f>
        <v/>
      </c>
      <c r="C90" s="38" t="str">
        <f>IF('Curve Header Data'!D91="","",'Curve Header Data'!D91)</f>
        <v/>
      </c>
      <c r="D90" s="38" t="str">
        <f>IF('Curve Header Data'!E91="","",'Curve Header Data'!E91)</f>
        <v/>
      </c>
      <c r="E90" s="38" t="str">
        <f>IF('Curve Header Data'!B91="","",'Curve Header Data'!B91)</f>
        <v/>
      </c>
      <c r="F90" s="38" t="str">
        <f>IF('Curve Header Data'!K91="","",'Curve Header Data'!K91*$E$2)</f>
        <v/>
      </c>
      <c r="G90" s="38" t="str">
        <f>IF('Curve Header Data'!L91="","",'Curve Header Data'!L91*$E$2)</f>
        <v/>
      </c>
      <c r="H90" s="38">
        <f>IF('Curve Header Data'!N91="","",'Curve Header Data'!N91)</f>
        <v>1</v>
      </c>
      <c r="I90" s="38">
        <f>IF('Curve Header Data'!O91="","",'Curve Header Data'!O91)</f>
        <v>5</v>
      </c>
      <c r="J90" s="27" t="str">
        <f>IF('Curve Header Data'!M91="","",'Curve Header Data'!M91)</f>
        <v/>
      </c>
      <c r="K90" s="27" t="str">
        <f>IF('Curve Header Data'!G91="","",'Curve Header Data'!G91)</f>
        <v/>
      </c>
      <c r="L90" s="27" t="str">
        <f>IF('Curve Header Data'!H91="","",'Curve Header Data'!H91)</f>
        <v/>
      </c>
      <c r="M90" s="27" t="str">
        <f>IF('Curve Header Data'!I91="","",'Curve Header Data'!I91)</f>
        <v/>
      </c>
      <c r="N90" s="27" t="str">
        <f>IF('Curve Header Data'!J91="","",'Curve Header Data'!J91*$E$3)</f>
        <v/>
      </c>
      <c r="O90" s="27">
        <f>IF('Curve Header Data'!S91="","",'Curve Header Data'!S91*$J$2)</f>
        <v>0</v>
      </c>
      <c r="P90" s="27">
        <f>IF('Curve Header Data'!T91="","",'Curve Header Data'!T91*$J$3)</f>
        <v>0</v>
      </c>
      <c r="Q90" s="27" t="str">
        <f>IF('Curve Header Data'!U91="","",'Curve Header Data'!U91)</f>
        <v/>
      </c>
      <c r="R90" s="27" t="str">
        <f>IF('Curve Header Data'!V91="","",'Curve Header Data'!V91)</f>
        <v>0</v>
      </c>
      <c r="S90" s="27" t="str">
        <f>IF('Curve Header Data'!W91="","",'Curve Header Data'!W91)</f>
        <v/>
      </c>
    </row>
    <row r="91" spans="1:19" x14ac:dyDescent="0.2">
      <c r="A91" s="38" t="str">
        <f>IF('Curve Header Data'!A92="","",'Curve Header Data'!A92)</f>
        <v/>
      </c>
      <c r="B91" s="38" t="str">
        <f>IF('Curve Header Data'!C92="","",'Curve Header Data'!C92)</f>
        <v/>
      </c>
      <c r="C91" s="38" t="str">
        <f>IF('Curve Header Data'!D92="","",'Curve Header Data'!D92)</f>
        <v/>
      </c>
      <c r="D91" s="38" t="str">
        <f>IF('Curve Header Data'!E92="","",'Curve Header Data'!E92)</f>
        <v/>
      </c>
      <c r="E91" s="38" t="str">
        <f>IF('Curve Header Data'!B92="","",'Curve Header Data'!B92)</f>
        <v/>
      </c>
      <c r="F91" s="38" t="str">
        <f>IF('Curve Header Data'!K92="","",'Curve Header Data'!K92*$E$2)</f>
        <v/>
      </c>
      <c r="G91" s="38" t="str">
        <f>IF('Curve Header Data'!L92="","",'Curve Header Data'!L92*$E$2)</f>
        <v/>
      </c>
      <c r="H91" s="38">
        <f>IF('Curve Header Data'!N92="","",'Curve Header Data'!N92)</f>
        <v>1</v>
      </c>
      <c r="I91" s="38">
        <f>IF('Curve Header Data'!O92="","",'Curve Header Data'!O92)</f>
        <v>5</v>
      </c>
      <c r="J91" s="27" t="str">
        <f>IF('Curve Header Data'!M92="","",'Curve Header Data'!M92)</f>
        <v/>
      </c>
      <c r="K91" s="27" t="str">
        <f>IF('Curve Header Data'!G92="","",'Curve Header Data'!G92)</f>
        <v/>
      </c>
      <c r="L91" s="27" t="str">
        <f>IF('Curve Header Data'!H92="","",'Curve Header Data'!H92)</f>
        <v/>
      </c>
      <c r="M91" s="27" t="str">
        <f>IF('Curve Header Data'!I92="","",'Curve Header Data'!I92)</f>
        <v/>
      </c>
      <c r="N91" s="27" t="str">
        <f>IF('Curve Header Data'!J92="","",'Curve Header Data'!J92*$E$3)</f>
        <v/>
      </c>
      <c r="O91" s="27">
        <f>IF('Curve Header Data'!S92="","",'Curve Header Data'!S92*$J$2)</f>
        <v>0</v>
      </c>
      <c r="P91" s="27">
        <f>IF('Curve Header Data'!T92="","",'Curve Header Data'!T92*$J$3)</f>
        <v>0</v>
      </c>
      <c r="Q91" s="27" t="str">
        <f>IF('Curve Header Data'!U92="","",'Curve Header Data'!U92)</f>
        <v/>
      </c>
      <c r="R91" s="27" t="str">
        <f>IF('Curve Header Data'!V92="","",'Curve Header Data'!V92)</f>
        <v>0</v>
      </c>
      <c r="S91" s="27" t="str">
        <f>IF('Curve Header Data'!W92="","",'Curve Header Data'!W92)</f>
        <v/>
      </c>
    </row>
    <row r="92" spans="1:19" x14ac:dyDescent="0.2">
      <c r="A92" s="38" t="str">
        <f>IF('Curve Header Data'!A93="","",'Curve Header Data'!A93)</f>
        <v/>
      </c>
      <c r="B92" s="38" t="str">
        <f>IF('Curve Header Data'!C93="","",'Curve Header Data'!C93)</f>
        <v/>
      </c>
      <c r="C92" s="38" t="str">
        <f>IF('Curve Header Data'!D93="","",'Curve Header Data'!D93)</f>
        <v/>
      </c>
      <c r="D92" s="38" t="str">
        <f>IF('Curve Header Data'!E93="","",'Curve Header Data'!E93)</f>
        <v/>
      </c>
      <c r="E92" s="38" t="str">
        <f>IF('Curve Header Data'!B93="","",'Curve Header Data'!B93)</f>
        <v/>
      </c>
      <c r="F92" s="38" t="str">
        <f>IF('Curve Header Data'!K93="","",'Curve Header Data'!K93*$E$2)</f>
        <v/>
      </c>
      <c r="G92" s="38" t="str">
        <f>IF('Curve Header Data'!L93="","",'Curve Header Data'!L93*$E$2)</f>
        <v/>
      </c>
      <c r="H92" s="38">
        <f>IF('Curve Header Data'!N93="","",'Curve Header Data'!N93)</f>
        <v>1</v>
      </c>
      <c r="I92" s="38">
        <f>IF('Curve Header Data'!O93="","",'Curve Header Data'!O93)</f>
        <v>5</v>
      </c>
      <c r="J92" s="27" t="str">
        <f>IF('Curve Header Data'!M93="","",'Curve Header Data'!M93)</f>
        <v/>
      </c>
      <c r="K92" s="27" t="str">
        <f>IF('Curve Header Data'!G93="","",'Curve Header Data'!G93)</f>
        <v/>
      </c>
      <c r="L92" s="27" t="str">
        <f>IF('Curve Header Data'!H93="","",'Curve Header Data'!H93)</f>
        <v/>
      </c>
      <c r="M92" s="27" t="str">
        <f>IF('Curve Header Data'!I93="","",'Curve Header Data'!I93)</f>
        <v/>
      </c>
      <c r="N92" s="27" t="str">
        <f>IF('Curve Header Data'!J93="","",'Curve Header Data'!J93*$E$3)</f>
        <v/>
      </c>
      <c r="O92" s="27">
        <f>IF('Curve Header Data'!S93="","",'Curve Header Data'!S93*$J$2)</f>
        <v>0</v>
      </c>
      <c r="P92" s="27">
        <f>IF('Curve Header Data'!T93="","",'Curve Header Data'!T93*$J$3)</f>
        <v>0</v>
      </c>
      <c r="Q92" s="27" t="str">
        <f>IF('Curve Header Data'!U93="","",'Curve Header Data'!U93)</f>
        <v/>
      </c>
      <c r="R92" s="27" t="str">
        <f>IF('Curve Header Data'!V93="","",'Curve Header Data'!V93)</f>
        <v>0</v>
      </c>
      <c r="S92" s="27" t="str">
        <f>IF('Curve Header Data'!W93="","",'Curve Header Data'!W93)</f>
        <v/>
      </c>
    </row>
    <row r="93" spans="1:19" x14ac:dyDescent="0.2">
      <c r="A93" s="38" t="str">
        <f>IF('Curve Header Data'!A94="","",'Curve Header Data'!A94)</f>
        <v/>
      </c>
      <c r="B93" s="38" t="str">
        <f>IF('Curve Header Data'!C94="","",'Curve Header Data'!C94)</f>
        <v/>
      </c>
      <c r="C93" s="38" t="str">
        <f>IF('Curve Header Data'!D94="","",'Curve Header Data'!D94)</f>
        <v/>
      </c>
      <c r="D93" s="38" t="str">
        <f>IF('Curve Header Data'!E94="","",'Curve Header Data'!E94)</f>
        <v/>
      </c>
      <c r="E93" s="38" t="str">
        <f>IF('Curve Header Data'!B94="","",'Curve Header Data'!B94)</f>
        <v/>
      </c>
      <c r="F93" s="38" t="str">
        <f>IF('Curve Header Data'!K94="","",'Curve Header Data'!K94*$E$2)</f>
        <v/>
      </c>
      <c r="G93" s="38" t="str">
        <f>IF('Curve Header Data'!L94="","",'Curve Header Data'!L94*$E$2)</f>
        <v/>
      </c>
      <c r="H93" s="38">
        <f>IF('Curve Header Data'!N94="","",'Curve Header Data'!N94)</f>
        <v>1</v>
      </c>
      <c r="I93" s="38">
        <f>IF('Curve Header Data'!O94="","",'Curve Header Data'!O94)</f>
        <v>5</v>
      </c>
      <c r="J93" s="27" t="str">
        <f>IF('Curve Header Data'!M94="","",'Curve Header Data'!M94)</f>
        <v/>
      </c>
      <c r="K93" s="27" t="str">
        <f>IF('Curve Header Data'!G94="","",'Curve Header Data'!G94)</f>
        <v/>
      </c>
      <c r="L93" s="27" t="str">
        <f>IF('Curve Header Data'!H94="","",'Curve Header Data'!H94)</f>
        <v/>
      </c>
      <c r="M93" s="27" t="str">
        <f>IF('Curve Header Data'!I94="","",'Curve Header Data'!I94)</f>
        <v/>
      </c>
      <c r="N93" s="27" t="str">
        <f>IF('Curve Header Data'!J94="","",'Curve Header Data'!J94*$E$3)</f>
        <v/>
      </c>
      <c r="O93" s="27">
        <f>IF('Curve Header Data'!S94="","",'Curve Header Data'!S94*$J$2)</f>
        <v>0</v>
      </c>
      <c r="P93" s="27">
        <f>IF('Curve Header Data'!T94="","",'Curve Header Data'!T94*$J$3)</f>
        <v>0</v>
      </c>
      <c r="Q93" s="27" t="str">
        <f>IF('Curve Header Data'!U94="","",'Curve Header Data'!U94)</f>
        <v/>
      </c>
      <c r="R93" s="27" t="str">
        <f>IF('Curve Header Data'!V94="","",'Curve Header Data'!V94)</f>
        <v>0</v>
      </c>
      <c r="S93" s="27" t="str">
        <f>IF('Curve Header Data'!W94="","",'Curve Header Data'!W94)</f>
        <v/>
      </c>
    </row>
    <row r="94" spans="1:19" x14ac:dyDescent="0.2">
      <c r="A94" s="38" t="str">
        <f>IF('Curve Header Data'!A95="","",'Curve Header Data'!A95)</f>
        <v/>
      </c>
      <c r="B94" s="38" t="str">
        <f>IF('Curve Header Data'!C95="","",'Curve Header Data'!C95)</f>
        <v/>
      </c>
      <c r="C94" s="38" t="str">
        <f>IF('Curve Header Data'!D95="","",'Curve Header Data'!D95)</f>
        <v/>
      </c>
      <c r="D94" s="38" t="str">
        <f>IF('Curve Header Data'!E95="","",'Curve Header Data'!E95)</f>
        <v/>
      </c>
      <c r="E94" s="38" t="str">
        <f>IF('Curve Header Data'!B95="","",'Curve Header Data'!B95)</f>
        <v/>
      </c>
      <c r="F94" s="38" t="str">
        <f>IF('Curve Header Data'!K95="","",'Curve Header Data'!K95*$E$2)</f>
        <v/>
      </c>
      <c r="G94" s="38" t="str">
        <f>IF('Curve Header Data'!L95="","",'Curve Header Data'!L95*$E$2)</f>
        <v/>
      </c>
      <c r="H94" s="38">
        <f>IF('Curve Header Data'!N95="","",'Curve Header Data'!N95)</f>
        <v>1</v>
      </c>
      <c r="I94" s="38">
        <f>IF('Curve Header Data'!O95="","",'Curve Header Data'!O95)</f>
        <v>5</v>
      </c>
      <c r="J94" s="27" t="str">
        <f>IF('Curve Header Data'!M95="","",'Curve Header Data'!M95)</f>
        <v/>
      </c>
      <c r="K94" s="27" t="str">
        <f>IF('Curve Header Data'!G95="","",'Curve Header Data'!G95)</f>
        <v/>
      </c>
      <c r="L94" s="27" t="str">
        <f>IF('Curve Header Data'!H95="","",'Curve Header Data'!H95)</f>
        <v/>
      </c>
      <c r="M94" s="27" t="str">
        <f>IF('Curve Header Data'!I95="","",'Curve Header Data'!I95)</f>
        <v/>
      </c>
      <c r="N94" s="27" t="str">
        <f>IF('Curve Header Data'!J95="","",'Curve Header Data'!J95*$E$3)</f>
        <v/>
      </c>
      <c r="O94" s="27">
        <f>IF('Curve Header Data'!S95="","",'Curve Header Data'!S95*$J$2)</f>
        <v>0</v>
      </c>
      <c r="P94" s="27">
        <f>IF('Curve Header Data'!T95="","",'Curve Header Data'!T95*$J$3)</f>
        <v>0</v>
      </c>
      <c r="Q94" s="27" t="str">
        <f>IF('Curve Header Data'!U95="","",'Curve Header Data'!U95)</f>
        <v/>
      </c>
      <c r="R94" s="27" t="str">
        <f>IF('Curve Header Data'!V95="","",'Curve Header Data'!V95)</f>
        <v>0</v>
      </c>
      <c r="S94" s="27" t="str">
        <f>IF('Curve Header Data'!W95="","",'Curve Header Data'!W95)</f>
        <v/>
      </c>
    </row>
    <row r="95" spans="1:19" x14ac:dyDescent="0.2">
      <c r="A95" s="38" t="str">
        <f>IF('Curve Header Data'!A96="","",'Curve Header Data'!A96)</f>
        <v/>
      </c>
      <c r="B95" s="38" t="str">
        <f>IF('Curve Header Data'!C96="","",'Curve Header Data'!C96)</f>
        <v/>
      </c>
      <c r="C95" s="38" t="str">
        <f>IF('Curve Header Data'!D96="","",'Curve Header Data'!D96)</f>
        <v/>
      </c>
      <c r="D95" s="38" t="str">
        <f>IF('Curve Header Data'!E96="","",'Curve Header Data'!E96)</f>
        <v/>
      </c>
      <c r="E95" s="38" t="str">
        <f>IF('Curve Header Data'!B96="","",'Curve Header Data'!B96)</f>
        <v/>
      </c>
      <c r="F95" s="38" t="str">
        <f>IF('Curve Header Data'!K96="","",'Curve Header Data'!K96*$E$2)</f>
        <v/>
      </c>
      <c r="G95" s="38" t="str">
        <f>IF('Curve Header Data'!L96="","",'Curve Header Data'!L96*$E$2)</f>
        <v/>
      </c>
      <c r="H95" s="38">
        <f>IF('Curve Header Data'!N96="","",'Curve Header Data'!N96)</f>
        <v>1</v>
      </c>
      <c r="I95" s="38">
        <f>IF('Curve Header Data'!O96="","",'Curve Header Data'!O96)</f>
        <v>5</v>
      </c>
      <c r="J95" s="27" t="str">
        <f>IF('Curve Header Data'!M96="","",'Curve Header Data'!M96)</f>
        <v/>
      </c>
      <c r="K95" s="27" t="str">
        <f>IF('Curve Header Data'!G96="","",'Curve Header Data'!G96)</f>
        <v/>
      </c>
      <c r="L95" s="27" t="str">
        <f>IF('Curve Header Data'!H96="","",'Curve Header Data'!H96)</f>
        <v/>
      </c>
      <c r="M95" s="27" t="str">
        <f>IF('Curve Header Data'!I96="","",'Curve Header Data'!I96)</f>
        <v/>
      </c>
      <c r="N95" s="27" t="str">
        <f>IF('Curve Header Data'!J96="","",'Curve Header Data'!J96*$E$3)</f>
        <v/>
      </c>
      <c r="O95" s="27">
        <f>IF('Curve Header Data'!S96="","",'Curve Header Data'!S96*$J$2)</f>
        <v>0</v>
      </c>
      <c r="P95" s="27">
        <f>IF('Curve Header Data'!T96="","",'Curve Header Data'!T96*$J$3)</f>
        <v>0</v>
      </c>
      <c r="Q95" s="27" t="str">
        <f>IF('Curve Header Data'!U96="","",'Curve Header Data'!U96)</f>
        <v/>
      </c>
      <c r="R95" s="27" t="str">
        <f>IF('Curve Header Data'!V96="","",'Curve Header Data'!V96)</f>
        <v>0</v>
      </c>
      <c r="S95" s="27" t="str">
        <f>IF('Curve Header Data'!W96="","",'Curve Header Data'!W96)</f>
        <v/>
      </c>
    </row>
    <row r="96" spans="1:19" x14ac:dyDescent="0.2">
      <c r="A96" s="38" t="str">
        <f>IF('Curve Header Data'!A97="","",'Curve Header Data'!A97)</f>
        <v/>
      </c>
      <c r="B96" s="38" t="str">
        <f>IF('Curve Header Data'!C97="","",'Curve Header Data'!C97)</f>
        <v/>
      </c>
      <c r="C96" s="38" t="str">
        <f>IF('Curve Header Data'!D97="","",'Curve Header Data'!D97)</f>
        <v/>
      </c>
      <c r="D96" s="38" t="str">
        <f>IF('Curve Header Data'!E97="","",'Curve Header Data'!E97)</f>
        <v/>
      </c>
      <c r="E96" s="38" t="str">
        <f>IF('Curve Header Data'!B97="","",'Curve Header Data'!B97)</f>
        <v/>
      </c>
      <c r="F96" s="38" t="str">
        <f>IF('Curve Header Data'!K97="","",'Curve Header Data'!K97*$E$2)</f>
        <v/>
      </c>
      <c r="G96" s="38" t="str">
        <f>IF('Curve Header Data'!L97="","",'Curve Header Data'!L97*$E$2)</f>
        <v/>
      </c>
      <c r="H96" s="38">
        <f>IF('Curve Header Data'!N97="","",'Curve Header Data'!N97)</f>
        <v>1</v>
      </c>
      <c r="I96" s="38">
        <f>IF('Curve Header Data'!O97="","",'Curve Header Data'!O97)</f>
        <v>5</v>
      </c>
      <c r="J96" s="27" t="str">
        <f>IF('Curve Header Data'!M97="","",'Curve Header Data'!M97)</f>
        <v/>
      </c>
      <c r="K96" s="27" t="str">
        <f>IF('Curve Header Data'!G97="","",'Curve Header Data'!G97)</f>
        <v/>
      </c>
      <c r="L96" s="27" t="str">
        <f>IF('Curve Header Data'!H97="","",'Curve Header Data'!H97)</f>
        <v/>
      </c>
      <c r="M96" s="27" t="str">
        <f>IF('Curve Header Data'!I97="","",'Curve Header Data'!I97)</f>
        <v/>
      </c>
      <c r="N96" s="27" t="str">
        <f>IF('Curve Header Data'!J97="","",'Curve Header Data'!J97*$E$3)</f>
        <v/>
      </c>
      <c r="O96" s="27">
        <f>IF('Curve Header Data'!S97="","",'Curve Header Data'!S97*$J$2)</f>
        <v>0</v>
      </c>
      <c r="P96" s="27">
        <f>IF('Curve Header Data'!T97="","",'Curve Header Data'!T97*$J$3)</f>
        <v>0</v>
      </c>
      <c r="Q96" s="27" t="str">
        <f>IF('Curve Header Data'!U97="","",'Curve Header Data'!U97)</f>
        <v/>
      </c>
      <c r="R96" s="27" t="str">
        <f>IF('Curve Header Data'!V97="","",'Curve Header Data'!V97)</f>
        <v>0</v>
      </c>
      <c r="S96" s="27" t="str">
        <f>IF('Curve Header Data'!W97="","",'Curve Header Data'!W97)</f>
        <v/>
      </c>
    </row>
    <row r="97" spans="1:19" x14ac:dyDescent="0.2">
      <c r="A97" s="38" t="str">
        <f>IF('Curve Header Data'!A98="","",'Curve Header Data'!A98)</f>
        <v/>
      </c>
      <c r="B97" s="38" t="str">
        <f>IF('Curve Header Data'!C98="","",'Curve Header Data'!C98)</f>
        <v/>
      </c>
      <c r="C97" s="38" t="str">
        <f>IF('Curve Header Data'!D98="","",'Curve Header Data'!D98)</f>
        <v/>
      </c>
      <c r="D97" s="38" t="str">
        <f>IF('Curve Header Data'!E98="","",'Curve Header Data'!E98)</f>
        <v/>
      </c>
      <c r="E97" s="38" t="str">
        <f>IF('Curve Header Data'!B98="","",'Curve Header Data'!B98)</f>
        <v/>
      </c>
      <c r="F97" s="38" t="str">
        <f>IF('Curve Header Data'!K98="","",'Curve Header Data'!K98*$E$2)</f>
        <v/>
      </c>
      <c r="G97" s="38" t="str">
        <f>IF('Curve Header Data'!L98="","",'Curve Header Data'!L98*$E$2)</f>
        <v/>
      </c>
      <c r="H97" s="38">
        <f>IF('Curve Header Data'!N98="","",'Curve Header Data'!N98)</f>
        <v>1</v>
      </c>
      <c r="I97" s="38">
        <f>IF('Curve Header Data'!O98="","",'Curve Header Data'!O98)</f>
        <v>5</v>
      </c>
      <c r="J97" s="27" t="str">
        <f>IF('Curve Header Data'!M98="","",'Curve Header Data'!M98)</f>
        <v/>
      </c>
      <c r="K97" s="27" t="str">
        <f>IF('Curve Header Data'!G98="","",'Curve Header Data'!G98)</f>
        <v/>
      </c>
      <c r="L97" s="27" t="str">
        <f>IF('Curve Header Data'!H98="","",'Curve Header Data'!H98)</f>
        <v/>
      </c>
      <c r="M97" s="27" t="str">
        <f>IF('Curve Header Data'!I98="","",'Curve Header Data'!I98)</f>
        <v/>
      </c>
      <c r="N97" s="27" t="str">
        <f>IF('Curve Header Data'!J98="","",'Curve Header Data'!J98*$E$3)</f>
        <v/>
      </c>
      <c r="O97" s="27">
        <f>IF('Curve Header Data'!S98="","",'Curve Header Data'!S98*$J$2)</f>
        <v>0</v>
      </c>
      <c r="P97" s="27">
        <f>IF('Curve Header Data'!T98="","",'Curve Header Data'!T98*$J$3)</f>
        <v>0</v>
      </c>
      <c r="Q97" s="27" t="str">
        <f>IF('Curve Header Data'!U98="","",'Curve Header Data'!U98)</f>
        <v/>
      </c>
      <c r="R97" s="27" t="str">
        <f>IF('Curve Header Data'!V98="","",'Curve Header Data'!V98)</f>
        <v>0</v>
      </c>
      <c r="S97" s="27" t="str">
        <f>IF('Curve Header Data'!W98="","",'Curve Header Data'!W98)</f>
        <v/>
      </c>
    </row>
    <row r="98" spans="1:19" x14ac:dyDescent="0.2">
      <c r="A98" s="38" t="str">
        <f>IF('Curve Header Data'!A99="","",'Curve Header Data'!A99)</f>
        <v/>
      </c>
      <c r="B98" s="38" t="str">
        <f>IF('Curve Header Data'!C99="","",'Curve Header Data'!C99)</f>
        <v/>
      </c>
      <c r="C98" s="38" t="str">
        <f>IF('Curve Header Data'!D99="","",'Curve Header Data'!D99)</f>
        <v/>
      </c>
      <c r="D98" s="38" t="str">
        <f>IF('Curve Header Data'!E99="","",'Curve Header Data'!E99)</f>
        <v/>
      </c>
      <c r="E98" s="38" t="str">
        <f>IF('Curve Header Data'!B99="","",'Curve Header Data'!B99)</f>
        <v/>
      </c>
      <c r="F98" s="38" t="str">
        <f>IF('Curve Header Data'!K99="","",'Curve Header Data'!K99*$E$2)</f>
        <v/>
      </c>
      <c r="G98" s="38" t="str">
        <f>IF('Curve Header Data'!L99="","",'Curve Header Data'!L99*$E$2)</f>
        <v/>
      </c>
      <c r="H98" s="38">
        <f>IF('Curve Header Data'!N99="","",'Curve Header Data'!N99)</f>
        <v>1</v>
      </c>
      <c r="I98" s="38">
        <f>IF('Curve Header Data'!O99="","",'Curve Header Data'!O99)</f>
        <v>5</v>
      </c>
      <c r="J98" s="27" t="str">
        <f>IF('Curve Header Data'!M99="","",'Curve Header Data'!M99)</f>
        <v/>
      </c>
      <c r="K98" s="27" t="str">
        <f>IF('Curve Header Data'!G99="","",'Curve Header Data'!G99)</f>
        <v/>
      </c>
      <c r="L98" s="27" t="str">
        <f>IF('Curve Header Data'!H99="","",'Curve Header Data'!H99)</f>
        <v/>
      </c>
      <c r="M98" s="27" t="str">
        <f>IF('Curve Header Data'!I99="","",'Curve Header Data'!I99)</f>
        <v/>
      </c>
      <c r="N98" s="27" t="str">
        <f>IF('Curve Header Data'!J99="","",'Curve Header Data'!J99*$E$3)</f>
        <v/>
      </c>
      <c r="O98" s="27">
        <f>IF('Curve Header Data'!S99="","",'Curve Header Data'!S99*$J$2)</f>
        <v>0</v>
      </c>
      <c r="P98" s="27">
        <f>IF('Curve Header Data'!T99="","",'Curve Header Data'!T99*$J$3)</f>
        <v>0</v>
      </c>
      <c r="Q98" s="27" t="str">
        <f>IF('Curve Header Data'!U99="","",'Curve Header Data'!U99)</f>
        <v/>
      </c>
      <c r="R98" s="27" t="str">
        <f>IF('Curve Header Data'!V99="","",'Curve Header Data'!V99)</f>
        <v>0</v>
      </c>
      <c r="S98" s="27" t="str">
        <f>IF('Curve Header Data'!W99="","",'Curve Header Data'!W99)</f>
        <v/>
      </c>
    </row>
    <row r="99" spans="1:19" x14ac:dyDescent="0.2">
      <c r="A99" s="38" t="str">
        <f>IF('Curve Header Data'!A100="","",'Curve Header Data'!A100)</f>
        <v/>
      </c>
      <c r="B99" s="38" t="str">
        <f>IF('Curve Header Data'!C100="","",'Curve Header Data'!C100)</f>
        <v/>
      </c>
      <c r="C99" s="38" t="str">
        <f>IF('Curve Header Data'!D100="","",'Curve Header Data'!D100)</f>
        <v/>
      </c>
      <c r="D99" s="38" t="str">
        <f>IF('Curve Header Data'!E100="","",'Curve Header Data'!E100)</f>
        <v/>
      </c>
      <c r="E99" s="38" t="str">
        <f>IF('Curve Header Data'!B100="","",'Curve Header Data'!B100)</f>
        <v/>
      </c>
      <c r="F99" s="38" t="str">
        <f>IF('Curve Header Data'!K100="","",'Curve Header Data'!K100*$E$2)</f>
        <v/>
      </c>
      <c r="G99" s="38" t="str">
        <f>IF('Curve Header Data'!L100="","",'Curve Header Data'!L100*$E$2)</f>
        <v/>
      </c>
      <c r="H99" s="38">
        <f>IF('Curve Header Data'!N100="","",'Curve Header Data'!N100)</f>
        <v>1</v>
      </c>
      <c r="I99" s="38">
        <f>IF('Curve Header Data'!O100="","",'Curve Header Data'!O100)</f>
        <v>5</v>
      </c>
      <c r="J99" s="27" t="str">
        <f>IF('Curve Header Data'!M100="","",'Curve Header Data'!M100)</f>
        <v/>
      </c>
      <c r="K99" s="27" t="str">
        <f>IF('Curve Header Data'!G100="","",'Curve Header Data'!G100)</f>
        <v/>
      </c>
      <c r="L99" s="27" t="str">
        <f>IF('Curve Header Data'!H100="","",'Curve Header Data'!H100)</f>
        <v/>
      </c>
      <c r="M99" s="27" t="str">
        <f>IF('Curve Header Data'!I100="","",'Curve Header Data'!I100)</f>
        <v/>
      </c>
      <c r="N99" s="27" t="str">
        <f>IF('Curve Header Data'!J100="","",'Curve Header Data'!J100*$E$3)</f>
        <v/>
      </c>
      <c r="O99" s="27">
        <f>IF('Curve Header Data'!S100="","",'Curve Header Data'!S100*$J$2)</f>
        <v>0</v>
      </c>
      <c r="P99" s="27">
        <f>IF('Curve Header Data'!T100="","",'Curve Header Data'!T100*$J$3)</f>
        <v>0</v>
      </c>
      <c r="Q99" s="27" t="str">
        <f>IF('Curve Header Data'!U100="","",'Curve Header Data'!U100)</f>
        <v/>
      </c>
      <c r="R99" s="27" t="str">
        <f>IF('Curve Header Data'!V100="","",'Curve Header Data'!V100)</f>
        <v>0</v>
      </c>
      <c r="S99" s="27" t="str">
        <f>IF('Curve Header Data'!W100="","",'Curve Header Data'!W100)</f>
        <v/>
      </c>
    </row>
    <row r="100" spans="1:19" x14ac:dyDescent="0.2">
      <c r="A100" s="38" t="str">
        <f>IF('Curve Header Data'!A101="","",'Curve Header Data'!A101)</f>
        <v/>
      </c>
      <c r="B100" s="38" t="str">
        <f>IF('Curve Header Data'!C101="","",'Curve Header Data'!C101)</f>
        <v/>
      </c>
      <c r="C100" s="38" t="str">
        <f>IF('Curve Header Data'!D101="","",'Curve Header Data'!D101)</f>
        <v/>
      </c>
      <c r="D100" s="38" t="str">
        <f>IF('Curve Header Data'!E101="","",'Curve Header Data'!E101)</f>
        <v/>
      </c>
      <c r="E100" s="38" t="str">
        <f>IF('Curve Header Data'!B101="","",'Curve Header Data'!B101)</f>
        <v/>
      </c>
      <c r="F100" s="38" t="str">
        <f>IF('Curve Header Data'!K101="","",'Curve Header Data'!K101*$E$2)</f>
        <v/>
      </c>
      <c r="G100" s="38" t="str">
        <f>IF('Curve Header Data'!L101="","",'Curve Header Data'!L101*$E$2)</f>
        <v/>
      </c>
      <c r="H100" s="38">
        <f>IF('Curve Header Data'!N101="","",'Curve Header Data'!N101)</f>
        <v>1</v>
      </c>
      <c r="I100" s="38">
        <f>IF('Curve Header Data'!O101="","",'Curve Header Data'!O101)</f>
        <v>5</v>
      </c>
      <c r="J100" s="27" t="str">
        <f>IF('Curve Header Data'!M101="","",'Curve Header Data'!M101)</f>
        <v/>
      </c>
      <c r="K100" s="27" t="str">
        <f>IF('Curve Header Data'!G101="","",'Curve Header Data'!G101)</f>
        <v/>
      </c>
      <c r="L100" s="27" t="str">
        <f>IF('Curve Header Data'!H101="","",'Curve Header Data'!H101)</f>
        <v/>
      </c>
      <c r="M100" s="27" t="str">
        <f>IF('Curve Header Data'!I101="","",'Curve Header Data'!I101)</f>
        <v/>
      </c>
      <c r="N100" s="27" t="str">
        <f>IF('Curve Header Data'!J101="","",'Curve Header Data'!J101*$E$3)</f>
        <v/>
      </c>
      <c r="O100" s="27">
        <f>IF('Curve Header Data'!S101="","",'Curve Header Data'!S101*$J$2)</f>
        <v>0</v>
      </c>
      <c r="P100" s="27">
        <f>IF('Curve Header Data'!T101="","",'Curve Header Data'!T101*$J$3)</f>
        <v>0</v>
      </c>
      <c r="Q100" s="27" t="str">
        <f>IF('Curve Header Data'!U101="","",'Curve Header Data'!U101)</f>
        <v/>
      </c>
      <c r="R100" s="27" t="str">
        <f>IF('Curve Header Data'!V101="","",'Curve Header Data'!V101)</f>
        <v>0</v>
      </c>
      <c r="S100" s="27" t="str">
        <f>IF('Curve Header Data'!W101="","",'Curve Header Data'!W101)</f>
        <v/>
      </c>
    </row>
    <row r="101" spans="1:19" x14ac:dyDescent="0.2">
      <c r="A101" s="38" t="str">
        <f>IF('Curve Header Data'!A102="","",'Curve Header Data'!A102)</f>
        <v/>
      </c>
      <c r="B101" s="38" t="str">
        <f>IF('Curve Header Data'!C102="","",'Curve Header Data'!C102)</f>
        <v/>
      </c>
      <c r="C101" s="38" t="str">
        <f>IF('Curve Header Data'!D102="","",'Curve Header Data'!D102)</f>
        <v/>
      </c>
      <c r="D101" s="38" t="str">
        <f>IF('Curve Header Data'!E102="","",'Curve Header Data'!E102)</f>
        <v/>
      </c>
      <c r="E101" s="38" t="str">
        <f>IF('Curve Header Data'!B102="","",'Curve Header Data'!B102)</f>
        <v/>
      </c>
      <c r="F101" s="38" t="str">
        <f>IF('Curve Header Data'!K102="","",'Curve Header Data'!K102*$E$2)</f>
        <v/>
      </c>
      <c r="G101" s="38" t="str">
        <f>IF('Curve Header Data'!L102="","",'Curve Header Data'!L102*$E$2)</f>
        <v/>
      </c>
      <c r="H101" s="38">
        <f>IF('Curve Header Data'!N102="","",'Curve Header Data'!N102)</f>
        <v>1</v>
      </c>
      <c r="I101" s="38">
        <f>IF('Curve Header Data'!O102="","",'Curve Header Data'!O102)</f>
        <v>5</v>
      </c>
      <c r="J101" s="27" t="str">
        <f>IF('Curve Header Data'!M102="","",'Curve Header Data'!M102)</f>
        <v/>
      </c>
      <c r="K101" s="27" t="str">
        <f>IF('Curve Header Data'!G102="","",'Curve Header Data'!G102)</f>
        <v/>
      </c>
      <c r="L101" s="27" t="str">
        <f>IF('Curve Header Data'!H102="","",'Curve Header Data'!H102)</f>
        <v/>
      </c>
      <c r="M101" s="27" t="str">
        <f>IF('Curve Header Data'!I102="","",'Curve Header Data'!I102)</f>
        <v/>
      </c>
      <c r="N101" s="27" t="str">
        <f>IF('Curve Header Data'!J102="","",'Curve Header Data'!J102*$E$3)</f>
        <v/>
      </c>
      <c r="O101" s="27">
        <f>IF('Curve Header Data'!S102="","",'Curve Header Data'!S102*$J$2)</f>
        <v>0</v>
      </c>
      <c r="P101" s="27">
        <f>IF('Curve Header Data'!T102="","",'Curve Header Data'!T102*$J$3)</f>
        <v>0</v>
      </c>
      <c r="Q101" s="27" t="str">
        <f>IF('Curve Header Data'!U102="","",'Curve Header Data'!U102)</f>
        <v/>
      </c>
      <c r="R101" s="27" t="str">
        <f>IF('Curve Header Data'!V102="","",'Curve Header Data'!V102)</f>
        <v>0</v>
      </c>
      <c r="S101" s="27" t="str">
        <f>IF('Curve Header Data'!W102="","",'Curve Header Data'!W102)</f>
        <v/>
      </c>
    </row>
    <row r="102" spans="1:19" x14ac:dyDescent="0.2">
      <c r="A102" s="38" t="str">
        <f>IF('Curve Header Data'!A103="","",'Curve Header Data'!A103)</f>
        <v/>
      </c>
      <c r="B102" s="38" t="str">
        <f>IF('Curve Header Data'!C103="","",'Curve Header Data'!C103)</f>
        <v/>
      </c>
      <c r="C102" s="38" t="str">
        <f>IF('Curve Header Data'!D103="","",'Curve Header Data'!D103)</f>
        <v/>
      </c>
      <c r="D102" s="38" t="str">
        <f>IF('Curve Header Data'!E103="","",'Curve Header Data'!E103)</f>
        <v/>
      </c>
      <c r="E102" s="38" t="str">
        <f>IF('Curve Header Data'!B103="","",'Curve Header Data'!B103)</f>
        <v/>
      </c>
      <c r="F102" s="38" t="str">
        <f>IF('Curve Header Data'!K103="","",'Curve Header Data'!K103*$E$2)</f>
        <v/>
      </c>
      <c r="G102" s="38" t="str">
        <f>IF('Curve Header Data'!L103="","",'Curve Header Data'!L103*$E$2)</f>
        <v/>
      </c>
      <c r="H102" s="38">
        <f>IF('Curve Header Data'!N103="","",'Curve Header Data'!N103)</f>
        <v>1</v>
      </c>
      <c r="I102" s="38">
        <f>IF('Curve Header Data'!O103="","",'Curve Header Data'!O103)</f>
        <v>5</v>
      </c>
      <c r="J102" s="27" t="str">
        <f>IF('Curve Header Data'!M103="","",'Curve Header Data'!M103)</f>
        <v/>
      </c>
      <c r="K102" s="27" t="str">
        <f>IF('Curve Header Data'!G103="","",'Curve Header Data'!G103)</f>
        <v/>
      </c>
      <c r="L102" s="27" t="str">
        <f>IF('Curve Header Data'!H103="","",'Curve Header Data'!H103)</f>
        <v/>
      </c>
      <c r="M102" s="27" t="str">
        <f>IF('Curve Header Data'!I103="","",'Curve Header Data'!I103)</f>
        <v/>
      </c>
      <c r="N102" s="27" t="str">
        <f>IF('Curve Header Data'!J103="","",'Curve Header Data'!J103*$E$3)</f>
        <v/>
      </c>
      <c r="O102" s="27">
        <f>IF('Curve Header Data'!S103="","",'Curve Header Data'!S103*$J$2)</f>
        <v>0</v>
      </c>
      <c r="P102" s="27">
        <f>IF('Curve Header Data'!T103="","",'Curve Header Data'!T103*$J$3)</f>
        <v>0</v>
      </c>
      <c r="Q102" s="27" t="str">
        <f>IF('Curve Header Data'!U103="","",'Curve Header Data'!U103)</f>
        <v/>
      </c>
      <c r="R102" s="27" t="str">
        <f>IF('Curve Header Data'!V103="","",'Curve Header Data'!V103)</f>
        <v>0</v>
      </c>
      <c r="S102" s="27" t="str">
        <f>IF('Curve Header Data'!W103="","",'Curve Header Data'!W103)</f>
        <v/>
      </c>
    </row>
    <row r="103" spans="1:19" x14ac:dyDescent="0.2">
      <c r="A103" s="38" t="str">
        <f>IF('Curve Header Data'!A104="","",'Curve Header Data'!A104)</f>
        <v/>
      </c>
      <c r="B103" s="38" t="str">
        <f>IF('Curve Header Data'!C104="","",'Curve Header Data'!C104)</f>
        <v/>
      </c>
      <c r="C103" s="38" t="str">
        <f>IF('Curve Header Data'!D104="","",'Curve Header Data'!D104)</f>
        <v/>
      </c>
      <c r="D103" s="38" t="str">
        <f>IF('Curve Header Data'!E104="","",'Curve Header Data'!E104)</f>
        <v/>
      </c>
      <c r="E103" s="38" t="str">
        <f>IF('Curve Header Data'!B104="","",'Curve Header Data'!B104)</f>
        <v/>
      </c>
      <c r="F103" s="38" t="str">
        <f>IF('Curve Header Data'!K104="","",'Curve Header Data'!K104*$E$2)</f>
        <v/>
      </c>
      <c r="G103" s="38" t="str">
        <f>IF('Curve Header Data'!L104="","",'Curve Header Data'!L104*$E$2)</f>
        <v/>
      </c>
      <c r="H103" s="38">
        <f>IF('Curve Header Data'!N104="","",'Curve Header Data'!N104)</f>
        <v>1</v>
      </c>
      <c r="I103" s="38">
        <f>IF('Curve Header Data'!O104="","",'Curve Header Data'!O104)</f>
        <v>5</v>
      </c>
      <c r="J103" s="27" t="str">
        <f>IF('Curve Header Data'!M104="","",'Curve Header Data'!M104)</f>
        <v/>
      </c>
      <c r="K103" s="27" t="str">
        <f>IF('Curve Header Data'!G104="","",'Curve Header Data'!G104)</f>
        <v/>
      </c>
      <c r="L103" s="27" t="str">
        <f>IF('Curve Header Data'!H104="","",'Curve Header Data'!H104)</f>
        <v/>
      </c>
      <c r="M103" s="27" t="str">
        <f>IF('Curve Header Data'!I104="","",'Curve Header Data'!I104)</f>
        <v/>
      </c>
      <c r="N103" s="27" t="str">
        <f>IF('Curve Header Data'!J104="","",'Curve Header Data'!J104*$E$3)</f>
        <v/>
      </c>
      <c r="O103" s="27">
        <f>IF('Curve Header Data'!S104="","",'Curve Header Data'!S104*$J$2)</f>
        <v>0</v>
      </c>
      <c r="P103" s="27">
        <f>IF('Curve Header Data'!T104="","",'Curve Header Data'!T104*$J$3)</f>
        <v>0</v>
      </c>
      <c r="Q103" s="27" t="str">
        <f>IF('Curve Header Data'!U104="","",'Curve Header Data'!U104)</f>
        <v/>
      </c>
      <c r="R103" s="27" t="str">
        <f>IF('Curve Header Data'!V104="","",'Curve Header Data'!V104)</f>
        <v>0</v>
      </c>
      <c r="S103" s="27" t="str">
        <f>IF('Curve Header Data'!W104="","",'Curve Header Data'!W104)</f>
        <v/>
      </c>
    </row>
    <row r="104" spans="1:19" x14ac:dyDescent="0.2">
      <c r="A104" s="38" t="str">
        <f>IF('Curve Header Data'!A105="","",'Curve Header Data'!A105)</f>
        <v/>
      </c>
      <c r="B104" s="38" t="str">
        <f>IF('Curve Header Data'!C105="","",'Curve Header Data'!C105)</f>
        <v/>
      </c>
      <c r="C104" s="38" t="str">
        <f>IF('Curve Header Data'!D105="","",'Curve Header Data'!D105)</f>
        <v/>
      </c>
      <c r="D104" s="38" t="str">
        <f>IF('Curve Header Data'!E105="","",'Curve Header Data'!E105)</f>
        <v/>
      </c>
      <c r="E104" s="38" t="str">
        <f>IF('Curve Header Data'!B105="","",'Curve Header Data'!B105)</f>
        <v/>
      </c>
      <c r="F104" s="38" t="str">
        <f>IF('Curve Header Data'!K105="","",'Curve Header Data'!K105*$E$2)</f>
        <v/>
      </c>
      <c r="G104" s="38" t="str">
        <f>IF('Curve Header Data'!L105="","",'Curve Header Data'!L105*$E$2)</f>
        <v/>
      </c>
      <c r="H104" s="38">
        <f>IF('Curve Header Data'!N105="","",'Curve Header Data'!N105)</f>
        <v>1</v>
      </c>
      <c r="I104" s="38">
        <f>IF('Curve Header Data'!O105="","",'Curve Header Data'!O105)</f>
        <v>5</v>
      </c>
      <c r="J104" s="27" t="str">
        <f>IF('Curve Header Data'!M105="","",'Curve Header Data'!M105)</f>
        <v/>
      </c>
      <c r="K104" s="27" t="str">
        <f>IF('Curve Header Data'!G105="","",'Curve Header Data'!G105)</f>
        <v/>
      </c>
      <c r="L104" s="27" t="str">
        <f>IF('Curve Header Data'!H105="","",'Curve Header Data'!H105)</f>
        <v/>
      </c>
      <c r="M104" s="27" t="str">
        <f>IF('Curve Header Data'!I105="","",'Curve Header Data'!I105)</f>
        <v/>
      </c>
      <c r="N104" s="27" t="str">
        <f>IF('Curve Header Data'!J105="","",'Curve Header Data'!J105*$E$3)</f>
        <v/>
      </c>
      <c r="O104" s="27">
        <f>IF('Curve Header Data'!S105="","",'Curve Header Data'!S105*$J$2)</f>
        <v>0</v>
      </c>
      <c r="P104" s="27">
        <f>IF('Curve Header Data'!T105="","",'Curve Header Data'!T105*$J$3)</f>
        <v>0</v>
      </c>
      <c r="Q104" s="27" t="str">
        <f>IF('Curve Header Data'!U105="","",'Curve Header Data'!U105)</f>
        <v/>
      </c>
      <c r="R104" s="27" t="str">
        <f>IF('Curve Header Data'!V105="","",'Curve Header Data'!V105)</f>
        <v>0</v>
      </c>
      <c r="S104" s="27" t="str">
        <f>IF('Curve Header Data'!W105="","",'Curve Header Data'!W105)</f>
        <v/>
      </c>
    </row>
    <row r="105" spans="1:19" x14ac:dyDescent="0.2">
      <c r="A105" s="38" t="str">
        <f>IF('Curve Header Data'!A106="","",'Curve Header Data'!A106)</f>
        <v/>
      </c>
      <c r="B105" s="38" t="str">
        <f>IF('Curve Header Data'!C106="","",'Curve Header Data'!C106)</f>
        <v/>
      </c>
      <c r="C105" s="38" t="str">
        <f>IF('Curve Header Data'!D106="","",'Curve Header Data'!D106)</f>
        <v/>
      </c>
      <c r="D105" s="38" t="str">
        <f>IF('Curve Header Data'!E106="","",'Curve Header Data'!E106)</f>
        <v/>
      </c>
      <c r="E105" s="38" t="str">
        <f>IF('Curve Header Data'!B106="","",'Curve Header Data'!B106)</f>
        <v/>
      </c>
      <c r="F105" s="38" t="str">
        <f>IF('Curve Header Data'!K106="","",'Curve Header Data'!K106*$E$2)</f>
        <v/>
      </c>
      <c r="G105" s="38" t="str">
        <f>IF('Curve Header Data'!L106="","",'Curve Header Data'!L106*$E$2)</f>
        <v/>
      </c>
      <c r="H105" s="38">
        <f>IF('Curve Header Data'!N106="","",'Curve Header Data'!N106)</f>
        <v>1</v>
      </c>
      <c r="I105" s="38">
        <f>IF('Curve Header Data'!O106="","",'Curve Header Data'!O106)</f>
        <v>5</v>
      </c>
      <c r="J105" s="27" t="str">
        <f>IF('Curve Header Data'!M106="","",'Curve Header Data'!M106)</f>
        <v/>
      </c>
      <c r="K105" s="27" t="str">
        <f>IF('Curve Header Data'!G106="","",'Curve Header Data'!G106)</f>
        <v/>
      </c>
      <c r="L105" s="27" t="str">
        <f>IF('Curve Header Data'!H106="","",'Curve Header Data'!H106)</f>
        <v/>
      </c>
      <c r="M105" s="27" t="str">
        <f>IF('Curve Header Data'!I106="","",'Curve Header Data'!I106)</f>
        <v/>
      </c>
      <c r="N105" s="27" t="str">
        <f>IF('Curve Header Data'!J106="","",'Curve Header Data'!J106*$E$3)</f>
        <v/>
      </c>
      <c r="O105" s="27">
        <f>IF('Curve Header Data'!S106="","",'Curve Header Data'!S106*$J$2)</f>
        <v>0</v>
      </c>
      <c r="P105" s="27">
        <f>IF('Curve Header Data'!T106="","",'Curve Header Data'!T106*$J$3)</f>
        <v>0</v>
      </c>
      <c r="Q105" s="27" t="str">
        <f>IF('Curve Header Data'!U106="","",'Curve Header Data'!U106)</f>
        <v/>
      </c>
      <c r="R105" s="27" t="str">
        <f>IF('Curve Header Data'!V106="","",'Curve Header Data'!V106)</f>
        <v>0</v>
      </c>
      <c r="S105" s="27" t="str">
        <f>IF('Curve Header Data'!W106="","",'Curve Header Data'!W106)</f>
        <v/>
      </c>
    </row>
    <row r="106" spans="1:19" x14ac:dyDescent="0.2">
      <c r="A106" s="38" t="str">
        <f>IF('Curve Header Data'!A107="","",'Curve Header Data'!A107)</f>
        <v/>
      </c>
      <c r="B106" s="38" t="str">
        <f>IF('Curve Header Data'!C107="","",'Curve Header Data'!C107)</f>
        <v/>
      </c>
      <c r="C106" s="38" t="str">
        <f>IF('Curve Header Data'!D107="","",'Curve Header Data'!D107)</f>
        <v/>
      </c>
      <c r="D106" s="38" t="str">
        <f>IF('Curve Header Data'!E107="","",'Curve Header Data'!E107)</f>
        <v/>
      </c>
      <c r="E106" s="38" t="str">
        <f>IF('Curve Header Data'!B107="","",'Curve Header Data'!B107)</f>
        <v/>
      </c>
      <c r="F106" s="38" t="str">
        <f>IF('Curve Header Data'!K107="","",'Curve Header Data'!K107*$E$2)</f>
        <v/>
      </c>
      <c r="G106" s="38" t="str">
        <f>IF('Curve Header Data'!L107="","",'Curve Header Data'!L107*$E$2)</f>
        <v/>
      </c>
      <c r="H106" s="38">
        <f>IF('Curve Header Data'!N107="","",'Curve Header Data'!N107)</f>
        <v>1</v>
      </c>
      <c r="I106" s="38">
        <f>IF('Curve Header Data'!O107="","",'Curve Header Data'!O107)</f>
        <v>5</v>
      </c>
      <c r="J106" s="27" t="str">
        <f>IF('Curve Header Data'!M107="","",'Curve Header Data'!M107)</f>
        <v/>
      </c>
      <c r="K106" s="27" t="str">
        <f>IF('Curve Header Data'!G107="","",'Curve Header Data'!G107)</f>
        <v/>
      </c>
      <c r="L106" s="27" t="str">
        <f>IF('Curve Header Data'!H107="","",'Curve Header Data'!H107)</f>
        <v/>
      </c>
      <c r="M106" s="27" t="str">
        <f>IF('Curve Header Data'!I107="","",'Curve Header Data'!I107)</f>
        <v/>
      </c>
      <c r="N106" s="27" t="str">
        <f>IF('Curve Header Data'!J107="","",'Curve Header Data'!J107*$E$3)</f>
        <v/>
      </c>
      <c r="O106" s="27">
        <f>IF('Curve Header Data'!S107="","",'Curve Header Data'!S107*$J$2)</f>
        <v>0</v>
      </c>
      <c r="P106" s="27">
        <f>IF('Curve Header Data'!T107="","",'Curve Header Data'!T107*$J$3)</f>
        <v>0</v>
      </c>
      <c r="Q106" s="27" t="str">
        <f>IF('Curve Header Data'!U107="","",'Curve Header Data'!U107)</f>
        <v/>
      </c>
      <c r="R106" s="27" t="str">
        <f>IF('Curve Header Data'!V107="","",'Curve Header Data'!V107)</f>
        <v>0</v>
      </c>
      <c r="S106" s="27" t="str">
        <f>IF('Curve Header Data'!W107="","",'Curve Header Data'!W107)</f>
        <v/>
      </c>
    </row>
    <row r="107" spans="1:19" x14ac:dyDescent="0.2">
      <c r="A107" s="38" t="str">
        <f>IF('Curve Header Data'!A108="","",'Curve Header Data'!A108)</f>
        <v/>
      </c>
      <c r="B107" s="38" t="str">
        <f>IF('Curve Header Data'!C108="","",'Curve Header Data'!C108)</f>
        <v/>
      </c>
      <c r="C107" s="38" t="str">
        <f>IF('Curve Header Data'!D108="","",'Curve Header Data'!D108)</f>
        <v/>
      </c>
      <c r="D107" s="38" t="str">
        <f>IF('Curve Header Data'!E108="","",'Curve Header Data'!E108)</f>
        <v/>
      </c>
      <c r="E107" s="38" t="str">
        <f>IF('Curve Header Data'!B108="","",'Curve Header Data'!B108)</f>
        <v/>
      </c>
      <c r="F107" s="38" t="str">
        <f>IF('Curve Header Data'!K108="","",'Curve Header Data'!K108*$E$2)</f>
        <v/>
      </c>
      <c r="G107" s="38" t="str">
        <f>IF('Curve Header Data'!L108="","",'Curve Header Data'!L108*$E$2)</f>
        <v/>
      </c>
      <c r="H107" s="38">
        <f>IF('Curve Header Data'!N108="","",'Curve Header Data'!N108)</f>
        <v>1</v>
      </c>
      <c r="I107" s="38">
        <f>IF('Curve Header Data'!O108="","",'Curve Header Data'!O108)</f>
        <v>5</v>
      </c>
      <c r="J107" s="27" t="str">
        <f>IF('Curve Header Data'!M108="","",'Curve Header Data'!M108)</f>
        <v/>
      </c>
      <c r="K107" s="27" t="str">
        <f>IF('Curve Header Data'!G108="","",'Curve Header Data'!G108)</f>
        <v/>
      </c>
      <c r="L107" s="27" t="str">
        <f>IF('Curve Header Data'!H108="","",'Curve Header Data'!H108)</f>
        <v/>
      </c>
      <c r="M107" s="27" t="str">
        <f>IF('Curve Header Data'!I108="","",'Curve Header Data'!I108)</f>
        <v/>
      </c>
      <c r="N107" s="27" t="str">
        <f>IF('Curve Header Data'!J108="","",'Curve Header Data'!J108*$E$3)</f>
        <v/>
      </c>
      <c r="O107" s="27">
        <f>IF('Curve Header Data'!S108="","",'Curve Header Data'!S108*$J$2)</f>
        <v>0</v>
      </c>
      <c r="P107" s="27">
        <f>IF('Curve Header Data'!T108="","",'Curve Header Data'!T108*$J$3)</f>
        <v>0</v>
      </c>
      <c r="Q107" s="27" t="str">
        <f>IF('Curve Header Data'!U108="","",'Curve Header Data'!U108)</f>
        <v/>
      </c>
      <c r="R107" s="27" t="str">
        <f>IF('Curve Header Data'!V108="","",'Curve Header Data'!V108)</f>
        <v>0</v>
      </c>
      <c r="S107" s="27" t="str">
        <f>IF('Curve Header Data'!W108="","",'Curve Header Data'!W108)</f>
        <v/>
      </c>
    </row>
    <row r="108" spans="1:19" x14ac:dyDescent="0.2">
      <c r="A108" s="38" t="str">
        <f>IF('Curve Header Data'!A109="","",'Curve Header Data'!A109)</f>
        <v/>
      </c>
      <c r="B108" s="38" t="str">
        <f>IF('Curve Header Data'!C109="","",'Curve Header Data'!C109)</f>
        <v/>
      </c>
      <c r="C108" s="38" t="str">
        <f>IF('Curve Header Data'!D109="","",'Curve Header Data'!D109)</f>
        <v/>
      </c>
      <c r="D108" s="38" t="str">
        <f>IF('Curve Header Data'!E109="","",'Curve Header Data'!E109)</f>
        <v/>
      </c>
      <c r="E108" s="38" t="str">
        <f>IF('Curve Header Data'!B109="","",'Curve Header Data'!B109)</f>
        <v/>
      </c>
      <c r="F108" s="38" t="str">
        <f>IF('Curve Header Data'!K109="","",'Curve Header Data'!K109*$E$2)</f>
        <v/>
      </c>
      <c r="G108" s="38" t="str">
        <f>IF('Curve Header Data'!L109="","",'Curve Header Data'!L109*$E$2)</f>
        <v/>
      </c>
      <c r="H108" s="38">
        <f>IF('Curve Header Data'!N109="","",'Curve Header Data'!N109)</f>
        <v>1</v>
      </c>
      <c r="I108" s="38">
        <f>IF('Curve Header Data'!O109="","",'Curve Header Data'!O109)</f>
        <v>5</v>
      </c>
      <c r="J108" s="27" t="str">
        <f>IF('Curve Header Data'!M109="","",'Curve Header Data'!M109)</f>
        <v/>
      </c>
      <c r="K108" s="27" t="str">
        <f>IF('Curve Header Data'!G109="","",'Curve Header Data'!G109)</f>
        <v/>
      </c>
      <c r="L108" s="27" t="str">
        <f>IF('Curve Header Data'!H109="","",'Curve Header Data'!H109)</f>
        <v/>
      </c>
      <c r="M108" s="27" t="str">
        <f>IF('Curve Header Data'!I109="","",'Curve Header Data'!I109)</f>
        <v/>
      </c>
      <c r="N108" s="27" t="str">
        <f>IF('Curve Header Data'!J109="","",'Curve Header Data'!J109*$E$3)</f>
        <v/>
      </c>
      <c r="O108" s="27">
        <f>IF('Curve Header Data'!S109="","",'Curve Header Data'!S109*$J$2)</f>
        <v>0</v>
      </c>
      <c r="P108" s="27">
        <f>IF('Curve Header Data'!T109="","",'Curve Header Data'!T109*$J$3)</f>
        <v>0</v>
      </c>
      <c r="Q108" s="27" t="str">
        <f>IF('Curve Header Data'!U109="","",'Curve Header Data'!U109)</f>
        <v/>
      </c>
      <c r="R108" s="27" t="str">
        <f>IF('Curve Header Data'!V109="","",'Curve Header Data'!V109)</f>
        <v>0</v>
      </c>
      <c r="S108" s="27" t="str">
        <f>IF('Curve Header Data'!W109="","",'Curve Header Data'!W109)</f>
        <v/>
      </c>
    </row>
    <row r="109" spans="1:19" x14ac:dyDescent="0.2">
      <c r="A109" s="38" t="str">
        <f>IF('Curve Header Data'!A110="","",'Curve Header Data'!A110)</f>
        <v/>
      </c>
      <c r="B109" s="38" t="str">
        <f>IF('Curve Header Data'!C110="","",'Curve Header Data'!C110)</f>
        <v/>
      </c>
      <c r="C109" s="38" t="str">
        <f>IF('Curve Header Data'!D110="","",'Curve Header Data'!D110)</f>
        <v/>
      </c>
      <c r="D109" s="38" t="str">
        <f>IF('Curve Header Data'!E110="","",'Curve Header Data'!E110)</f>
        <v/>
      </c>
      <c r="E109" s="38" t="str">
        <f>IF('Curve Header Data'!B110="","",'Curve Header Data'!B110)</f>
        <v/>
      </c>
      <c r="F109" s="38" t="str">
        <f>IF('Curve Header Data'!K110="","",'Curve Header Data'!K110*$E$2)</f>
        <v/>
      </c>
      <c r="G109" s="38" t="str">
        <f>IF('Curve Header Data'!L110="","",'Curve Header Data'!L110*$E$2)</f>
        <v/>
      </c>
      <c r="H109" s="38">
        <f>IF('Curve Header Data'!N110="","",'Curve Header Data'!N110)</f>
        <v>1</v>
      </c>
      <c r="I109" s="38">
        <f>IF('Curve Header Data'!O110="","",'Curve Header Data'!O110)</f>
        <v>5</v>
      </c>
      <c r="J109" s="27" t="str">
        <f>IF('Curve Header Data'!M110="","",'Curve Header Data'!M110)</f>
        <v/>
      </c>
      <c r="K109" s="27" t="str">
        <f>IF('Curve Header Data'!G110="","",'Curve Header Data'!G110)</f>
        <v/>
      </c>
      <c r="L109" s="27" t="str">
        <f>IF('Curve Header Data'!H110="","",'Curve Header Data'!H110)</f>
        <v/>
      </c>
      <c r="M109" s="27" t="str">
        <f>IF('Curve Header Data'!I110="","",'Curve Header Data'!I110)</f>
        <v/>
      </c>
      <c r="N109" s="27" t="str">
        <f>IF('Curve Header Data'!J110="","",'Curve Header Data'!J110*$E$3)</f>
        <v/>
      </c>
      <c r="O109" s="27">
        <f>IF('Curve Header Data'!S110="","",'Curve Header Data'!S110*$J$2)</f>
        <v>0</v>
      </c>
      <c r="P109" s="27">
        <f>IF('Curve Header Data'!T110="","",'Curve Header Data'!T110*$J$3)</f>
        <v>0</v>
      </c>
      <c r="Q109" s="27" t="str">
        <f>IF('Curve Header Data'!U110="","",'Curve Header Data'!U110)</f>
        <v/>
      </c>
      <c r="R109" s="27" t="str">
        <f>IF('Curve Header Data'!V110="","",'Curve Header Data'!V110)</f>
        <v>0</v>
      </c>
      <c r="S109" s="27" t="str">
        <f>IF('Curve Header Data'!W110="","",'Curve Header Data'!W110)</f>
        <v/>
      </c>
    </row>
    <row r="110" spans="1:19" x14ac:dyDescent="0.2">
      <c r="A110" s="38" t="str">
        <f>IF('Curve Header Data'!A111="","",'Curve Header Data'!A111)</f>
        <v/>
      </c>
      <c r="B110" s="38" t="str">
        <f>IF('Curve Header Data'!C111="","",'Curve Header Data'!C111)</f>
        <v/>
      </c>
      <c r="C110" s="38" t="str">
        <f>IF('Curve Header Data'!D111="","",'Curve Header Data'!D111)</f>
        <v/>
      </c>
      <c r="D110" s="38" t="str">
        <f>IF('Curve Header Data'!E111="","",'Curve Header Data'!E111)</f>
        <v/>
      </c>
      <c r="E110" s="38" t="str">
        <f>IF('Curve Header Data'!B111="","",'Curve Header Data'!B111)</f>
        <v/>
      </c>
      <c r="F110" s="38" t="str">
        <f>IF('Curve Header Data'!K111="","",'Curve Header Data'!K111*$E$2)</f>
        <v/>
      </c>
      <c r="G110" s="38" t="str">
        <f>IF('Curve Header Data'!L111="","",'Curve Header Data'!L111*$E$2)</f>
        <v/>
      </c>
      <c r="H110" s="38">
        <f>IF('Curve Header Data'!N111="","",'Curve Header Data'!N111)</f>
        <v>1</v>
      </c>
      <c r="I110" s="38">
        <f>IF('Curve Header Data'!O111="","",'Curve Header Data'!O111)</f>
        <v>5</v>
      </c>
      <c r="J110" s="27" t="str">
        <f>IF('Curve Header Data'!M111="","",'Curve Header Data'!M111)</f>
        <v/>
      </c>
      <c r="K110" s="27" t="str">
        <f>IF('Curve Header Data'!G111="","",'Curve Header Data'!G111)</f>
        <v/>
      </c>
      <c r="L110" s="27" t="str">
        <f>IF('Curve Header Data'!H111="","",'Curve Header Data'!H111)</f>
        <v/>
      </c>
      <c r="M110" s="27" t="str">
        <f>IF('Curve Header Data'!I111="","",'Curve Header Data'!I111)</f>
        <v/>
      </c>
      <c r="N110" s="27" t="str">
        <f>IF('Curve Header Data'!J111="","",'Curve Header Data'!J111*$E$3)</f>
        <v/>
      </c>
      <c r="O110" s="27">
        <f>IF('Curve Header Data'!S111="","",'Curve Header Data'!S111*$J$2)</f>
        <v>0</v>
      </c>
      <c r="P110" s="27">
        <f>IF('Curve Header Data'!T111="","",'Curve Header Data'!T111*$J$3)</f>
        <v>0</v>
      </c>
      <c r="Q110" s="27" t="str">
        <f>IF('Curve Header Data'!U111="","",'Curve Header Data'!U111)</f>
        <v/>
      </c>
      <c r="R110" s="27" t="str">
        <f>IF('Curve Header Data'!V111="","",'Curve Header Data'!V111)</f>
        <v>0</v>
      </c>
      <c r="S110" s="27" t="str">
        <f>IF('Curve Header Data'!W111="","",'Curve Header Data'!W111)</f>
        <v/>
      </c>
    </row>
    <row r="111" spans="1:19" x14ac:dyDescent="0.2">
      <c r="A111" s="38" t="str">
        <f>IF('Curve Header Data'!A112="","",'Curve Header Data'!A112)</f>
        <v/>
      </c>
      <c r="B111" s="38" t="str">
        <f>IF('Curve Header Data'!C112="","",'Curve Header Data'!C112)</f>
        <v/>
      </c>
      <c r="C111" s="38" t="str">
        <f>IF('Curve Header Data'!D112="","",'Curve Header Data'!D112)</f>
        <v/>
      </c>
      <c r="D111" s="38" t="str">
        <f>IF('Curve Header Data'!E112="","",'Curve Header Data'!E112)</f>
        <v/>
      </c>
      <c r="E111" s="38" t="str">
        <f>IF('Curve Header Data'!B112="","",'Curve Header Data'!B112)</f>
        <v/>
      </c>
      <c r="F111" s="38" t="str">
        <f>IF('Curve Header Data'!K112="","",'Curve Header Data'!K112*$E$2)</f>
        <v/>
      </c>
      <c r="G111" s="38" t="str">
        <f>IF('Curve Header Data'!L112="","",'Curve Header Data'!L112*$E$2)</f>
        <v/>
      </c>
      <c r="H111" s="38">
        <f>IF('Curve Header Data'!N112="","",'Curve Header Data'!N112)</f>
        <v>1</v>
      </c>
      <c r="I111" s="38">
        <f>IF('Curve Header Data'!O112="","",'Curve Header Data'!O112)</f>
        <v>5</v>
      </c>
      <c r="J111" s="27" t="str">
        <f>IF('Curve Header Data'!M112="","",'Curve Header Data'!M112)</f>
        <v/>
      </c>
      <c r="K111" s="27" t="str">
        <f>IF('Curve Header Data'!G112="","",'Curve Header Data'!G112)</f>
        <v/>
      </c>
      <c r="L111" s="27" t="str">
        <f>IF('Curve Header Data'!H112="","",'Curve Header Data'!H112)</f>
        <v/>
      </c>
      <c r="M111" s="27" t="str">
        <f>IF('Curve Header Data'!I112="","",'Curve Header Data'!I112)</f>
        <v/>
      </c>
      <c r="N111" s="27" t="str">
        <f>IF('Curve Header Data'!J112="","",'Curve Header Data'!J112*$E$3)</f>
        <v/>
      </c>
      <c r="O111" s="27">
        <f>IF('Curve Header Data'!S112="","",'Curve Header Data'!S112*$J$2)</f>
        <v>0</v>
      </c>
      <c r="P111" s="27">
        <f>IF('Curve Header Data'!T112="","",'Curve Header Data'!T112*$J$3)</f>
        <v>0</v>
      </c>
      <c r="Q111" s="27" t="str">
        <f>IF('Curve Header Data'!U112="","",'Curve Header Data'!U112)</f>
        <v/>
      </c>
      <c r="R111" s="27" t="str">
        <f>IF('Curve Header Data'!V112="","",'Curve Header Data'!V112)</f>
        <v>0</v>
      </c>
      <c r="S111" s="27" t="str">
        <f>IF('Curve Header Data'!W112="","",'Curve Header Data'!W112)</f>
        <v/>
      </c>
    </row>
    <row r="112" spans="1:19" x14ac:dyDescent="0.2">
      <c r="A112" s="38" t="str">
        <f>IF('Curve Header Data'!A113="","",'Curve Header Data'!A113)</f>
        <v/>
      </c>
      <c r="B112" s="38" t="str">
        <f>IF('Curve Header Data'!C113="","",'Curve Header Data'!C113)</f>
        <v/>
      </c>
      <c r="C112" s="38" t="str">
        <f>IF('Curve Header Data'!D113="","",'Curve Header Data'!D113)</f>
        <v/>
      </c>
      <c r="D112" s="38" t="str">
        <f>IF('Curve Header Data'!E113="","",'Curve Header Data'!E113)</f>
        <v/>
      </c>
      <c r="E112" s="38" t="str">
        <f>IF('Curve Header Data'!B113="","",'Curve Header Data'!B113)</f>
        <v/>
      </c>
      <c r="F112" s="38" t="str">
        <f>IF('Curve Header Data'!K113="","",'Curve Header Data'!K113*$E$2)</f>
        <v/>
      </c>
      <c r="G112" s="38" t="str">
        <f>IF('Curve Header Data'!L113="","",'Curve Header Data'!L113*$E$2)</f>
        <v/>
      </c>
      <c r="H112" s="38">
        <f>IF('Curve Header Data'!N113="","",'Curve Header Data'!N113)</f>
        <v>1</v>
      </c>
      <c r="I112" s="38">
        <f>IF('Curve Header Data'!O113="","",'Curve Header Data'!O113)</f>
        <v>5</v>
      </c>
      <c r="J112" s="27" t="str">
        <f>IF('Curve Header Data'!M113="","",'Curve Header Data'!M113)</f>
        <v/>
      </c>
      <c r="K112" s="27" t="str">
        <f>IF('Curve Header Data'!G113="","",'Curve Header Data'!G113)</f>
        <v/>
      </c>
      <c r="L112" s="27" t="str">
        <f>IF('Curve Header Data'!H113="","",'Curve Header Data'!H113)</f>
        <v/>
      </c>
      <c r="M112" s="27" t="str">
        <f>IF('Curve Header Data'!I113="","",'Curve Header Data'!I113)</f>
        <v/>
      </c>
      <c r="N112" s="27" t="str">
        <f>IF('Curve Header Data'!J113="","",'Curve Header Data'!J113*$E$3)</f>
        <v/>
      </c>
      <c r="O112" s="27">
        <f>IF('Curve Header Data'!S113="","",'Curve Header Data'!S113*$J$2)</f>
        <v>0</v>
      </c>
      <c r="P112" s="27">
        <f>IF('Curve Header Data'!T113="","",'Curve Header Data'!T113*$J$3)</f>
        <v>0</v>
      </c>
      <c r="Q112" s="27" t="str">
        <f>IF('Curve Header Data'!U113="","",'Curve Header Data'!U113)</f>
        <v/>
      </c>
      <c r="R112" s="27" t="str">
        <f>IF('Curve Header Data'!V113="","",'Curve Header Data'!V113)</f>
        <v>0</v>
      </c>
      <c r="S112" s="27" t="str">
        <f>IF('Curve Header Data'!W113="","",'Curve Header Data'!W113)</f>
        <v/>
      </c>
    </row>
    <row r="113" spans="1:19" x14ac:dyDescent="0.2">
      <c r="A113" s="38" t="str">
        <f>IF('Curve Header Data'!A114="","",'Curve Header Data'!A114)</f>
        <v/>
      </c>
      <c r="B113" s="38" t="str">
        <f>IF('Curve Header Data'!C114="","",'Curve Header Data'!C114)</f>
        <v/>
      </c>
      <c r="C113" s="38" t="str">
        <f>IF('Curve Header Data'!D114="","",'Curve Header Data'!D114)</f>
        <v/>
      </c>
      <c r="D113" s="38" t="str">
        <f>IF('Curve Header Data'!E114="","",'Curve Header Data'!E114)</f>
        <v/>
      </c>
      <c r="E113" s="38" t="str">
        <f>IF('Curve Header Data'!B114="","",'Curve Header Data'!B114)</f>
        <v/>
      </c>
      <c r="F113" s="38" t="str">
        <f>IF('Curve Header Data'!K114="","",'Curve Header Data'!K114*$E$2)</f>
        <v/>
      </c>
      <c r="G113" s="38" t="str">
        <f>IF('Curve Header Data'!L114="","",'Curve Header Data'!L114*$E$2)</f>
        <v/>
      </c>
      <c r="H113" s="38">
        <f>IF('Curve Header Data'!N114="","",'Curve Header Data'!N114)</f>
        <v>1</v>
      </c>
      <c r="I113" s="38">
        <f>IF('Curve Header Data'!O114="","",'Curve Header Data'!O114)</f>
        <v>5</v>
      </c>
      <c r="J113" s="27" t="str">
        <f>IF('Curve Header Data'!M114="","",'Curve Header Data'!M114)</f>
        <v/>
      </c>
      <c r="K113" s="27" t="str">
        <f>IF('Curve Header Data'!G114="","",'Curve Header Data'!G114)</f>
        <v/>
      </c>
      <c r="L113" s="27" t="str">
        <f>IF('Curve Header Data'!H114="","",'Curve Header Data'!H114)</f>
        <v/>
      </c>
      <c r="M113" s="27" t="str">
        <f>IF('Curve Header Data'!I114="","",'Curve Header Data'!I114)</f>
        <v/>
      </c>
      <c r="N113" s="27" t="str">
        <f>IF('Curve Header Data'!J114="","",'Curve Header Data'!J114*$E$3)</f>
        <v/>
      </c>
      <c r="O113" s="27">
        <f>IF('Curve Header Data'!S114="","",'Curve Header Data'!S114*$J$2)</f>
        <v>0</v>
      </c>
      <c r="P113" s="27">
        <f>IF('Curve Header Data'!T114="","",'Curve Header Data'!T114*$J$3)</f>
        <v>0</v>
      </c>
      <c r="Q113" s="27" t="str">
        <f>IF('Curve Header Data'!U114="","",'Curve Header Data'!U114)</f>
        <v/>
      </c>
      <c r="R113" s="27" t="str">
        <f>IF('Curve Header Data'!V114="","",'Curve Header Data'!V114)</f>
        <v>0</v>
      </c>
      <c r="S113" s="27" t="str">
        <f>IF('Curve Header Data'!W114="","",'Curve Header Data'!W114)</f>
        <v/>
      </c>
    </row>
    <row r="114" spans="1:19" x14ac:dyDescent="0.2">
      <c r="A114" s="38" t="str">
        <f>IF('Curve Header Data'!A115="","",'Curve Header Data'!A115)</f>
        <v/>
      </c>
      <c r="B114" s="38" t="str">
        <f>IF('Curve Header Data'!C115="","",'Curve Header Data'!C115)</f>
        <v/>
      </c>
      <c r="C114" s="38" t="str">
        <f>IF('Curve Header Data'!D115="","",'Curve Header Data'!D115)</f>
        <v/>
      </c>
      <c r="D114" s="38" t="str">
        <f>IF('Curve Header Data'!E115="","",'Curve Header Data'!E115)</f>
        <v/>
      </c>
      <c r="E114" s="38" t="str">
        <f>IF('Curve Header Data'!B115="","",'Curve Header Data'!B115)</f>
        <v/>
      </c>
      <c r="F114" s="38" t="str">
        <f>IF('Curve Header Data'!K115="","",'Curve Header Data'!K115*$E$2)</f>
        <v/>
      </c>
      <c r="G114" s="38" t="str">
        <f>IF('Curve Header Data'!L115="","",'Curve Header Data'!L115*$E$2)</f>
        <v/>
      </c>
      <c r="H114" s="38">
        <f>IF('Curve Header Data'!N115="","",'Curve Header Data'!N115)</f>
        <v>1</v>
      </c>
      <c r="I114" s="38">
        <f>IF('Curve Header Data'!O115="","",'Curve Header Data'!O115)</f>
        <v>5</v>
      </c>
      <c r="J114" s="27" t="str">
        <f>IF('Curve Header Data'!M115="","",'Curve Header Data'!M115)</f>
        <v/>
      </c>
      <c r="K114" s="27" t="str">
        <f>IF('Curve Header Data'!G115="","",'Curve Header Data'!G115)</f>
        <v/>
      </c>
      <c r="L114" s="27" t="str">
        <f>IF('Curve Header Data'!H115="","",'Curve Header Data'!H115)</f>
        <v/>
      </c>
      <c r="M114" s="27" t="str">
        <f>IF('Curve Header Data'!I115="","",'Curve Header Data'!I115)</f>
        <v/>
      </c>
      <c r="N114" s="27" t="str">
        <f>IF('Curve Header Data'!J115="","",'Curve Header Data'!J115*$E$3)</f>
        <v/>
      </c>
      <c r="O114" s="27">
        <f>IF('Curve Header Data'!S115="","",'Curve Header Data'!S115*$J$2)</f>
        <v>0</v>
      </c>
      <c r="P114" s="27">
        <f>IF('Curve Header Data'!T115="","",'Curve Header Data'!T115*$J$3)</f>
        <v>0</v>
      </c>
      <c r="Q114" s="27" t="str">
        <f>IF('Curve Header Data'!U115="","",'Curve Header Data'!U115)</f>
        <v/>
      </c>
      <c r="R114" s="27" t="str">
        <f>IF('Curve Header Data'!V115="","",'Curve Header Data'!V115)</f>
        <v>0</v>
      </c>
      <c r="S114" s="27" t="str">
        <f>IF('Curve Header Data'!W115="","",'Curve Header Data'!W115)</f>
        <v/>
      </c>
    </row>
    <row r="115" spans="1:19" x14ac:dyDescent="0.2">
      <c r="A115" s="38" t="str">
        <f>IF('Curve Header Data'!A116="","",'Curve Header Data'!A116)</f>
        <v/>
      </c>
      <c r="B115" s="38" t="str">
        <f>IF('Curve Header Data'!C116="","",'Curve Header Data'!C116)</f>
        <v/>
      </c>
      <c r="C115" s="38" t="str">
        <f>IF('Curve Header Data'!D116="","",'Curve Header Data'!D116)</f>
        <v/>
      </c>
      <c r="D115" s="38" t="str">
        <f>IF('Curve Header Data'!E116="","",'Curve Header Data'!E116)</f>
        <v/>
      </c>
      <c r="E115" s="38" t="str">
        <f>IF('Curve Header Data'!B116="","",'Curve Header Data'!B116)</f>
        <v/>
      </c>
      <c r="F115" s="38" t="str">
        <f>IF('Curve Header Data'!K116="","",'Curve Header Data'!K116*$E$2)</f>
        <v/>
      </c>
      <c r="G115" s="38" t="str">
        <f>IF('Curve Header Data'!L116="","",'Curve Header Data'!L116*$E$2)</f>
        <v/>
      </c>
      <c r="H115" s="38">
        <f>IF('Curve Header Data'!N116="","",'Curve Header Data'!N116)</f>
        <v>1</v>
      </c>
      <c r="I115" s="38">
        <f>IF('Curve Header Data'!O116="","",'Curve Header Data'!O116)</f>
        <v>5</v>
      </c>
      <c r="J115" s="27" t="str">
        <f>IF('Curve Header Data'!M116="","",'Curve Header Data'!M116)</f>
        <v/>
      </c>
      <c r="K115" s="27" t="str">
        <f>IF('Curve Header Data'!G116="","",'Curve Header Data'!G116)</f>
        <v/>
      </c>
      <c r="L115" s="27" t="str">
        <f>IF('Curve Header Data'!H116="","",'Curve Header Data'!H116)</f>
        <v/>
      </c>
      <c r="M115" s="27" t="str">
        <f>IF('Curve Header Data'!I116="","",'Curve Header Data'!I116)</f>
        <v/>
      </c>
      <c r="N115" s="27" t="str">
        <f>IF('Curve Header Data'!J116="","",'Curve Header Data'!J116*$E$3)</f>
        <v/>
      </c>
      <c r="O115" s="27">
        <f>IF('Curve Header Data'!S116="","",'Curve Header Data'!S116*$J$2)</f>
        <v>0</v>
      </c>
      <c r="P115" s="27">
        <f>IF('Curve Header Data'!T116="","",'Curve Header Data'!T116*$J$3)</f>
        <v>0</v>
      </c>
      <c r="Q115" s="27" t="str">
        <f>IF('Curve Header Data'!U116="","",'Curve Header Data'!U116)</f>
        <v/>
      </c>
      <c r="R115" s="27" t="str">
        <f>IF('Curve Header Data'!V116="","",'Curve Header Data'!V116)</f>
        <v>0</v>
      </c>
      <c r="S115" s="27" t="str">
        <f>IF('Curve Header Data'!W116="","",'Curve Header Data'!W116)</f>
        <v/>
      </c>
    </row>
    <row r="116" spans="1:19" x14ac:dyDescent="0.2">
      <c r="A116" s="38" t="str">
        <f>IF('Curve Header Data'!A117="","",'Curve Header Data'!A117)</f>
        <v/>
      </c>
      <c r="B116" s="38" t="str">
        <f>IF('Curve Header Data'!C117="","",'Curve Header Data'!C117)</f>
        <v/>
      </c>
      <c r="C116" s="38" t="str">
        <f>IF('Curve Header Data'!D117="","",'Curve Header Data'!D117)</f>
        <v/>
      </c>
      <c r="D116" s="38" t="str">
        <f>IF('Curve Header Data'!E117="","",'Curve Header Data'!E117)</f>
        <v/>
      </c>
      <c r="E116" s="38" t="str">
        <f>IF('Curve Header Data'!B117="","",'Curve Header Data'!B117)</f>
        <v/>
      </c>
      <c r="F116" s="38" t="str">
        <f>IF('Curve Header Data'!K117="","",'Curve Header Data'!K117*$E$2)</f>
        <v/>
      </c>
      <c r="G116" s="38" t="str">
        <f>IF('Curve Header Data'!L117="","",'Curve Header Data'!L117*$E$2)</f>
        <v/>
      </c>
      <c r="H116" s="38">
        <f>IF('Curve Header Data'!N117="","",'Curve Header Data'!N117)</f>
        <v>1</v>
      </c>
      <c r="I116" s="38">
        <f>IF('Curve Header Data'!O117="","",'Curve Header Data'!O117)</f>
        <v>5</v>
      </c>
      <c r="J116" s="27" t="str">
        <f>IF('Curve Header Data'!M117="","",'Curve Header Data'!M117)</f>
        <v/>
      </c>
      <c r="K116" s="27" t="str">
        <f>IF('Curve Header Data'!G117="","",'Curve Header Data'!G117)</f>
        <v/>
      </c>
      <c r="L116" s="27" t="str">
        <f>IF('Curve Header Data'!H117="","",'Curve Header Data'!H117)</f>
        <v/>
      </c>
      <c r="M116" s="27" t="str">
        <f>IF('Curve Header Data'!I117="","",'Curve Header Data'!I117)</f>
        <v/>
      </c>
      <c r="N116" s="27" t="str">
        <f>IF('Curve Header Data'!J117="","",'Curve Header Data'!J117*$E$3)</f>
        <v/>
      </c>
      <c r="O116" s="27">
        <f>IF('Curve Header Data'!S117="","",'Curve Header Data'!S117*$J$2)</f>
        <v>0</v>
      </c>
      <c r="P116" s="27">
        <f>IF('Curve Header Data'!T117="","",'Curve Header Data'!T117*$J$3)</f>
        <v>0</v>
      </c>
      <c r="Q116" s="27" t="str">
        <f>IF('Curve Header Data'!U117="","",'Curve Header Data'!U117)</f>
        <v/>
      </c>
      <c r="R116" s="27" t="str">
        <f>IF('Curve Header Data'!V117="","",'Curve Header Data'!V117)</f>
        <v>0</v>
      </c>
      <c r="S116" s="27" t="str">
        <f>IF('Curve Header Data'!W117="","",'Curve Header Data'!W117)</f>
        <v/>
      </c>
    </row>
    <row r="117" spans="1:19" x14ac:dyDescent="0.2">
      <c r="A117" s="38" t="str">
        <f>IF('Curve Header Data'!A118="","",'Curve Header Data'!A118)</f>
        <v/>
      </c>
      <c r="B117" s="38" t="str">
        <f>IF('Curve Header Data'!C118="","",'Curve Header Data'!C118)</f>
        <v/>
      </c>
      <c r="C117" s="38" t="str">
        <f>IF('Curve Header Data'!D118="","",'Curve Header Data'!D118)</f>
        <v/>
      </c>
      <c r="D117" s="38" t="str">
        <f>IF('Curve Header Data'!E118="","",'Curve Header Data'!E118)</f>
        <v/>
      </c>
      <c r="E117" s="38" t="str">
        <f>IF('Curve Header Data'!B118="","",'Curve Header Data'!B118)</f>
        <v/>
      </c>
      <c r="F117" s="38" t="str">
        <f>IF('Curve Header Data'!K118="","",'Curve Header Data'!K118*$E$2)</f>
        <v/>
      </c>
      <c r="G117" s="38" t="str">
        <f>IF('Curve Header Data'!L118="","",'Curve Header Data'!L118*$E$2)</f>
        <v/>
      </c>
      <c r="H117" s="38">
        <f>IF('Curve Header Data'!N118="","",'Curve Header Data'!N118)</f>
        <v>1</v>
      </c>
      <c r="I117" s="38">
        <f>IF('Curve Header Data'!O118="","",'Curve Header Data'!O118)</f>
        <v>5</v>
      </c>
      <c r="J117" s="27" t="str">
        <f>IF('Curve Header Data'!M118="","",'Curve Header Data'!M118)</f>
        <v/>
      </c>
      <c r="K117" s="27" t="str">
        <f>IF('Curve Header Data'!G118="","",'Curve Header Data'!G118)</f>
        <v/>
      </c>
      <c r="L117" s="27" t="str">
        <f>IF('Curve Header Data'!H118="","",'Curve Header Data'!H118)</f>
        <v/>
      </c>
      <c r="M117" s="27" t="str">
        <f>IF('Curve Header Data'!I118="","",'Curve Header Data'!I118)</f>
        <v/>
      </c>
      <c r="N117" s="27" t="str">
        <f>IF('Curve Header Data'!J118="","",'Curve Header Data'!J118*$E$3)</f>
        <v/>
      </c>
      <c r="O117" s="27">
        <f>IF('Curve Header Data'!S118="","",'Curve Header Data'!S118*$J$2)</f>
        <v>0</v>
      </c>
      <c r="P117" s="27">
        <f>IF('Curve Header Data'!T118="","",'Curve Header Data'!T118*$J$3)</f>
        <v>0</v>
      </c>
      <c r="Q117" s="27" t="str">
        <f>IF('Curve Header Data'!U118="","",'Curve Header Data'!U118)</f>
        <v/>
      </c>
      <c r="R117" s="27" t="str">
        <f>IF('Curve Header Data'!V118="","",'Curve Header Data'!V118)</f>
        <v>0</v>
      </c>
      <c r="S117" s="27" t="str">
        <f>IF('Curve Header Data'!W118="","",'Curve Header Data'!W118)</f>
        <v/>
      </c>
    </row>
    <row r="118" spans="1:19" x14ac:dyDescent="0.2">
      <c r="A118" s="38" t="str">
        <f>IF('Curve Header Data'!A119="","",'Curve Header Data'!A119)</f>
        <v/>
      </c>
      <c r="B118" s="38" t="str">
        <f>IF('Curve Header Data'!C119="","",'Curve Header Data'!C119)</f>
        <v/>
      </c>
      <c r="C118" s="38" t="str">
        <f>IF('Curve Header Data'!D119="","",'Curve Header Data'!D119)</f>
        <v/>
      </c>
      <c r="D118" s="38" t="str">
        <f>IF('Curve Header Data'!E119="","",'Curve Header Data'!E119)</f>
        <v/>
      </c>
      <c r="E118" s="38" t="str">
        <f>IF('Curve Header Data'!B119="","",'Curve Header Data'!B119)</f>
        <v/>
      </c>
      <c r="F118" s="38" t="str">
        <f>IF('Curve Header Data'!K119="","",'Curve Header Data'!K119*$E$2)</f>
        <v/>
      </c>
      <c r="G118" s="38" t="str">
        <f>IF('Curve Header Data'!L119="","",'Curve Header Data'!L119*$E$2)</f>
        <v/>
      </c>
      <c r="H118" s="38">
        <f>IF('Curve Header Data'!N119="","",'Curve Header Data'!N119)</f>
        <v>1</v>
      </c>
      <c r="I118" s="38">
        <f>IF('Curve Header Data'!O119="","",'Curve Header Data'!O119)</f>
        <v>5</v>
      </c>
      <c r="J118" s="27" t="str">
        <f>IF('Curve Header Data'!M119="","",'Curve Header Data'!M119)</f>
        <v/>
      </c>
      <c r="K118" s="27" t="str">
        <f>IF('Curve Header Data'!G119="","",'Curve Header Data'!G119)</f>
        <v/>
      </c>
      <c r="L118" s="27" t="str">
        <f>IF('Curve Header Data'!H119="","",'Curve Header Data'!H119)</f>
        <v/>
      </c>
      <c r="M118" s="27" t="str">
        <f>IF('Curve Header Data'!I119="","",'Curve Header Data'!I119)</f>
        <v/>
      </c>
      <c r="N118" s="27" t="str">
        <f>IF('Curve Header Data'!J119="","",'Curve Header Data'!J119*$E$3)</f>
        <v/>
      </c>
      <c r="O118" s="27">
        <f>IF('Curve Header Data'!S119="","",'Curve Header Data'!S119*$J$2)</f>
        <v>0</v>
      </c>
      <c r="P118" s="27">
        <f>IF('Curve Header Data'!T119="","",'Curve Header Data'!T119*$J$3)</f>
        <v>0</v>
      </c>
      <c r="Q118" s="27" t="str">
        <f>IF('Curve Header Data'!U119="","",'Curve Header Data'!U119)</f>
        <v/>
      </c>
      <c r="R118" s="27" t="str">
        <f>IF('Curve Header Data'!V119="","",'Curve Header Data'!V119)</f>
        <v>0</v>
      </c>
      <c r="S118" s="27" t="str">
        <f>IF('Curve Header Data'!W119="","",'Curve Header Data'!W119)</f>
        <v/>
      </c>
    </row>
    <row r="119" spans="1:19" x14ac:dyDescent="0.2">
      <c r="A119" s="38" t="str">
        <f>IF('Curve Header Data'!A120="","",'Curve Header Data'!A120)</f>
        <v/>
      </c>
      <c r="B119" s="38" t="str">
        <f>IF('Curve Header Data'!C120="","",'Curve Header Data'!C120)</f>
        <v/>
      </c>
      <c r="C119" s="38" t="str">
        <f>IF('Curve Header Data'!D120="","",'Curve Header Data'!D120)</f>
        <v/>
      </c>
      <c r="D119" s="38" t="str">
        <f>IF('Curve Header Data'!E120="","",'Curve Header Data'!E120)</f>
        <v/>
      </c>
      <c r="E119" s="38" t="str">
        <f>IF('Curve Header Data'!B120="","",'Curve Header Data'!B120)</f>
        <v/>
      </c>
      <c r="F119" s="38" t="str">
        <f>IF('Curve Header Data'!K120="","",'Curve Header Data'!K120*$E$2)</f>
        <v/>
      </c>
      <c r="G119" s="38" t="str">
        <f>IF('Curve Header Data'!L120="","",'Curve Header Data'!L120*$E$2)</f>
        <v/>
      </c>
      <c r="H119" s="38">
        <f>IF('Curve Header Data'!N120="","",'Curve Header Data'!N120)</f>
        <v>1</v>
      </c>
      <c r="I119" s="38">
        <f>IF('Curve Header Data'!O120="","",'Curve Header Data'!O120)</f>
        <v>5</v>
      </c>
      <c r="J119" s="27" t="str">
        <f>IF('Curve Header Data'!M120="","",'Curve Header Data'!M120)</f>
        <v/>
      </c>
      <c r="K119" s="27" t="str">
        <f>IF('Curve Header Data'!G120="","",'Curve Header Data'!G120)</f>
        <v/>
      </c>
      <c r="L119" s="27" t="str">
        <f>IF('Curve Header Data'!H120="","",'Curve Header Data'!H120)</f>
        <v/>
      </c>
      <c r="M119" s="27" t="str">
        <f>IF('Curve Header Data'!I120="","",'Curve Header Data'!I120)</f>
        <v/>
      </c>
      <c r="N119" s="27" t="str">
        <f>IF('Curve Header Data'!J120="","",'Curve Header Data'!J120*$E$3)</f>
        <v/>
      </c>
      <c r="O119" s="27">
        <f>IF('Curve Header Data'!S120="","",'Curve Header Data'!S120*$J$2)</f>
        <v>0</v>
      </c>
      <c r="P119" s="27">
        <f>IF('Curve Header Data'!T120="","",'Curve Header Data'!T120*$J$3)</f>
        <v>0</v>
      </c>
      <c r="Q119" s="27" t="str">
        <f>IF('Curve Header Data'!U120="","",'Curve Header Data'!U120)</f>
        <v/>
      </c>
      <c r="R119" s="27" t="str">
        <f>IF('Curve Header Data'!V120="","",'Curve Header Data'!V120)</f>
        <v>0</v>
      </c>
      <c r="S119" s="27" t="str">
        <f>IF('Curve Header Data'!W120="","",'Curve Header Data'!W120)</f>
        <v/>
      </c>
    </row>
    <row r="120" spans="1:19" x14ac:dyDescent="0.2">
      <c r="A120" s="38" t="str">
        <f>IF('Curve Header Data'!A121="","",'Curve Header Data'!A121)</f>
        <v/>
      </c>
      <c r="B120" s="38" t="str">
        <f>IF('Curve Header Data'!C121="","",'Curve Header Data'!C121)</f>
        <v/>
      </c>
      <c r="C120" s="38" t="str">
        <f>IF('Curve Header Data'!D121="","",'Curve Header Data'!D121)</f>
        <v/>
      </c>
      <c r="D120" s="38" t="str">
        <f>IF('Curve Header Data'!E121="","",'Curve Header Data'!E121)</f>
        <v/>
      </c>
      <c r="E120" s="38" t="str">
        <f>IF('Curve Header Data'!B121="","",'Curve Header Data'!B121)</f>
        <v/>
      </c>
      <c r="F120" s="38" t="str">
        <f>IF('Curve Header Data'!K121="","",'Curve Header Data'!K121*$E$2)</f>
        <v/>
      </c>
      <c r="G120" s="38" t="str">
        <f>IF('Curve Header Data'!L121="","",'Curve Header Data'!L121*$E$2)</f>
        <v/>
      </c>
      <c r="H120" s="38">
        <f>IF('Curve Header Data'!N121="","",'Curve Header Data'!N121)</f>
        <v>1</v>
      </c>
      <c r="I120" s="38">
        <f>IF('Curve Header Data'!O121="","",'Curve Header Data'!O121)</f>
        <v>5</v>
      </c>
      <c r="J120" s="27" t="str">
        <f>IF('Curve Header Data'!M121="","",'Curve Header Data'!M121)</f>
        <v/>
      </c>
      <c r="K120" s="27" t="str">
        <f>IF('Curve Header Data'!G121="","",'Curve Header Data'!G121)</f>
        <v/>
      </c>
      <c r="L120" s="27" t="str">
        <f>IF('Curve Header Data'!H121="","",'Curve Header Data'!H121)</f>
        <v/>
      </c>
      <c r="M120" s="27" t="str">
        <f>IF('Curve Header Data'!I121="","",'Curve Header Data'!I121)</f>
        <v/>
      </c>
      <c r="N120" s="27" t="str">
        <f>IF('Curve Header Data'!J121="","",'Curve Header Data'!J121*$E$3)</f>
        <v/>
      </c>
      <c r="O120" s="27">
        <f>IF('Curve Header Data'!S121="","",'Curve Header Data'!S121*$J$2)</f>
        <v>0</v>
      </c>
      <c r="P120" s="27">
        <f>IF('Curve Header Data'!T121="","",'Curve Header Data'!T121*$J$3)</f>
        <v>0</v>
      </c>
      <c r="Q120" s="27" t="str">
        <f>IF('Curve Header Data'!U121="","",'Curve Header Data'!U121)</f>
        <v/>
      </c>
      <c r="R120" s="27" t="str">
        <f>IF('Curve Header Data'!V121="","",'Curve Header Data'!V121)</f>
        <v>0</v>
      </c>
      <c r="S120" s="27" t="str">
        <f>IF('Curve Header Data'!W121="","",'Curve Header Data'!W121)</f>
        <v/>
      </c>
    </row>
    <row r="121" spans="1:19" x14ac:dyDescent="0.2">
      <c r="A121" s="38" t="str">
        <f>IF('Curve Header Data'!A122="","",'Curve Header Data'!A122)</f>
        <v/>
      </c>
      <c r="B121" s="38" t="str">
        <f>IF('Curve Header Data'!C122="","",'Curve Header Data'!C122)</f>
        <v/>
      </c>
      <c r="C121" s="38" t="str">
        <f>IF('Curve Header Data'!D122="","",'Curve Header Data'!D122)</f>
        <v/>
      </c>
      <c r="D121" s="38" t="str">
        <f>IF('Curve Header Data'!E122="","",'Curve Header Data'!E122)</f>
        <v/>
      </c>
      <c r="E121" s="38" t="str">
        <f>IF('Curve Header Data'!B122="","",'Curve Header Data'!B122)</f>
        <v/>
      </c>
      <c r="F121" s="38" t="str">
        <f>IF('Curve Header Data'!K122="","",'Curve Header Data'!K122*$E$2)</f>
        <v/>
      </c>
      <c r="G121" s="38" t="str">
        <f>IF('Curve Header Data'!L122="","",'Curve Header Data'!L122*$E$2)</f>
        <v/>
      </c>
      <c r="H121" s="38">
        <f>IF('Curve Header Data'!N122="","",'Curve Header Data'!N122)</f>
        <v>1</v>
      </c>
      <c r="I121" s="38">
        <f>IF('Curve Header Data'!O122="","",'Curve Header Data'!O122)</f>
        <v>5</v>
      </c>
      <c r="J121" s="27" t="str">
        <f>IF('Curve Header Data'!M122="","",'Curve Header Data'!M122)</f>
        <v/>
      </c>
      <c r="K121" s="27" t="str">
        <f>IF('Curve Header Data'!G122="","",'Curve Header Data'!G122)</f>
        <v/>
      </c>
      <c r="L121" s="27" t="str">
        <f>IF('Curve Header Data'!H122="","",'Curve Header Data'!H122)</f>
        <v/>
      </c>
      <c r="M121" s="27" t="str">
        <f>IF('Curve Header Data'!I122="","",'Curve Header Data'!I122)</f>
        <v/>
      </c>
      <c r="N121" s="27" t="str">
        <f>IF('Curve Header Data'!J122="","",'Curve Header Data'!J122*$E$3)</f>
        <v/>
      </c>
      <c r="O121" s="27">
        <f>IF('Curve Header Data'!S122="","",'Curve Header Data'!S122*$J$2)</f>
        <v>0</v>
      </c>
      <c r="P121" s="27">
        <f>IF('Curve Header Data'!T122="","",'Curve Header Data'!T122*$J$3)</f>
        <v>0</v>
      </c>
      <c r="Q121" s="27" t="str">
        <f>IF('Curve Header Data'!U122="","",'Curve Header Data'!U122)</f>
        <v/>
      </c>
      <c r="R121" s="27" t="str">
        <f>IF('Curve Header Data'!V122="","",'Curve Header Data'!V122)</f>
        <v>0</v>
      </c>
      <c r="S121" s="27" t="str">
        <f>IF('Curve Header Data'!W122="","",'Curve Header Data'!W122)</f>
        <v/>
      </c>
    </row>
    <row r="122" spans="1:19" x14ac:dyDescent="0.2">
      <c r="A122" s="38" t="str">
        <f>IF('Curve Header Data'!A123="","",'Curve Header Data'!A123)</f>
        <v/>
      </c>
      <c r="B122" s="38" t="str">
        <f>IF('Curve Header Data'!C123="","",'Curve Header Data'!C123)</f>
        <v/>
      </c>
      <c r="C122" s="38" t="str">
        <f>IF('Curve Header Data'!D123="","",'Curve Header Data'!D123)</f>
        <v/>
      </c>
      <c r="D122" s="38" t="str">
        <f>IF('Curve Header Data'!E123="","",'Curve Header Data'!E123)</f>
        <v/>
      </c>
      <c r="E122" s="38" t="str">
        <f>IF('Curve Header Data'!B123="","",'Curve Header Data'!B123)</f>
        <v/>
      </c>
      <c r="F122" s="38" t="str">
        <f>IF('Curve Header Data'!K123="","",'Curve Header Data'!K123*$E$2)</f>
        <v/>
      </c>
      <c r="G122" s="38" t="str">
        <f>IF('Curve Header Data'!L123="","",'Curve Header Data'!L123*$E$2)</f>
        <v/>
      </c>
      <c r="H122" s="38">
        <f>IF('Curve Header Data'!N123="","",'Curve Header Data'!N123)</f>
        <v>1</v>
      </c>
      <c r="I122" s="38">
        <f>IF('Curve Header Data'!O123="","",'Curve Header Data'!O123)</f>
        <v>5</v>
      </c>
      <c r="J122" s="27" t="str">
        <f>IF('Curve Header Data'!M123="","",'Curve Header Data'!M123)</f>
        <v/>
      </c>
      <c r="K122" s="27" t="str">
        <f>IF('Curve Header Data'!G123="","",'Curve Header Data'!G123)</f>
        <v/>
      </c>
      <c r="L122" s="27" t="str">
        <f>IF('Curve Header Data'!H123="","",'Curve Header Data'!H123)</f>
        <v/>
      </c>
      <c r="M122" s="27" t="str">
        <f>IF('Curve Header Data'!I123="","",'Curve Header Data'!I123)</f>
        <v/>
      </c>
      <c r="N122" s="27" t="str">
        <f>IF('Curve Header Data'!J123="","",'Curve Header Data'!J123*$E$3)</f>
        <v/>
      </c>
      <c r="O122" s="27">
        <f>IF('Curve Header Data'!S123="","",'Curve Header Data'!S123*$J$2)</f>
        <v>0</v>
      </c>
      <c r="P122" s="27">
        <f>IF('Curve Header Data'!T123="","",'Curve Header Data'!T123*$J$3)</f>
        <v>0</v>
      </c>
      <c r="Q122" s="27" t="str">
        <f>IF('Curve Header Data'!U123="","",'Curve Header Data'!U123)</f>
        <v/>
      </c>
      <c r="R122" s="27" t="str">
        <f>IF('Curve Header Data'!V123="","",'Curve Header Data'!V123)</f>
        <v>0</v>
      </c>
      <c r="S122" s="27" t="str">
        <f>IF('Curve Header Data'!W123="","",'Curve Header Data'!W123)</f>
        <v/>
      </c>
    </row>
    <row r="123" spans="1:19" x14ac:dyDescent="0.2">
      <c r="A123" s="38" t="str">
        <f>IF('Curve Header Data'!A124="","",'Curve Header Data'!A124)</f>
        <v/>
      </c>
      <c r="B123" s="38" t="str">
        <f>IF('Curve Header Data'!C124="","",'Curve Header Data'!C124)</f>
        <v/>
      </c>
      <c r="C123" s="38" t="str">
        <f>IF('Curve Header Data'!D124="","",'Curve Header Data'!D124)</f>
        <v/>
      </c>
      <c r="D123" s="38" t="str">
        <f>IF('Curve Header Data'!E124="","",'Curve Header Data'!E124)</f>
        <v/>
      </c>
      <c r="E123" s="38" t="str">
        <f>IF('Curve Header Data'!B124="","",'Curve Header Data'!B124)</f>
        <v/>
      </c>
      <c r="F123" s="38" t="str">
        <f>IF('Curve Header Data'!K124="","",'Curve Header Data'!K124*$E$2)</f>
        <v/>
      </c>
      <c r="G123" s="38" t="str">
        <f>IF('Curve Header Data'!L124="","",'Curve Header Data'!L124*$E$2)</f>
        <v/>
      </c>
      <c r="H123" s="38">
        <f>IF('Curve Header Data'!N124="","",'Curve Header Data'!N124)</f>
        <v>1</v>
      </c>
      <c r="I123" s="38">
        <f>IF('Curve Header Data'!O124="","",'Curve Header Data'!O124)</f>
        <v>5</v>
      </c>
      <c r="J123" s="27" t="str">
        <f>IF('Curve Header Data'!M124="","",'Curve Header Data'!M124)</f>
        <v/>
      </c>
      <c r="K123" s="27" t="str">
        <f>IF('Curve Header Data'!G124="","",'Curve Header Data'!G124)</f>
        <v/>
      </c>
      <c r="L123" s="27" t="str">
        <f>IF('Curve Header Data'!H124="","",'Curve Header Data'!H124)</f>
        <v/>
      </c>
      <c r="M123" s="27" t="str">
        <f>IF('Curve Header Data'!I124="","",'Curve Header Data'!I124)</f>
        <v/>
      </c>
      <c r="N123" s="27" t="str">
        <f>IF('Curve Header Data'!J124="","",'Curve Header Data'!J124*$E$3)</f>
        <v/>
      </c>
      <c r="O123" s="27">
        <f>IF('Curve Header Data'!S124="","",'Curve Header Data'!S124*$J$2)</f>
        <v>0</v>
      </c>
      <c r="P123" s="27">
        <f>IF('Curve Header Data'!T124="","",'Curve Header Data'!T124*$J$3)</f>
        <v>0</v>
      </c>
      <c r="Q123" s="27" t="str">
        <f>IF('Curve Header Data'!U124="","",'Curve Header Data'!U124)</f>
        <v/>
      </c>
      <c r="R123" s="27" t="str">
        <f>IF('Curve Header Data'!V124="","",'Curve Header Data'!V124)</f>
        <v>0</v>
      </c>
      <c r="S123" s="27" t="str">
        <f>IF('Curve Header Data'!W124="","",'Curve Header Data'!W124)</f>
        <v/>
      </c>
    </row>
    <row r="124" spans="1:19" x14ac:dyDescent="0.2">
      <c r="A124" s="38" t="str">
        <f>IF('Curve Header Data'!A125="","",'Curve Header Data'!A125)</f>
        <v/>
      </c>
      <c r="B124" s="38" t="str">
        <f>IF('Curve Header Data'!C125="","",'Curve Header Data'!C125)</f>
        <v/>
      </c>
      <c r="C124" s="38" t="str">
        <f>IF('Curve Header Data'!D125="","",'Curve Header Data'!D125)</f>
        <v/>
      </c>
      <c r="D124" s="38" t="str">
        <f>IF('Curve Header Data'!E125="","",'Curve Header Data'!E125)</f>
        <v/>
      </c>
      <c r="E124" s="38" t="str">
        <f>IF('Curve Header Data'!B125="","",'Curve Header Data'!B125)</f>
        <v/>
      </c>
      <c r="F124" s="38" t="str">
        <f>IF('Curve Header Data'!K125="","",'Curve Header Data'!K125*$E$2)</f>
        <v/>
      </c>
      <c r="G124" s="38" t="str">
        <f>IF('Curve Header Data'!L125="","",'Curve Header Data'!L125*$E$2)</f>
        <v/>
      </c>
      <c r="H124" s="38">
        <f>IF('Curve Header Data'!N125="","",'Curve Header Data'!N125)</f>
        <v>1</v>
      </c>
      <c r="I124" s="38">
        <f>IF('Curve Header Data'!O125="","",'Curve Header Data'!O125)</f>
        <v>5</v>
      </c>
      <c r="J124" s="27" t="str">
        <f>IF('Curve Header Data'!M125="","",'Curve Header Data'!M125)</f>
        <v/>
      </c>
      <c r="K124" s="27" t="str">
        <f>IF('Curve Header Data'!G125="","",'Curve Header Data'!G125)</f>
        <v/>
      </c>
      <c r="L124" s="27" t="str">
        <f>IF('Curve Header Data'!H125="","",'Curve Header Data'!H125)</f>
        <v/>
      </c>
      <c r="M124" s="27" t="str">
        <f>IF('Curve Header Data'!I125="","",'Curve Header Data'!I125)</f>
        <v/>
      </c>
      <c r="N124" s="27" t="str">
        <f>IF('Curve Header Data'!J125="","",'Curve Header Data'!J125*$E$3)</f>
        <v/>
      </c>
      <c r="O124" s="27">
        <f>IF('Curve Header Data'!S125="","",'Curve Header Data'!S125*$J$2)</f>
        <v>0</v>
      </c>
      <c r="P124" s="27">
        <f>IF('Curve Header Data'!T125="","",'Curve Header Data'!T125*$J$3)</f>
        <v>0</v>
      </c>
      <c r="Q124" s="27" t="str">
        <f>IF('Curve Header Data'!U125="","",'Curve Header Data'!U125)</f>
        <v/>
      </c>
      <c r="R124" s="27" t="str">
        <f>IF('Curve Header Data'!V125="","",'Curve Header Data'!V125)</f>
        <v>0</v>
      </c>
      <c r="S124" s="27" t="str">
        <f>IF('Curve Header Data'!W125="","",'Curve Header Data'!W125)</f>
        <v/>
      </c>
    </row>
    <row r="125" spans="1:19" x14ac:dyDescent="0.2">
      <c r="A125" s="38" t="str">
        <f>IF('Curve Header Data'!A126="","",'Curve Header Data'!A126)</f>
        <v/>
      </c>
      <c r="B125" s="38" t="str">
        <f>IF('Curve Header Data'!C126="","",'Curve Header Data'!C126)</f>
        <v/>
      </c>
      <c r="C125" s="38" t="str">
        <f>IF('Curve Header Data'!D126="","",'Curve Header Data'!D126)</f>
        <v/>
      </c>
      <c r="D125" s="38" t="str">
        <f>IF('Curve Header Data'!E126="","",'Curve Header Data'!E126)</f>
        <v/>
      </c>
      <c r="E125" s="38" t="str">
        <f>IF('Curve Header Data'!B126="","",'Curve Header Data'!B126)</f>
        <v/>
      </c>
      <c r="F125" s="38" t="str">
        <f>IF('Curve Header Data'!K126="","",'Curve Header Data'!K126*$E$2)</f>
        <v/>
      </c>
      <c r="G125" s="38" t="str">
        <f>IF('Curve Header Data'!L126="","",'Curve Header Data'!L126*$E$2)</f>
        <v/>
      </c>
      <c r="H125" s="38">
        <f>IF('Curve Header Data'!N126="","",'Curve Header Data'!N126)</f>
        <v>1</v>
      </c>
      <c r="I125" s="38">
        <f>IF('Curve Header Data'!O126="","",'Curve Header Data'!O126)</f>
        <v>5</v>
      </c>
      <c r="J125" s="27" t="str">
        <f>IF('Curve Header Data'!M126="","",'Curve Header Data'!M126)</f>
        <v/>
      </c>
      <c r="K125" s="27" t="str">
        <f>IF('Curve Header Data'!G126="","",'Curve Header Data'!G126)</f>
        <v/>
      </c>
      <c r="L125" s="27" t="str">
        <f>IF('Curve Header Data'!H126="","",'Curve Header Data'!H126)</f>
        <v/>
      </c>
      <c r="M125" s="27" t="str">
        <f>IF('Curve Header Data'!I126="","",'Curve Header Data'!I126)</f>
        <v/>
      </c>
      <c r="N125" s="27" t="str">
        <f>IF('Curve Header Data'!J126="","",'Curve Header Data'!J126*$E$3)</f>
        <v/>
      </c>
      <c r="O125" s="27">
        <f>IF('Curve Header Data'!S126="","",'Curve Header Data'!S126*$J$2)</f>
        <v>0</v>
      </c>
      <c r="P125" s="27">
        <f>IF('Curve Header Data'!T126="","",'Curve Header Data'!T126*$J$3)</f>
        <v>0</v>
      </c>
      <c r="Q125" s="27" t="str">
        <f>IF('Curve Header Data'!U126="","",'Curve Header Data'!U126)</f>
        <v/>
      </c>
      <c r="R125" s="27" t="str">
        <f>IF('Curve Header Data'!V126="","",'Curve Header Data'!V126)</f>
        <v>0</v>
      </c>
      <c r="S125" s="27" t="str">
        <f>IF('Curve Header Data'!W126="","",'Curve Header Data'!W126)</f>
        <v/>
      </c>
    </row>
    <row r="126" spans="1:19" x14ac:dyDescent="0.2">
      <c r="A126" s="38" t="str">
        <f>IF('Curve Header Data'!A127="","",'Curve Header Data'!A127)</f>
        <v/>
      </c>
      <c r="B126" s="38" t="str">
        <f>IF('Curve Header Data'!C127="","",'Curve Header Data'!C127)</f>
        <v/>
      </c>
      <c r="C126" s="38" t="str">
        <f>IF('Curve Header Data'!D127="","",'Curve Header Data'!D127)</f>
        <v/>
      </c>
      <c r="D126" s="38" t="str">
        <f>IF('Curve Header Data'!E127="","",'Curve Header Data'!E127)</f>
        <v/>
      </c>
      <c r="E126" s="38" t="str">
        <f>IF('Curve Header Data'!B127="","",'Curve Header Data'!B127)</f>
        <v/>
      </c>
      <c r="F126" s="38" t="str">
        <f>IF('Curve Header Data'!K127="","",'Curve Header Data'!K127*$E$2)</f>
        <v/>
      </c>
      <c r="G126" s="38" t="str">
        <f>IF('Curve Header Data'!L127="","",'Curve Header Data'!L127*$E$2)</f>
        <v/>
      </c>
      <c r="H126" s="38">
        <f>IF('Curve Header Data'!N127="","",'Curve Header Data'!N127)</f>
        <v>1</v>
      </c>
      <c r="I126" s="38">
        <f>IF('Curve Header Data'!O127="","",'Curve Header Data'!O127)</f>
        <v>5</v>
      </c>
      <c r="J126" s="27" t="str">
        <f>IF('Curve Header Data'!M127="","",'Curve Header Data'!M127)</f>
        <v/>
      </c>
      <c r="K126" s="27" t="str">
        <f>IF('Curve Header Data'!G127="","",'Curve Header Data'!G127)</f>
        <v/>
      </c>
      <c r="L126" s="27" t="str">
        <f>IF('Curve Header Data'!H127="","",'Curve Header Data'!H127)</f>
        <v/>
      </c>
      <c r="M126" s="27" t="str">
        <f>IF('Curve Header Data'!I127="","",'Curve Header Data'!I127)</f>
        <v/>
      </c>
      <c r="N126" s="27" t="str">
        <f>IF('Curve Header Data'!J127="","",'Curve Header Data'!J127*$E$3)</f>
        <v/>
      </c>
      <c r="O126" s="27">
        <f>IF('Curve Header Data'!S127="","",'Curve Header Data'!S127*$J$2)</f>
        <v>0</v>
      </c>
      <c r="P126" s="27">
        <f>IF('Curve Header Data'!T127="","",'Curve Header Data'!T127*$J$3)</f>
        <v>0</v>
      </c>
      <c r="Q126" s="27" t="str">
        <f>IF('Curve Header Data'!U127="","",'Curve Header Data'!U127)</f>
        <v/>
      </c>
      <c r="R126" s="27" t="str">
        <f>IF('Curve Header Data'!V127="","",'Curve Header Data'!V127)</f>
        <v>0</v>
      </c>
      <c r="S126" s="27" t="str">
        <f>IF('Curve Header Data'!W127="","",'Curve Header Data'!W127)</f>
        <v/>
      </c>
    </row>
    <row r="127" spans="1:19" x14ac:dyDescent="0.2">
      <c r="A127" s="38" t="str">
        <f>IF('Curve Header Data'!A128="","",'Curve Header Data'!A128)</f>
        <v/>
      </c>
      <c r="B127" s="38" t="str">
        <f>IF('Curve Header Data'!C128="","",'Curve Header Data'!C128)</f>
        <v/>
      </c>
      <c r="C127" s="38" t="str">
        <f>IF('Curve Header Data'!D128="","",'Curve Header Data'!D128)</f>
        <v/>
      </c>
      <c r="D127" s="38" t="str">
        <f>IF('Curve Header Data'!E128="","",'Curve Header Data'!E128)</f>
        <v/>
      </c>
      <c r="E127" s="38" t="str">
        <f>IF('Curve Header Data'!B128="","",'Curve Header Data'!B128)</f>
        <v/>
      </c>
      <c r="F127" s="38" t="str">
        <f>IF('Curve Header Data'!K128="","",'Curve Header Data'!K128*$E$2)</f>
        <v/>
      </c>
      <c r="G127" s="38" t="str">
        <f>IF('Curve Header Data'!L128="","",'Curve Header Data'!L128*$E$2)</f>
        <v/>
      </c>
      <c r="H127" s="38">
        <f>IF('Curve Header Data'!N128="","",'Curve Header Data'!N128)</f>
        <v>1</v>
      </c>
      <c r="I127" s="38">
        <f>IF('Curve Header Data'!O128="","",'Curve Header Data'!O128)</f>
        <v>5</v>
      </c>
      <c r="J127" s="27" t="str">
        <f>IF('Curve Header Data'!M128="","",'Curve Header Data'!M128)</f>
        <v/>
      </c>
      <c r="K127" s="27" t="str">
        <f>IF('Curve Header Data'!G128="","",'Curve Header Data'!G128)</f>
        <v/>
      </c>
      <c r="L127" s="27" t="str">
        <f>IF('Curve Header Data'!H128="","",'Curve Header Data'!H128)</f>
        <v/>
      </c>
      <c r="M127" s="27" t="str">
        <f>IF('Curve Header Data'!I128="","",'Curve Header Data'!I128)</f>
        <v/>
      </c>
      <c r="N127" s="27" t="str">
        <f>IF('Curve Header Data'!J128="","",'Curve Header Data'!J128*$E$3)</f>
        <v/>
      </c>
      <c r="O127" s="27">
        <f>IF('Curve Header Data'!S128="","",'Curve Header Data'!S128*$J$2)</f>
        <v>0</v>
      </c>
      <c r="P127" s="27">
        <f>IF('Curve Header Data'!T128="","",'Curve Header Data'!T128*$J$3)</f>
        <v>0</v>
      </c>
      <c r="Q127" s="27" t="str">
        <f>IF('Curve Header Data'!U128="","",'Curve Header Data'!U128)</f>
        <v/>
      </c>
      <c r="R127" s="27" t="str">
        <f>IF('Curve Header Data'!V128="","",'Curve Header Data'!V128)</f>
        <v>0</v>
      </c>
      <c r="S127" s="27" t="str">
        <f>IF('Curve Header Data'!W128="","",'Curve Header Data'!W128)</f>
        <v/>
      </c>
    </row>
    <row r="128" spans="1:19" x14ac:dyDescent="0.2">
      <c r="A128" s="38" t="str">
        <f>IF('Curve Header Data'!A129="","",'Curve Header Data'!A129)</f>
        <v/>
      </c>
      <c r="B128" s="38" t="str">
        <f>IF('Curve Header Data'!C129="","",'Curve Header Data'!C129)</f>
        <v/>
      </c>
      <c r="C128" s="38" t="str">
        <f>IF('Curve Header Data'!D129="","",'Curve Header Data'!D129)</f>
        <v/>
      </c>
      <c r="D128" s="38" t="str">
        <f>IF('Curve Header Data'!E129="","",'Curve Header Data'!E129)</f>
        <v/>
      </c>
      <c r="E128" s="38" t="str">
        <f>IF('Curve Header Data'!B129="","",'Curve Header Data'!B129)</f>
        <v/>
      </c>
      <c r="F128" s="38" t="str">
        <f>IF('Curve Header Data'!K129="","",'Curve Header Data'!K129*$E$2)</f>
        <v/>
      </c>
      <c r="G128" s="38" t="str">
        <f>IF('Curve Header Data'!L129="","",'Curve Header Data'!L129*$E$2)</f>
        <v/>
      </c>
      <c r="H128" s="38">
        <f>IF('Curve Header Data'!N129="","",'Curve Header Data'!N129)</f>
        <v>1</v>
      </c>
      <c r="I128" s="38">
        <f>IF('Curve Header Data'!O129="","",'Curve Header Data'!O129)</f>
        <v>5</v>
      </c>
      <c r="J128" s="27" t="str">
        <f>IF('Curve Header Data'!M129="","",'Curve Header Data'!M129)</f>
        <v/>
      </c>
      <c r="K128" s="27" t="str">
        <f>IF('Curve Header Data'!G129="","",'Curve Header Data'!G129)</f>
        <v/>
      </c>
      <c r="L128" s="27" t="str">
        <f>IF('Curve Header Data'!H129="","",'Curve Header Data'!H129)</f>
        <v/>
      </c>
      <c r="M128" s="27" t="str">
        <f>IF('Curve Header Data'!I129="","",'Curve Header Data'!I129)</f>
        <v/>
      </c>
      <c r="N128" s="27" t="str">
        <f>IF('Curve Header Data'!J129="","",'Curve Header Data'!J129*$E$3)</f>
        <v/>
      </c>
      <c r="O128" s="27">
        <f>IF('Curve Header Data'!S129="","",'Curve Header Data'!S129*$J$2)</f>
        <v>0</v>
      </c>
      <c r="P128" s="27">
        <f>IF('Curve Header Data'!T129="","",'Curve Header Data'!T129*$J$3)</f>
        <v>0</v>
      </c>
      <c r="Q128" s="27" t="str">
        <f>IF('Curve Header Data'!U129="","",'Curve Header Data'!U129)</f>
        <v/>
      </c>
      <c r="R128" s="27" t="str">
        <f>IF('Curve Header Data'!V129="","",'Curve Header Data'!V129)</f>
        <v>0</v>
      </c>
      <c r="S128" s="27" t="str">
        <f>IF('Curve Header Data'!W129="","",'Curve Header Data'!W129)</f>
        <v/>
      </c>
    </row>
    <row r="129" spans="1:19" x14ac:dyDescent="0.2">
      <c r="A129" s="38" t="str">
        <f>IF('Curve Header Data'!A130="","",'Curve Header Data'!A130)</f>
        <v/>
      </c>
      <c r="B129" s="38" t="str">
        <f>IF('Curve Header Data'!C130="","",'Curve Header Data'!C130)</f>
        <v/>
      </c>
      <c r="C129" s="38" t="str">
        <f>IF('Curve Header Data'!D130="","",'Curve Header Data'!D130)</f>
        <v/>
      </c>
      <c r="D129" s="38" t="str">
        <f>IF('Curve Header Data'!E130="","",'Curve Header Data'!E130)</f>
        <v/>
      </c>
      <c r="E129" s="38" t="str">
        <f>IF('Curve Header Data'!B130="","",'Curve Header Data'!B130)</f>
        <v/>
      </c>
      <c r="F129" s="38" t="str">
        <f>IF('Curve Header Data'!K130="","",'Curve Header Data'!K130*$E$2)</f>
        <v/>
      </c>
      <c r="G129" s="38" t="str">
        <f>IF('Curve Header Data'!L130="","",'Curve Header Data'!L130*$E$2)</f>
        <v/>
      </c>
      <c r="H129" s="38">
        <f>IF('Curve Header Data'!N130="","",'Curve Header Data'!N130)</f>
        <v>1</v>
      </c>
      <c r="I129" s="38">
        <f>IF('Curve Header Data'!O130="","",'Curve Header Data'!O130)</f>
        <v>5</v>
      </c>
      <c r="J129" s="27" t="str">
        <f>IF('Curve Header Data'!M130="","",'Curve Header Data'!M130)</f>
        <v/>
      </c>
      <c r="K129" s="27" t="str">
        <f>IF('Curve Header Data'!G130="","",'Curve Header Data'!G130)</f>
        <v/>
      </c>
      <c r="L129" s="27" t="str">
        <f>IF('Curve Header Data'!H130="","",'Curve Header Data'!H130)</f>
        <v/>
      </c>
      <c r="M129" s="27" t="str">
        <f>IF('Curve Header Data'!I130="","",'Curve Header Data'!I130)</f>
        <v/>
      </c>
      <c r="N129" s="27" t="str">
        <f>IF('Curve Header Data'!J130="","",'Curve Header Data'!J130*$E$3)</f>
        <v/>
      </c>
      <c r="O129" s="27">
        <f>IF('Curve Header Data'!S130="","",'Curve Header Data'!S130*$J$2)</f>
        <v>0</v>
      </c>
      <c r="P129" s="27">
        <f>IF('Curve Header Data'!T130="","",'Curve Header Data'!T130*$J$3)</f>
        <v>0</v>
      </c>
      <c r="Q129" s="27" t="str">
        <f>IF('Curve Header Data'!U130="","",'Curve Header Data'!U130)</f>
        <v/>
      </c>
      <c r="R129" s="27" t="str">
        <f>IF('Curve Header Data'!V130="","",'Curve Header Data'!V130)</f>
        <v>0</v>
      </c>
      <c r="S129" s="27" t="str">
        <f>IF('Curve Header Data'!W130="","",'Curve Header Data'!W130)</f>
        <v/>
      </c>
    </row>
    <row r="130" spans="1:19" x14ac:dyDescent="0.2">
      <c r="A130" s="38" t="str">
        <f>IF('Curve Header Data'!A131="","",'Curve Header Data'!A131)</f>
        <v/>
      </c>
      <c r="B130" s="38" t="str">
        <f>IF('Curve Header Data'!C131="","",'Curve Header Data'!C131)</f>
        <v/>
      </c>
      <c r="C130" s="38" t="str">
        <f>IF('Curve Header Data'!D131="","",'Curve Header Data'!D131)</f>
        <v/>
      </c>
      <c r="D130" s="38" t="str">
        <f>IF('Curve Header Data'!E131="","",'Curve Header Data'!E131)</f>
        <v/>
      </c>
      <c r="E130" s="38" t="str">
        <f>IF('Curve Header Data'!B131="","",'Curve Header Data'!B131)</f>
        <v/>
      </c>
      <c r="F130" s="38" t="str">
        <f>IF('Curve Header Data'!K131="","",'Curve Header Data'!K131*$E$2)</f>
        <v/>
      </c>
      <c r="G130" s="38" t="str">
        <f>IF('Curve Header Data'!L131="","",'Curve Header Data'!L131*$E$2)</f>
        <v/>
      </c>
      <c r="H130" s="38">
        <f>IF('Curve Header Data'!N131="","",'Curve Header Data'!N131)</f>
        <v>1</v>
      </c>
      <c r="I130" s="38">
        <f>IF('Curve Header Data'!O131="","",'Curve Header Data'!O131)</f>
        <v>5</v>
      </c>
      <c r="J130" s="27" t="str">
        <f>IF('Curve Header Data'!M131="","",'Curve Header Data'!M131)</f>
        <v/>
      </c>
      <c r="K130" s="27" t="str">
        <f>IF('Curve Header Data'!G131="","",'Curve Header Data'!G131)</f>
        <v/>
      </c>
      <c r="L130" s="27" t="str">
        <f>IF('Curve Header Data'!H131="","",'Curve Header Data'!H131)</f>
        <v/>
      </c>
      <c r="M130" s="27" t="str">
        <f>IF('Curve Header Data'!I131="","",'Curve Header Data'!I131)</f>
        <v/>
      </c>
      <c r="N130" s="27" t="str">
        <f>IF('Curve Header Data'!J131="","",'Curve Header Data'!J131*$E$3)</f>
        <v/>
      </c>
      <c r="O130" s="27">
        <f>IF('Curve Header Data'!S131="","",'Curve Header Data'!S131*$J$2)</f>
        <v>0</v>
      </c>
      <c r="P130" s="27">
        <f>IF('Curve Header Data'!T131="","",'Curve Header Data'!T131*$J$3)</f>
        <v>0</v>
      </c>
      <c r="Q130" s="27" t="str">
        <f>IF('Curve Header Data'!U131="","",'Curve Header Data'!U131)</f>
        <v/>
      </c>
      <c r="R130" s="27" t="str">
        <f>IF('Curve Header Data'!V131="","",'Curve Header Data'!V131)</f>
        <v>0</v>
      </c>
      <c r="S130" s="27" t="str">
        <f>IF('Curve Header Data'!W131="","",'Curve Header Data'!W131)</f>
        <v/>
      </c>
    </row>
    <row r="131" spans="1:19" x14ac:dyDescent="0.2">
      <c r="A131" s="38" t="str">
        <f>IF('Curve Header Data'!A132="","",'Curve Header Data'!A132)</f>
        <v/>
      </c>
      <c r="B131" s="38" t="str">
        <f>IF('Curve Header Data'!C132="","",'Curve Header Data'!C132)</f>
        <v/>
      </c>
      <c r="C131" s="38" t="str">
        <f>IF('Curve Header Data'!D132="","",'Curve Header Data'!D132)</f>
        <v/>
      </c>
      <c r="D131" s="38" t="str">
        <f>IF('Curve Header Data'!E132="","",'Curve Header Data'!E132)</f>
        <v/>
      </c>
      <c r="E131" s="38" t="str">
        <f>IF('Curve Header Data'!B132="","",'Curve Header Data'!B132)</f>
        <v/>
      </c>
      <c r="F131" s="38" t="str">
        <f>IF('Curve Header Data'!K132="","",'Curve Header Data'!K132*$E$2)</f>
        <v/>
      </c>
      <c r="G131" s="38" t="str">
        <f>IF('Curve Header Data'!L132="","",'Curve Header Data'!L132*$E$2)</f>
        <v/>
      </c>
      <c r="H131" s="38">
        <f>IF('Curve Header Data'!N132="","",'Curve Header Data'!N132)</f>
        <v>1</v>
      </c>
      <c r="I131" s="38">
        <f>IF('Curve Header Data'!O132="","",'Curve Header Data'!O132)</f>
        <v>5</v>
      </c>
      <c r="J131" s="27" t="str">
        <f>IF('Curve Header Data'!M132="","",'Curve Header Data'!M132)</f>
        <v/>
      </c>
      <c r="K131" s="27" t="str">
        <f>IF('Curve Header Data'!G132="","",'Curve Header Data'!G132)</f>
        <v/>
      </c>
      <c r="L131" s="27" t="str">
        <f>IF('Curve Header Data'!H132="","",'Curve Header Data'!H132)</f>
        <v/>
      </c>
      <c r="M131" s="27" t="str">
        <f>IF('Curve Header Data'!I132="","",'Curve Header Data'!I132)</f>
        <v/>
      </c>
      <c r="N131" s="27" t="str">
        <f>IF('Curve Header Data'!J132="","",'Curve Header Data'!J132*$E$3)</f>
        <v/>
      </c>
      <c r="O131" s="27">
        <f>IF('Curve Header Data'!S132="","",'Curve Header Data'!S132*$J$2)</f>
        <v>0</v>
      </c>
      <c r="P131" s="27">
        <f>IF('Curve Header Data'!T132="","",'Curve Header Data'!T132*$J$3)</f>
        <v>0</v>
      </c>
      <c r="Q131" s="27" t="str">
        <f>IF('Curve Header Data'!U132="","",'Curve Header Data'!U132)</f>
        <v/>
      </c>
      <c r="R131" s="27" t="str">
        <f>IF('Curve Header Data'!V132="","",'Curve Header Data'!V132)</f>
        <v>0</v>
      </c>
      <c r="S131" s="27" t="str">
        <f>IF('Curve Header Data'!W132="","",'Curve Header Data'!W132)</f>
        <v/>
      </c>
    </row>
    <row r="132" spans="1:19" x14ac:dyDescent="0.2">
      <c r="A132" s="38" t="str">
        <f>IF('Curve Header Data'!A133="","",'Curve Header Data'!A133)</f>
        <v/>
      </c>
      <c r="B132" s="38" t="str">
        <f>IF('Curve Header Data'!C133="","",'Curve Header Data'!C133)</f>
        <v/>
      </c>
      <c r="C132" s="38" t="str">
        <f>IF('Curve Header Data'!D133="","",'Curve Header Data'!D133)</f>
        <v/>
      </c>
      <c r="D132" s="38" t="str">
        <f>IF('Curve Header Data'!E133="","",'Curve Header Data'!E133)</f>
        <v/>
      </c>
      <c r="E132" s="38" t="str">
        <f>IF('Curve Header Data'!B133="","",'Curve Header Data'!B133)</f>
        <v/>
      </c>
      <c r="F132" s="38" t="str">
        <f>IF('Curve Header Data'!K133="","",'Curve Header Data'!K133*$E$2)</f>
        <v/>
      </c>
      <c r="G132" s="38" t="str">
        <f>IF('Curve Header Data'!L133="","",'Curve Header Data'!L133*$E$2)</f>
        <v/>
      </c>
      <c r="H132" s="38">
        <f>IF('Curve Header Data'!N133="","",'Curve Header Data'!N133)</f>
        <v>1</v>
      </c>
      <c r="I132" s="38">
        <f>IF('Curve Header Data'!O133="","",'Curve Header Data'!O133)</f>
        <v>5</v>
      </c>
      <c r="J132" s="27" t="str">
        <f>IF('Curve Header Data'!M133="","",'Curve Header Data'!M133)</f>
        <v/>
      </c>
      <c r="K132" s="27" t="str">
        <f>IF('Curve Header Data'!G133="","",'Curve Header Data'!G133)</f>
        <v/>
      </c>
      <c r="L132" s="27" t="str">
        <f>IF('Curve Header Data'!H133="","",'Curve Header Data'!H133)</f>
        <v/>
      </c>
      <c r="M132" s="27" t="str">
        <f>IF('Curve Header Data'!I133="","",'Curve Header Data'!I133)</f>
        <v/>
      </c>
      <c r="N132" s="27" t="str">
        <f>IF('Curve Header Data'!J133="","",'Curve Header Data'!J133*$E$3)</f>
        <v/>
      </c>
      <c r="O132" s="27">
        <f>IF('Curve Header Data'!S133="","",'Curve Header Data'!S133*$J$2)</f>
        <v>0</v>
      </c>
      <c r="P132" s="27">
        <f>IF('Curve Header Data'!T133="","",'Curve Header Data'!T133*$J$3)</f>
        <v>0</v>
      </c>
      <c r="Q132" s="27" t="str">
        <f>IF('Curve Header Data'!U133="","",'Curve Header Data'!U133)</f>
        <v/>
      </c>
      <c r="R132" s="27" t="str">
        <f>IF('Curve Header Data'!V133="","",'Curve Header Data'!V133)</f>
        <v>0</v>
      </c>
      <c r="S132" s="27" t="str">
        <f>IF('Curve Header Data'!W133="","",'Curve Header Data'!W133)</f>
        <v/>
      </c>
    </row>
    <row r="133" spans="1:19" x14ac:dyDescent="0.2">
      <c r="A133" s="38" t="str">
        <f>IF('Curve Header Data'!A134="","",'Curve Header Data'!A134)</f>
        <v/>
      </c>
      <c r="B133" s="38" t="str">
        <f>IF('Curve Header Data'!C134="","",'Curve Header Data'!C134)</f>
        <v/>
      </c>
      <c r="C133" s="38" t="str">
        <f>IF('Curve Header Data'!D134="","",'Curve Header Data'!D134)</f>
        <v/>
      </c>
      <c r="D133" s="38" t="str">
        <f>IF('Curve Header Data'!E134="","",'Curve Header Data'!E134)</f>
        <v/>
      </c>
      <c r="E133" s="38" t="str">
        <f>IF('Curve Header Data'!B134="","",'Curve Header Data'!B134)</f>
        <v/>
      </c>
      <c r="F133" s="38" t="str">
        <f>IF('Curve Header Data'!K134="","",'Curve Header Data'!K134*$E$2)</f>
        <v/>
      </c>
      <c r="G133" s="38" t="str">
        <f>IF('Curve Header Data'!L134="","",'Curve Header Data'!L134*$E$2)</f>
        <v/>
      </c>
      <c r="H133" s="38">
        <f>IF('Curve Header Data'!N134="","",'Curve Header Data'!N134)</f>
        <v>1</v>
      </c>
      <c r="I133" s="38">
        <f>IF('Curve Header Data'!O134="","",'Curve Header Data'!O134)</f>
        <v>5</v>
      </c>
      <c r="J133" s="27" t="str">
        <f>IF('Curve Header Data'!M134="","",'Curve Header Data'!M134)</f>
        <v/>
      </c>
      <c r="K133" s="27" t="str">
        <f>IF('Curve Header Data'!G134="","",'Curve Header Data'!G134)</f>
        <v/>
      </c>
      <c r="L133" s="27" t="str">
        <f>IF('Curve Header Data'!H134="","",'Curve Header Data'!H134)</f>
        <v/>
      </c>
      <c r="M133" s="27" t="str">
        <f>IF('Curve Header Data'!I134="","",'Curve Header Data'!I134)</f>
        <v/>
      </c>
      <c r="N133" s="27" t="str">
        <f>IF('Curve Header Data'!J134="","",'Curve Header Data'!J134*$E$3)</f>
        <v/>
      </c>
      <c r="O133" s="27">
        <f>IF('Curve Header Data'!S134="","",'Curve Header Data'!S134*$J$2)</f>
        <v>0</v>
      </c>
      <c r="P133" s="27">
        <f>IF('Curve Header Data'!T134="","",'Curve Header Data'!T134*$J$3)</f>
        <v>0</v>
      </c>
      <c r="Q133" s="27" t="str">
        <f>IF('Curve Header Data'!U134="","",'Curve Header Data'!U134)</f>
        <v/>
      </c>
      <c r="R133" s="27" t="str">
        <f>IF('Curve Header Data'!V134="","",'Curve Header Data'!V134)</f>
        <v>0</v>
      </c>
      <c r="S133" s="27" t="str">
        <f>IF('Curve Header Data'!W134="","",'Curve Header Data'!W134)</f>
        <v/>
      </c>
    </row>
    <row r="134" spans="1:19" x14ac:dyDescent="0.2">
      <c r="A134" s="38" t="str">
        <f>IF('Curve Header Data'!A135="","",'Curve Header Data'!A135)</f>
        <v/>
      </c>
      <c r="B134" s="38" t="str">
        <f>IF('Curve Header Data'!C135="","",'Curve Header Data'!C135)</f>
        <v/>
      </c>
      <c r="C134" s="38" t="str">
        <f>IF('Curve Header Data'!D135="","",'Curve Header Data'!D135)</f>
        <v/>
      </c>
      <c r="D134" s="38" t="str">
        <f>IF('Curve Header Data'!E135="","",'Curve Header Data'!E135)</f>
        <v/>
      </c>
      <c r="E134" s="38" t="str">
        <f>IF('Curve Header Data'!B135="","",'Curve Header Data'!B135)</f>
        <v/>
      </c>
      <c r="F134" s="38" t="str">
        <f>IF('Curve Header Data'!K135="","",'Curve Header Data'!K135*$E$2)</f>
        <v/>
      </c>
      <c r="G134" s="38" t="str">
        <f>IF('Curve Header Data'!L135="","",'Curve Header Data'!L135*$E$2)</f>
        <v/>
      </c>
      <c r="H134" s="38">
        <f>IF('Curve Header Data'!N135="","",'Curve Header Data'!N135)</f>
        <v>1</v>
      </c>
      <c r="I134" s="38">
        <f>IF('Curve Header Data'!O135="","",'Curve Header Data'!O135)</f>
        <v>5</v>
      </c>
      <c r="J134" s="27" t="str">
        <f>IF('Curve Header Data'!M135="","",'Curve Header Data'!M135)</f>
        <v/>
      </c>
      <c r="K134" s="27" t="str">
        <f>IF('Curve Header Data'!G135="","",'Curve Header Data'!G135)</f>
        <v/>
      </c>
      <c r="L134" s="27" t="str">
        <f>IF('Curve Header Data'!H135="","",'Curve Header Data'!H135)</f>
        <v/>
      </c>
      <c r="M134" s="27" t="str">
        <f>IF('Curve Header Data'!I135="","",'Curve Header Data'!I135)</f>
        <v/>
      </c>
      <c r="N134" s="27" t="str">
        <f>IF('Curve Header Data'!J135="","",'Curve Header Data'!J135*$E$3)</f>
        <v/>
      </c>
      <c r="O134" s="27">
        <f>IF('Curve Header Data'!S135="","",'Curve Header Data'!S135*$J$2)</f>
        <v>0</v>
      </c>
      <c r="P134" s="27">
        <f>IF('Curve Header Data'!T135="","",'Curve Header Data'!T135*$J$3)</f>
        <v>0</v>
      </c>
      <c r="Q134" s="27" t="str">
        <f>IF('Curve Header Data'!U135="","",'Curve Header Data'!U135)</f>
        <v/>
      </c>
      <c r="R134" s="27" t="str">
        <f>IF('Curve Header Data'!V135="","",'Curve Header Data'!V135)</f>
        <v>0</v>
      </c>
      <c r="S134" s="27" t="str">
        <f>IF('Curve Header Data'!W135="","",'Curve Header Data'!W135)</f>
        <v/>
      </c>
    </row>
    <row r="135" spans="1:19" x14ac:dyDescent="0.2">
      <c r="A135" s="38" t="str">
        <f>IF('Curve Header Data'!A136="","",'Curve Header Data'!A136)</f>
        <v/>
      </c>
      <c r="B135" s="38" t="str">
        <f>IF('Curve Header Data'!C136="","",'Curve Header Data'!C136)</f>
        <v/>
      </c>
      <c r="C135" s="38" t="str">
        <f>IF('Curve Header Data'!D136="","",'Curve Header Data'!D136)</f>
        <v/>
      </c>
      <c r="D135" s="38" t="str">
        <f>IF('Curve Header Data'!E136="","",'Curve Header Data'!E136)</f>
        <v/>
      </c>
      <c r="E135" s="38" t="str">
        <f>IF('Curve Header Data'!B136="","",'Curve Header Data'!B136)</f>
        <v/>
      </c>
      <c r="F135" s="38" t="str">
        <f>IF('Curve Header Data'!K136="","",'Curve Header Data'!K136*$E$2)</f>
        <v/>
      </c>
      <c r="G135" s="38" t="str">
        <f>IF('Curve Header Data'!L136="","",'Curve Header Data'!L136*$E$2)</f>
        <v/>
      </c>
      <c r="H135" s="38">
        <f>IF('Curve Header Data'!N136="","",'Curve Header Data'!N136)</f>
        <v>1</v>
      </c>
      <c r="I135" s="38">
        <f>IF('Curve Header Data'!O136="","",'Curve Header Data'!O136)</f>
        <v>5</v>
      </c>
      <c r="J135" s="27" t="str">
        <f>IF('Curve Header Data'!M136="","",'Curve Header Data'!M136)</f>
        <v/>
      </c>
      <c r="K135" s="27" t="str">
        <f>IF('Curve Header Data'!G136="","",'Curve Header Data'!G136)</f>
        <v/>
      </c>
      <c r="L135" s="27" t="str">
        <f>IF('Curve Header Data'!H136="","",'Curve Header Data'!H136)</f>
        <v/>
      </c>
      <c r="M135" s="27" t="str">
        <f>IF('Curve Header Data'!I136="","",'Curve Header Data'!I136)</f>
        <v/>
      </c>
      <c r="N135" s="27" t="str">
        <f>IF('Curve Header Data'!J136="","",'Curve Header Data'!J136*$E$3)</f>
        <v/>
      </c>
      <c r="O135" s="27">
        <f>IF('Curve Header Data'!S136="","",'Curve Header Data'!S136*$J$2)</f>
        <v>0</v>
      </c>
      <c r="P135" s="27">
        <f>IF('Curve Header Data'!T136="","",'Curve Header Data'!T136*$J$3)</f>
        <v>0</v>
      </c>
      <c r="Q135" s="27" t="str">
        <f>IF('Curve Header Data'!U136="","",'Curve Header Data'!U136)</f>
        <v/>
      </c>
      <c r="R135" s="27" t="str">
        <f>IF('Curve Header Data'!V136="","",'Curve Header Data'!V136)</f>
        <v>0</v>
      </c>
      <c r="S135" s="27" t="str">
        <f>IF('Curve Header Data'!W136="","",'Curve Header Data'!W136)</f>
        <v/>
      </c>
    </row>
    <row r="136" spans="1:19" x14ac:dyDescent="0.2">
      <c r="A136" s="38" t="str">
        <f>IF('Curve Header Data'!A137="","",'Curve Header Data'!A137)</f>
        <v/>
      </c>
      <c r="B136" s="38" t="str">
        <f>IF('Curve Header Data'!C137="","",'Curve Header Data'!C137)</f>
        <v/>
      </c>
      <c r="C136" s="38" t="str">
        <f>IF('Curve Header Data'!D137="","",'Curve Header Data'!D137)</f>
        <v/>
      </c>
      <c r="D136" s="38" t="str">
        <f>IF('Curve Header Data'!E137="","",'Curve Header Data'!E137)</f>
        <v/>
      </c>
      <c r="E136" s="38" t="str">
        <f>IF('Curve Header Data'!B137="","",'Curve Header Data'!B137)</f>
        <v/>
      </c>
      <c r="F136" s="38" t="str">
        <f>IF('Curve Header Data'!K137="","",'Curve Header Data'!K137*$E$2)</f>
        <v/>
      </c>
      <c r="G136" s="38" t="str">
        <f>IF('Curve Header Data'!L137="","",'Curve Header Data'!L137*$E$2)</f>
        <v/>
      </c>
      <c r="H136" s="38">
        <f>IF('Curve Header Data'!N137="","",'Curve Header Data'!N137)</f>
        <v>1</v>
      </c>
      <c r="I136" s="38">
        <f>IF('Curve Header Data'!O137="","",'Curve Header Data'!O137)</f>
        <v>5</v>
      </c>
      <c r="J136" s="27" t="str">
        <f>IF('Curve Header Data'!M137="","",'Curve Header Data'!M137)</f>
        <v/>
      </c>
      <c r="K136" s="27" t="str">
        <f>IF('Curve Header Data'!G137="","",'Curve Header Data'!G137)</f>
        <v/>
      </c>
      <c r="L136" s="27" t="str">
        <f>IF('Curve Header Data'!H137="","",'Curve Header Data'!H137)</f>
        <v/>
      </c>
      <c r="M136" s="27" t="str">
        <f>IF('Curve Header Data'!I137="","",'Curve Header Data'!I137)</f>
        <v/>
      </c>
      <c r="N136" s="27" t="str">
        <f>IF('Curve Header Data'!J137="","",'Curve Header Data'!J137*$E$3)</f>
        <v/>
      </c>
      <c r="O136" s="27">
        <f>IF('Curve Header Data'!S137="","",'Curve Header Data'!S137*$J$2)</f>
        <v>0</v>
      </c>
      <c r="P136" s="27">
        <f>IF('Curve Header Data'!T137="","",'Curve Header Data'!T137*$J$3)</f>
        <v>0</v>
      </c>
      <c r="Q136" s="27" t="str">
        <f>IF('Curve Header Data'!U137="","",'Curve Header Data'!U137)</f>
        <v/>
      </c>
      <c r="R136" s="27" t="str">
        <f>IF('Curve Header Data'!V137="","",'Curve Header Data'!V137)</f>
        <v>0</v>
      </c>
      <c r="S136" s="27" t="str">
        <f>IF('Curve Header Data'!W137="","",'Curve Header Data'!W137)</f>
        <v/>
      </c>
    </row>
    <row r="137" spans="1:19" x14ac:dyDescent="0.2">
      <c r="A137" s="38" t="str">
        <f>IF('Curve Header Data'!A138="","",'Curve Header Data'!A138)</f>
        <v/>
      </c>
      <c r="B137" s="38" t="str">
        <f>IF('Curve Header Data'!C138="","",'Curve Header Data'!C138)</f>
        <v/>
      </c>
      <c r="C137" s="38" t="str">
        <f>IF('Curve Header Data'!D138="","",'Curve Header Data'!D138)</f>
        <v/>
      </c>
      <c r="D137" s="38" t="str">
        <f>IF('Curve Header Data'!E138="","",'Curve Header Data'!E138)</f>
        <v/>
      </c>
      <c r="E137" s="38" t="str">
        <f>IF('Curve Header Data'!B138="","",'Curve Header Data'!B138)</f>
        <v/>
      </c>
      <c r="F137" s="38" t="str">
        <f>IF('Curve Header Data'!K138="","",'Curve Header Data'!K138*$E$2)</f>
        <v/>
      </c>
      <c r="G137" s="38" t="str">
        <f>IF('Curve Header Data'!L138="","",'Curve Header Data'!L138*$E$2)</f>
        <v/>
      </c>
      <c r="H137" s="38">
        <f>IF('Curve Header Data'!N138="","",'Curve Header Data'!N138)</f>
        <v>1</v>
      </c>
      <c r="I137" s="38">
        <f>IF('Curve Header Data'!O138="","",'Curve Header Data'!O138)</f>
        <v>5</v>
      </c>
      <c r="J137" s="27" t="str">
        <f>IF('Curve Header Data'!M138="","",'Curve Header Data'!M138)</f>
        <v/>
      </c>
      <c r="K137" s="27" t="str">
        <f>IF('Curve Header Data'!G138="","",'Curve Header Data'!G138)</f>
        <v/>
      </c>
      <c r="L137" s="27" t="str">
        <f>IF('Curve Header Data'!H138="","",'Curve Header Data'!H138)</f>
        <v/>
      </c>
      <c r="M137" s="27" t="str">
        <f>IF('Curve Header Data'!I138="","",'Curve Header Data'!I138)</f>
        <v/>
      </c>
      <c r="N137" s="27" t="str">
        <f>IF('Curve Header Data'!J138="","",'Curve Header Data'!J138*$E$3)</f>
        <v/>
      </c>
      <c r="O137" s="27">
        <f>IF('Curve Header Data'!S138="","",'Curve Header Data'!S138*$J$2)</f>
        <v>0</v>
      </c>
      <c r="P137" s="27">
        <f>IF('Curve Header Data'!T138="","",'Curve Header Data'!T138*$J$3)</f>
        <v>0</v>
      </c>
      <c r="Q137" s="27" t="str">
        <f>IF('Curve Header Data'!U138="","",'Curve Header Data'!U138)</f>
        <v/>
      </c>
      <c r="R137" s="27" t="str">
        <f>IF('Curve Header Data'!V138="","",'Curve Header Data'!V138)</f>
        <v>0</v>
      </c>
      <c r="S137" s="27" t="str">
        <f>IF('Curve Header Data'!W138="","",'Curve Header Data'!W138)</f>
        <v/>
      </c>
    </row>
    <row r="138" spans="1:19" x14ac:dyDescent="0.2">
      <c r="A138" s="38" t="str">
        <f>IF('Curve Header Data'!A139="","",'Curve Header Data'!A139)</f>
        <v/>
      </c>
      <c r="B138" s="38" t="str">
        <f>IF('Curve Header Data'!C139="","",'Curve Header Data'!C139)</f>
        <v/>
      </c>
      <c r="C138" s="38" t="str">
        <f>IF('Curve Header Data'!D139="","",'Curve Header Data'!D139)</f>
        <v/>
      </c>
      <c r="D138" s="38" t="str">
        <f>IF('Curve Header Data'!E139="","",'Curve Header Data'!E139)</f>
        <v/>
      </c>
      <c r="E138" s="38" t="str">
        <f>IF('Curve Header Data'!B139="","",'Curve Header Data'!B139)</f>
        <v/>
      </c>
      <c r="F138" s="38" t="str">
        <f>IF('Curve Header Data'!K139="","",'Curve Header Data'!K139*$E$2)</f>
        <v/>
      </c>
      <c r="G138" s="38" t="str">
        <f>IF('Curve Header Data'!L139="","",'Curve Header Data'!L139*$E$2)</f>
        <v/>
      </c>
      <c r="H138" s="38">
        <f>IF('Curve Header Data'!N139="","",'Curve Header Data'!N139)</f>
        <v>1</v>
      </c>
      <c r="I138" s="38">
        <f>IF('Curve Header Data'!O139="","",'Curve Header Data'!O139)</f>
        <v>5</v>
      </c>
      <c r="J138" s="27" t="str">
        <f>IF('Curve Header Data'!M139="","",'Curve Header Data'!M139)</f>
        <v/>
      </c>
      <c r="K138" s="27" t="str">
        <f>IF('Curve Header Data'!G139="","",'Curve Header Data'!G139)</f>
        <v/>
      </c>
      <c r="L138" s="27" t="str">
        <f>IF('Curve Header Data'!H139="","",'Curve Header Data'!H139)</f>
        <v/>
      </c>
      <c r="M138" s="27" t="str">
        <f>IF('Curve Header Data'!I139="","",'Curve Header Data'!I139)</f>
        <v/>
      </c>
      <c r="N138" s="27" t="str">
        <f>IF('Curve Header Data'!J139="","",'Curve Header Data'!J139*$E$3)</f>
        <v/>
      </c>
      <c r="O138" s="27">
        <f>IF('Curve Header Data'!S139="","",'Curve Header Data'!S139*$J$2)</f>
        <v>0</v>
      </c>
      <c r="P138" s="27">
        <f>IF('Curve Header Data'!T139="","",'Curve Header Data'!T139*$J$3)</f>
        <v>0</v>
      </c>
      <c r="Q138" s="27" t="str">
        <f>IF('Curve Header Data'!U139="","",'Curve Header Data'!U139)</f>
        <v/>
      </c>
      <c r="R138" s="27" t="str">
        <f>IF('Curve Header Data'!V139="","",'Curve Header Data'!V139)</f>
        <v>0</v>
      </c>
      <c r="S138" s="27" t="str">
        <f>IF('Curve Header Data'!W139="","",'Curve Header Data'!W139)</f>
        <v/>
      </c>
    </row>
    <row r="139" spans="1:19" x14ac:dyDescent="0.2">
      <c r="A139" s="38" t="str">
        <f>IF('Curve Header Data'!A140="","",'Curve Header Data'!A140)</f>
        <v/>
      </c>
      <c r="B139" s="38" t="str">
        <f>IF('Curve Header Data'!C140="","",'Curve Header Data'!C140)</f>
        <v/>
      </c>
      <c r="C139" s="38" t="str">
        <f>IF('Curve Header Data'!D140="","",'Curve Header Data'!D140)</f>
        <v/>
      </c>
      <c r="D139" s="38" t="str">
        <f>IF('Curve Header Data'!E140="","",'Curve Header Data'!E140)</f>
        <v/>
      </c>
      <c r="E139" s="38" t="str">
        <f>IF('Curve Header Data'!B140="","",'Curve Header Data'!B140)</f>
        <v/>
      </c>
      <c r="F139" s="38" t="str">
        <f>IF('Curve Header Data'!K140="","",'Curve Header Data'!K140*$E$2)</f>
        <v/>
      </c>
      <c r="G139" s="38" t="str">
        <f>IF('Curve Header Data'!L140="","",'Curve Header Data'!L140*$E$2)</f>
        <v/>
      </c>
      <c r="H139" s="38">
        <f>IF('Curve Header Data'!N140="","",'Curve Header Data'!N140)</f>
        <v>1</v>
      </c>
      <c r="I139" s="38">
        <f>IF('Curve Header Data'!O140="","",'Curve Header Data'!O140)</f>
        <v>5</v>
      </c>
      <c r="J139" s="27" t="str">
        <f>IF('Curve Header Data'!M140="","",'Curve Header Data'!M140)</f>
        <v/>
      </c>
      <c r="K139" s="27" t="str">
        <f>IF('Curve Header Data'!G140="","",'Curve Header Data'!G140)</f>
        <v/>
      </c>
      <c r="L139" s="27" t="str">
        <f>IF('Curve Header Data'!H140="","",'Curve Header Data'!H140)</f>
        <v/>
      </c>
      <c r="M139" s="27" t="str">
        <f>IF('Curve Header Data'!I140="","",'Curve Header Data'!I140)</f>
        <v/>
      </c>
      <c r="N139" s="27" t="str">
        <f>IF('Curve Header Data'!J140="","",'Curve Header Data'!J140*$E$3)</f>
        <v/>
      </c>
      <c r="O139" s="27">
        <f>IF('Curve Header Data'!S140="","",'Curve Header Data'!S140*$J$2)</f>
        <v>0</v>
      </c>
      <c r="P139" s="27">
        <f>IF('Curve Header Data'!T140="","",'Curve Header Data'!T140*$J$3)</f>
        <v>0</v>
      </c>
      <c r="Q139" s="27" t="str">
        <f>IF('Curve Header Data'!U140="","",'Curve Header Data'!U140)</f>
        <v/>
      </c>
      <c r="R139" s="27" t="str">
        <f>IF('Curve Header Data'!V140="","",'Curve Header Data'!V140)</f>
        <v>0</v>
      </c>
      <c r="S139" s="27" t="str">
        <f>IF('Curve Header Data'!W140="","",'Curve Header Data'!W140)</f>
        <v/>
      </c>
    </row>
    <row r="140" spans="1:19" x14ac:dyDescent="0.2">
      <c r="A140" s="38" t="str">
        <f>IF('Curve Header Data'!A141="","",'Curve Header Data'!A141)</f>
        <v/>
      </c>
      <c r="B140" s="38" t="str">
        <f>IF('Curve Header Data'!C141="","",'Curve Header Data'!C141)</f>
        <v/>
      </c>
      <c r="C140" s="38" t="str">
        <f>IF('Curve Header Data'!D141="","",'Curve Header Data'!D141)</f>
        <v/>
      </c>
      <c r="D140" s="38" t="str">
        <f>IF('Curve Header Data'!E141="","",'Curve Header Data'!E141)</f>
        <v/>
      </c>
      <c r="E140" s="38" t="str">
        <f>IF('Curve Header Data'!B141="","",'Curve Header Data'!B141)</f>
        <v/>
      </c>
      <c r="F140" s="38" t="str">
        <f>IF('Curve Header Data'!K141="","",'Curve Header Data'!K141*$E$2)</f>
        <v/>
      </c>
      <c r="G140" s="38" t="str">
        <f>IF('Curve Header Data'!L141="","",'Curve Header Data'!L141*$E$2)</f>
        <v/>
      </c>
      <c r="H140" s="38">
        <f>IF('Curve Header Data'!N141="","",'Curve Header Data'!N141)</f>
        <v>1</v>
      </c>
      <c r="I140" s="38">
        <f>IF('Curve Header Data'!O141="","",'Curve Header Data'!O141)</f>
        <v>5</v>
      </c>
      <c r="J140" s="27" t="str">
        <f>IF('Curve Header Data'!M141="","",'Curve Header Data'!M141)</f>
        <v/>
      </c>
      <c r="K140" s="27" t="str">
        <f>IF('Curve Header Data'!G141="","",'Curve Header Data'!G141)</f>
        <v/>
      </c>
      <c r="L140" s="27" t="str">
        <f>IF('Curve Header Data'!H141="","",'Curve Header Data'!H141)</f>
        <v/>
      </c>
      <c r="M140" s="27" t="str">
        <f>IF('Curve Header Data'!I141="","",'Curve Header Data'!I141)</f>
        <v/>
      </c>
      <c r="N140" s="27" t="str">
        <f>IF('Curve Header Data'!J141="","",'Curve Header Data'!J141*$E$3)</f>
        <v/>
      </c>
      <c r="O140" s="27">
        <f>IF('Curve Header Data'!S141="","",'Curve Header Data'!S141*$J$2)</f>
        <v>0</v>
      </c>
      <c r="P140" s="27">
        <f>IF('Curve Header Data'!T141="","",'Curve Header Data'!T141*$J$3)</f>
        <v>0</v>
      </c>
      <c r="Q140" s="27" t="str">
        <f>IF('Curve Header Data'!U141="","",'Curve Header Data'!U141)</f>
        <v/>
      </c>
      <c r="R140" s="27" t="str">
        <f>IF('Curve Header Data'!V141="","",'Curve Header Data'!V141)</f>
        <v>0</v>
      </c>
      <c r="S140" s="27" t="str">
        <f>IF('Curve Header Data'!W141="","",'Curve Header Data'!W141)</f>
        <v/>
      </c>
    </row>
    <row r="141" spans="1:19" x14ac:dyDescent="0.2">
      <c r="A141" s="38" t="str">
        <f>IF('Curve Header Data'!A142="","",'Curve Header Data'!A142)</f>
        <v/>
      </c>
      <c r="B141" s="38" t="str">
        <f>IF('Curve Header Data'!C142="","",'Curve Header Data'!C142)</f>
        <v/>
      </c>
      <c r="C141" s="38" t="str">
        <f>IF('Curve Header Data'!D142="","",'Curve Header Data'!D142)</f>
        <v/>
      </c>
      <c r="D141" s="38" t="str">
        <f>IF('Curve Header Data'!E142="","",'Curve Header Data'!E142)</f>
        <v/>
      </c>
      <c r="E141" s="38" t="str">
        <f>IF('Curve Header Data'!B142="","",'Curve Header Data'!B142)</f>
        <v/>
      </c>
      <c r="F141" s="38" t="str">
        <f>IF('Curve Header Data'!K142="","",'Curve Header Data'!K142*$E$2)</f>
        <v/>
      </c>
      <c r="G141" s="38" t="str">
        <f>IF('Curve Header Data'!L142="","",'Curve Header Data'!L142*$E$2)</f>
        <v/>
      </c>
      <c r="H141" s="38">
        <f>IF('Curve Header Data'!N142="","",'Curve Header Data'!N142)</f>
        <v>1</v>
      </c>
      <c r="I141" s="38">
        <f>IF('Curve Header Data'!O142="","",'Curve Header Data'!O142)</f>
        <v>5</v>
      </c>
      <c r="J141" s="27" t="str">
        <f>IF('Curve Header Data'!M142="","",'Curve Header Data'!M142)</f>
        <v/>
      </c>
      <c r="K141" s="27" t="str">
        <f>IF('Curve Header Data'!G142="","",'Curve Header Data'!G142)</f>
        <v/>
      </c>
      <c r="L141" s="27" t="str">
        <f>IF('Curve Header Data'!H142="","",'Curve Header Data'!H142)</f>
        <v/>
      </c>
      <c r="M141" s="27" t="str">
        <f>IF('Curve Header Data'!I142="","",'Curve Header Data'!I142)</f>
        <v/>
      </c>
      <c r="N141" s="27" t="str">
        <f>IF('Curve Header Data'!J142="","",'Curve Header Data'!J142*$E$3)</f>
        <v/>
      </c>
      <c r="O141" s="27">
        <f>IF('Curve Header Data'!S142="","",'Curve Header Data'!S142*$J$2)</f>
        <v>0</v>
      </c>
      <c r="P141" s="27">
        <f>IF('Curve Header Data'!T142="","",'Curve Header Data'!T142*$J$3)</f>
        <v>0</v>
      </c>
      <c r="Q141" s="27" t="str">
        <f>IF('Curve Header Data'!U142="","",'Curve Header Data'!U142)</f>
        <v/>
      </c>
      <c r="R141" s="27" t="str">
        <f>IF('Curve Header Data'!V142="","",'Curve Header Data'!V142)</f>
        <v>0</v>
      </c>
      <c r="S141" s="27" t="str">
        <f>IF('Curve Header Data'!W142="","",'Curve Header Data'!W142)</f>
        <v/>
      </c>
    </row>
    <row r="142" spans="1:19" x14ac:dyDescent="0.2">
      <c r="A142" s="38" t="str">
        <f>IF('Curve Header Data'!A143="","",'Curve Header Data'!A143)</f>
        <v/>
      </c>
      <c r="B142" s="38" t="str">
        <f>IF('Curve Header Data'!C143="","",'Curve Header Data'!C143)</f>
        <v/>
      </c>
      <c r="C142" s="38" t="str">
        <f>IF('Curve Header Data'!D143="","",'Curve Header Data'!D143)</f>
        <v/>
      </c>
      <c r="D142" s="38" t="str">
        <f>IF('Curve Header Data'!E143="","",'Curve Header Data'!E143)</f>
        <v/>
      </c>
      <c r="E142" s="38" t="str">
        <f>IF('Curve Header Data'!B143="","",'Curve Header Data'!B143)</f>
        <v/>
      </c>
      <c r="F142" s="38" t="str">
        <f>IF('Curve Header Data'!K143="","",'Curve Header Data'!K143*$E$2)</f>
        <v/>
      </c>
      <c r="G142" s="38" t="str">
        <f>IF('Curve Header Data'!L143="","",'Curve Header Data'!L143*$E$2)</f>
        <v/>
      </c>
      <c r="H142" s="38">
        <f>IF('Curve Header Data'!N143="","",'Curve Header Data'!N143)</f>
        <v>1</v>
      </c>
      <c r="I142" s="38">
        <f>IF('Curve Header Data'!O143="","",'Curve Header Data'!O143)</f>
        <v>5</v>
      </c>
      <c r="J142" s="27" t="str">
        <f>IF('Curve Header Data'!M143="","",'Curve Header Data'!M143)</f>
        <v/>
      </c>
      <c r="K142" s="27" t="str">
        <f>IF('Curve Header Data'!G143="","",'Curve Header Data'!G143)</f>
        <v/>
      </c>
      <c r="L142" s="27" t="str">
        <f>IF('Curve Header Data'!H143="","",'Curve Header Data'!H143)</f>
        <v/>
      </c>
      <c r="M142" s="27" t="str">
        <f>IF('Curve Header Data'!I143="","",'Curve Header Data'!I143)</f>
        <v/>
      </c>
      <c r="N142" s="27" t="str">
        <f>IF('Curve Header Data'!J143="","",'Curve Header Data'!J143*$E$3)</f>
        <v/>
      </c>
      <c r="O142" s="27">
        <f>IF('Curve Header Data'!S143="","",'Curve Header Data'!S143*$J$2)</f>
        <v>0</v>
      </c>
      <c r="P142" s="27">
        <f>IF('Curve Header Data'!T143="","",'Curve Header Data'!T143*$J$3)</f>
        <v>0</v>
      </c>
      <c r="Q142" s="27" t="str">
        <f>IF('Curve Header Data'!U143="","",'Curve Header Data'!U143)</f>
        <v/>
      </c>
      <c r="R142" s="27" t="str">
        <f>IF('Curve Header Data'!V143="","",'Curve Header Data'!V143)</f>
        <v>0</v>
      </c>
      <c r="S142" s="27" t="str">
        <f>IF('Curve Header Data'!W143="","",'Curve Header Data'!W143)</f>
        <v/>
      </c>
    </row>
    <row r="143" spans="1:19" x14ac:dyDescent="0.2">
      <c r="A143" s="38" t="str">
        <f>IF('Curve Header Data'!A144="","",'Curve Header Data'!A144)</f>
        <v/>
      </c>
      <c r="B143" s="38" t="str">
        <f>IF('Curve Header Data'!C144="","",'Curve Header Data'!C144)</f>
        <v/>
      </c>
      <c r="C143" s="38" t="str">
        <f>IF('Curve Header Data'!D144="","",'Curve Header Data'!D144)</f>
        <v/>
      </c>
      <c r="D143" s="38" t="str">
        <f>IF('Curve Header Data'!E144="","",'Curve Header Data'!E144)</f>
        <v/>
      </c>
      <c r="E143" s="38" t="str">
        <f>IF('Curve Header Data'!B144="","",'Curve Header Data'!B144)</f>
        <v/>
      </c>
      <c r="F143" s="38" t="str">
        <f>IF('Curve Header Data'!K144="","",'Curve Header Data'!K144*$E$2)</f>
        <v/>
      </c>
      <c r="G143" s="38" t="str">
        <f>IF('Curve Header Data'!L144="","",'Curve Header Data'!L144*$E$2)</f>
        <v/>
      </c>
      <c r="H143" s="38">
        <f>IF('Curve Header Data'!N144="","",'Curve Header Data'!N144)</f>
        <v>1</v>
      </c>
      <c r="I143" s="38">
        <f>IF('Curve Header Data'!O144="","",'Curve Header Data'!O144)</f>
        <v>5</v>
      </c>
      <c r="J143" s="27" t="str">
        <f>IF('Curve Header Data'!M144="","",'Curve Header Data'!M144)</f>
        <v/>
      </c>
      <c r="K143" s="27" t="str">
        <f>IF('Curve Header Data'!G144="","",'Curve Header Data'!G144)</f>
        <v/>
      </c>
      <c r="L143" s="27" t="str">
        <f>IF('Curve Header Data'!H144="","",'Curve Header Data'!H144)</f>
        <v/>
      </c>
      <c r="M143" s="27" t="str">
        <f>IF('Curve Header Data'!I144="","",'Curve Header Data'!I144)</f>
        <v/>
      </c>
      <c r="N143" s="27" t="str">
        <f>IF('Curve Header Data'!J144="","",'Curve Header Data'!J144*$E$3)</f>
        <v/>
      </c>
      <c r="O143" s="27">
        <f>IF('Curve Header Data'!S144="","",'Curve Header Data'!S144*$J$2)</f>
        <v>0</v>
      </c>
      <c r="P143" s="27">
        <f>IF('Curve Header Data'!T144="","",'Curve Header Data'!T144*$J$3)</f>
        <v>0</v>
      </c>
      <c r="Q143" s="27" t="str">
        <f>IF('Curve Header Data'!U144="","",'Curve Header Data'!U144)</f>
        <v/>
      </c>
      <c r="R143" s="27" t="str">
        <f>IF('Curve Header Data'!V144="","",'Curve Header Data'!V144)</f>
        <v>0</v>
      </c>
      <c r="S143" s="27" t="str">
        <f>IF('Curve Header Data'!W144="","",'Curve Header Data'!W144)</f>
        <v/>
      </c>
    </row>
    <row r="144" spans="1:19" x14ac:dyDescent="0.2">
      <c r="A144" s="38" t="str">
        <f>IF('Curve Header Data'!A145="","",'Curve Header Data'!A145)</f>
        <v/>
      </c>
      <c r="B144" s="38" t="str">
        <f>IF('Curve Header Data'!C145="","",'Curve Header Data'!C145)</f>
        <v/>
      </c>
      <c r="C144" s="38" t="str">
        <f>IF('Curve Header Data'!D145="","",'Curve Header Data'!D145)</f>
        <v/>
      </c>
      <c r="D144" s="38" t="str">
        <f>IF('Curve Header Data'!E145="","",'Curve Header Data'!E145)</f>
        <v/>
      </c>
      <c r="E144" s="38" t="str">
        <f>IF('Curve Header Data'!B145="","",'Curve Header Data'!B145)</f>
        <v/>
      </c>
      <c r="F144" s="38" t="str">
        <f>IF('Curve Header Data'!K145="","",'Curve Header Data'!K145*$E$2)</f>
        <v/>
      </c>
      <c r="G144" s="38" t="str">
        <f>IF('Curve Header Data'!L145="","",'Curve Header Data'!L145*$E$2)</f>
        <v/>
      </c>
      <c r="H144" s="38">
        <f>IF('Curve Header Data'!N145="","",'Curve Header Data'!N145)</f>
        <v>1</v>
      </c>
      <c r="I144" s="38">
        <f>IF('Curve Header Data'!O145="","",'Curve Header Data'!O145)</f>
        <v>5</v>
      </c>
      <c r="J144" s="27" t="str">
        <f>IF('Curve Header Data'!M145="","",'Curve Header Data'!M145)</f>
        <v/>
      </c>
      <c r="K144" s="27" t="str">
        <f>IF('Curve Header Data'!G145="","",'Curve Header Data'!G145)</f>
        <v/>
      </c>
      <c r="L144" s="27" t="str">
        <f>IF('Curve Header Data'!H145="","",'Curve Header Data'!H145)</f>
        <v/>
      </c>
      <c r="M144" s="27" t="str">
        <f>IF('Curve Header Data'!I145="","",'Curve Header Data'!I145)</f>
        <v/>
      </c>
      <c r="N144" s="27" t="str">
        <f>IF('Curve Header Data'!J145="","",'Curve Header Data'!J145*$E$3)</f>
        <v/>
      </c>
      <c r="O144" s="27">
        <f>IF('Curve Header Data'!S145="","",'Curve Header Data'!S145*$J$2)</f>
        <v>0</v>
      </c>
      <c r="P144" s="27">
        <f>IF('Curve Header Data'!T145="","",'Curve Header Data'!T145*$J$3)</f>
        <v>0</v>
      </c>
      <c r="Q144" s="27" t="str">
        <f>IF('Curve Header Data'!U145="","",'Curve Header Data'!U145)</f>
        <v/>
      </c>
      <c r="R144" s="27" t="str">
        <f>IF('Curve Header Data'!V145="","",'Curve Header Data'!V145)</f>
        <v>0</v>
      </c>
      <c r="S144" s="27" t="str">
        <f>IF('Curve Header Data'!W145="","",'Curve Header Data'!W145)</f>
        <v/>
      </c>
    </row>
    <row r="145" spans="1:19" x14ac:dyDescent="0.2">
      <c r="A145" s="38" t="str">
        <f>IF('Curve Header Data'!A146="","",'Curve Header Data'!A146)</f>
        <v/>
      </c>
      <c r="B145" s="38" t="str">
        <f>IF('Curve Header Data'!C146="","",'Curve Header Data'!C146)</f>
        <v/>
      </c>
      <c r="C145" s="38" t="str">
        <f>IF('Curve Header Data'!D146="","",'Curve Header Data'!D146)</f>
        <v/>
      </c>
      <c r="D145" s="38" t="str">
        <f>IF('Curve Header Data'!E146="","",'Curve Header Data'!E146)</f>
        <v/>
      </c>
      <c r="E145" s="38" t="str">
        <f>IF('Curve Header Data'!B146="","",'Curve Header Data'!B146)</f>
        <v/>
      </c>
      <c r="F145" s="38" t="str">
        <f>IF('Curve Header Data'!K146="","",'Curve Header Data'!K146*$E$2)</f>
        <v/>
      </c>
      <c r="G145" s="38" t="str">
        <f>IF('Curve Header Data'!L146="","",'Curve Header Data'!L146*$E$2)</f>
        <v/>
      </c>
      <c r="H145" s="38">
        <f>IF('Curve Header Data'!N146="","",'Curve Header Data'!N146)</f>
        <v>1</v>
      </c>
      <c r="I145" s="38">
        <f>IF('Curve Header Data'!O146="","",'Curve Header Data'!O146)</f>
        <v>5</v>
      </c>
      <c r="J145" s="27" t="str">
        <f>IF('Curve Header Data'!M146="","",'Curve Header Data'!M146)</f>
        <v/>
      </c>
      <c r="K145" s="27" t="str">
        <f>IF('Curve Header Data'!G146="","",'Curve Header Data'!G146)</f>
        <v/>
      </c>
      <c r="L145" s="27" t="str">
        <f>IF('Curve Header Data'!H146="","",'Curve Header Data'!H146)</f>
        <v/>
      </c>
      <c r="M145" s="27" t="str">
        <f>IF('Curve Header Data'!I146="","",'Curve Header Data'!I146)</f>
        <v/>
      </c>
      <c r="N145" s="27" t="str">
        <f>IF('Curve Header Data'!J146="","",'Curve Header Data'!J146*$E$3)</f>
        <v/>
      </c>
      <c r="O145" s="27">
        <f>IF('Curve Header Data'!S146="","",'Curve Header Data'!S146*$J$2)</f>
        <v>0</v>
      </c>
      <c r="P145" s="27">
        <f>IF('Curve Header Data'!T146="","",'Curve Header Data'!T146*$J$3)</f>
        <v>0</v>
      </c>
      <c r="Q145" s="27" t="str">
        <f>IF('Curve Header Data'!U146="","",'Curve Header Data'!U146)</f>
        <v/>
      </c>
      <c r="R145" s="27" t="str">
        <f>IF('Curve Header Data'!V146="","",'Curve Header Data'!V146)</f>
        <v>0</v>
      </c>
      <c r="S145" s="27" t="str">
        <f>IF('Curve Header Data'!W146="","",'Curve Header Data'!W146)</f>
        <v/>
      </c>
    </row>
    <row r="146" spans="1:19" x14ac:dyDescent="0.2">
      <c r="A146" s="38" t="str">
        <f>IF('Curve Header Data'!A147="","",'Curve Header Data'!A147)</f>
        <v/>
      </c>
      <c r="B146" s="38" t="str">
        <f>IF('Curve Header Data'!C147="","",'Curve Header Data'!C147)</f>
        <v/>
      </c>
      <c r="C146" s="38" t="str">
        <f>IF('Curve Header Data'!D147="","",'Curve Header Data'!D147)</f>
        <v/>
      </c>
      <c r="D146" s="38" t="str">
        <f>IF('Curve Header Data'!E147="","",'Curve Header Data'!E147)</f>
        <v/>
      </c>
      <c r="E146" s="38" t="str">
        <f>IF('Curve Header Data'!B147="","",'Curve Header Data'!B147)</f>
        <v/>
      </c>
      <c r="F146" s="38" t="str">
        <f>IF('Curve Header Data'!K147="","",'Curve Header Data'!K147*$E$2)</f>
        <v/>
      </c>
      <c r="G146" s="38" t="str">
        <f>IF('Curve Header Data'!L147="","",'Curve Header Data'!L147*$E$2)</f>
        <v/>
      </c>
      <c r="H146" s="38">
        <f>IF('Curve Header Data'!N147="","",'Curve Header Data'!N147)</f>
        <v>1</v>
      </c>
      <c r="I146" s="38">
        <f>IF('Curve Header Data'!O147="","",'Curve Header Data'!O147)</f>
        <v>5</v>
      </c>
      <c r="J146" s="27" t="str">
        <f>IF('Curve Header Data'!M147="","",'Curve Header Data'!M147)</f>
        <v/>
      </c>
      <c r="K146" s="27" t="str">
        <f>IF('Curve Header Data'!G147="","",'Curve Header Data'!G147)</f>
        <v/>
      </c>
      <c r="L146" s="27" t="str">
        <f>IF('Curve Header Data'!H147="","",'Curve Header Data'!H147)</f>
        <v/>
      </c>
      <c r="M146" s="27" t="str">
        <f>IF('Curve Header Data'!I147="","",'Curve Header Data'!I147)</f>
        <v/>
      </c>
      <c r="N146" s="27" t="str">
        <f>IF('Curve Header Data'!J147="","",'Curve Header Data'!J147*$E$3)</f>
        <v/>
      </c>
      <c r="O146" s="27">
        <f>IF('Curve Header Data'!S147="","",'Curve Header Data'!S147*$J$2)</f>
        <v>0</v>
      </c>
      <c r="P146" s="27">
        <f>IF('Curve Header Data'!T147="","",'Curve Header Data'!T147*$J$3)</f>
        <v>0</v>
      </c>
      <c r="Q146" s="27" t="str">
        <f>IF('Curve Header Data'!U147="","",'Curve Header Data'!U147)</f>
        <v/>
      </c>
      <c r="R146" s="27" t="str">
        <f>IF('Curve Header Data'!V147="","",'Curve Header Data'!V147)</f>
        <v>0</v>
      </c>
      <c r="S146" s="27" t="str">
        <f>IF('Curve Header Data'!W147="","",'Curve Header Data'!W147)</f>
        <v/>
      </c>
    </row>
    <row r="147" spans="1:19" x14ac:dyDescent="0.2">
      <c r="A147" s="38" t="str">
        <f>IF('Curve Header Data'!A148="","",'Curve Header Data'!A148)</f>
        <v/>
      </c>
      <c r="B147" s="38" t="str">
        <f>IF('Curve Header Data'!C148="","",'Curve Header Data'!C148)</f>
        <v/>
      </c>
      <c r="C147" s="38" t="str">
        <f>IF('Curve Header Data'!D148="","",'Curve Header Data'!D148)</f>
        <v/>
      </c>
      <c r="D147" s="38" t="str">
        <f>IF('Curve Header Data'!E148="","",'Curve Header Data'!E148)</f>
        <v/>
      </c>
      <c r="E147" s="38" t="str">
        <f>IF('Curve Header Data'!B148="","",'Curve Header Data'!B148)</f>
        <v/>
      </c>
      <c r="F147" s="38" t="str">
        <f>IF('Curve Header Data'!K148="","",'Curve Header Data'!K148*$E$2)</f>
        <v/>
      </c>
      <c r="G147" s="38" t="str">
        <f>IF('Curve Header Data'!L148="","",'Curve Header Data'!L148*$E$2)</f>
        <v/>
      </c>
      <c r="H147" s="38">
        <f>IF('Curve Header Data'!N148="","",'Curve Header Data'!N148)</f>
        <v>1</v>
      </c>
      <c r="I147" s="38">
        <f>IF('Curve Header Data'!O148="","",'Curve Header Data'!O148)</f>
        <v>5</v>
      </c>
      <c r="J147" s="27" t="str">
        <f>IF('Curve Header Data'!M148="","",'Curve Header Data'!M148)</f>
        <v/>
      </c>
      <c r="K147" s="27" t="str">
        <f>IF('Curve Header Data'!G148="","",'Curve Header Data'!G148)</f>
        <v/>
      </c>
      <c r="L147" s="27" t="str">
        <f>IF('Curve Header Data'!H148="","",'Curve Header Data'!H148)</f>
        <v/>
      </c>
      <c r="M147" s="27" t="str">
        <f>IF('Curve Header Data'!I148="","",'Curve Header Data'!I148)</f>
        <v/>
      </c>
      <c r="N147" s="27" t="str">
        <f>IF('Curve Header Data'!J148="","",'Curve Header Data'!J148*$E$3)</f>
        <v/>
      </c>
      <c r="O147" s="27">
        <f>IF('Curve Header Data'!S148="","",'Curve Header Data'!S148*$J$2)</f>
        <v>0</v>
      </c>
      <c r="P147" s="27">
        <f>IF('Curve Header Data'!T148="","",'Curve Header Data'!T148*$J$3)</f>
        <v>0</v>
      </c>
      <c r="Q147" s="27" t="str">
        <f>IF('Curve Header Data'!U148="","",'Curve Header Data'!U148)</f>
        <v/>
      </c>
      <c r="R147" s="27" t="str">
        <f>IF('Curve Header Data'!V148="","",'Curve Header Data'!V148)</f>
        <v>0</v>
      </c>
      <c r="S147" s="27" t="str">
        <f>IF('Curve Header Data'!W148="","",'Curve Header Data'!W148)</f>
        <v/>
      </c>
    </row>
    <row r="148" spans="1:19" x14ac:dyDescent="0.2">
      <c r="A148" s="38" t="str">
        <f>IF('Curve Header Data'!A149="","",'Curve Header Data'!A149)</f>
        <v/>
      </c>
      <c r="B148" s="38" t="str">
        <f>IF('Curve Header Data'!C149="","",'Curve Header Data'!C149)</f>
        <v/>
      </c>
      <c r="C148" s="38" t="str">
        <f>IF('Curve Header Data'!D149="","",'Curve Header Data'!D149)</f>
        <v/>
      </c>
      <c r="D148" s="38" t="str">
        <f>IF('Curve Header Data'!E149="","",'Curve Header Data'!E149)</f>
        <v/>
      </c>
      <c r="E148" s="38" t="str">
        <f>IF('Curve Header Data'!B149="","",'Curve Header Data'!B149)</f>
        <v/>
      </c>
      <c r="F148" s="38" t="str">
        <f>IF('Curve Header Data'!K149="","",'Curve Header Data'!K149*$E$2)</f>
        <v/>
      </c>
      <c r="G148" s="38" t="str">
        <f>IF('Curve Header Data'!L149="","",'Curve Header Data'!L149*$E$2)</f>
        <v/>
      </c>
      <c r="H148" s="38">
        <f>IF('Curve Header Data'!N149="","",'Curve Header Data'!N149)</f>
        <v>1</v>
      </c>
      <c r="I148" s="38">
        <f>IF('Curve Header Data'!O149="","",'Curve Header Data'!O149)</f>
        <v>5</v>
      </c>
      <c r="J148" s="27" t="str">
        <f>IF('Curve Header Data'!M149="","",'Curve Header Data'!M149)</f>
        <v/>
      </c>
      <c r="K148" s="27" t="str">
        <f>IF('Curve Header Data'!G149="","",'Curve Header Data'!G149)</f>
        <v/>
      </c>
      <c r="L148" s="27" t="str">
        <f>IF('Curve Header Data'!H149="","",'Curve Header Data'!H149)</f>
        <v/>
      </c>
      <c r="M148" s="27" t="str">
        <f>IF('Curve Header Data'!I149="","",'Curve Header Data'!I149)</f>
        <v/>
      </c>
      <c r="N148" s="27" t="str">
        <f>IF('Curve Header Data'!J149="","",'Curve Header Data'!J149*$E$3)</f>
        <v/>
      </c>
      <c r="O148" s="27">
        <f>IF('Curve Header Data'!S149="","",'Curve Header Data'!S149*$J$2)</f>
        <v>0</v>
      </c>
      <c r="P148" s="27">
        <f>IF('Curve Header Data'!T149="","",'Curve Header Data'!T149*$J$3)</f>
        <v>0</v>
      </c>
      <c r="Q148" s="27" t="str">
        <f>IF('Curve Header Data'!U149="","",'Curve Header Data'!U149)</f>
        <v/>
      </c>
      <c r="R148" s="27" t="str">
        <f>IF('Curve Header Data'!V149="","",'Curve Header Data'!V149)</f>
        <v>0</v>
      </c>
      <c r="S148" s="27" t="str">
        <f>IF('Curve Header Data'!W149="","",'Curve Header Data'!W149)</f>
        <v/>
      </c>
    </row>
    <row r="149" spans="1:19" x14ac:dyDescent="0.2">
      <c r="A149" s="38" t="str">
        <f>IF('Curve Header Data'!A150="","",'Curve Header Data'!A150)</f>
        <v/>
      </c>
      <c r="B149" s="38" t="str">
        <f>IF('Curve Header Data'!C150="","",'Curve Header Data'!C150)</f>
        <v/>
      </c>
      <c r="C149" s="38" t="str">
        <f>IF('Curve Header Data'!D150="","",'Curve Header Data'!D150)</f>
        <v/>
      </c>
      <c r="D149" s="38" t="str">
        <f>IF('Curve Header Data'!E150="","",'Curve Header Data'!E150)</f>
        <v/>
      </c>
      <c r="E149" s="38" t="str">
        <f>IF('Curve Header Data'!B150="","",'Curve Header Data'!B150)</f>
        <v/>
      </c>
      <c r="F149" s="38" t="str">
        <f>IF('Curve Header Data'!K150="","",'Curve Header Data'!K150*$E$2)</f>
        <v/>
      </c>
      <c r="G149" s="38" t="str">
        <f>IF('Curve Header Data'!L150="","",'Curve Header Data'!L150*$E$2)</f>
        <v/>
      </c>
      <c r="H149" s="38">
        <f>IF('Curve Header Data'!N150="","",'Curve Header Data'!N150)</f>
        <v>1</v>
      </c>
      <c r="I149" s="38">
        <f>IF('Curve Header Data'!O150="","",'Curve Header Data'!O150)</f>
        <v>5</v>
      </c>
      <c r="J149" s="27" t="str">
        <f>IF('Curve Header Data'!M150="","",'Curve Header Data'!M150)</f>
        <v/>
      </c>
      <c r="K149" s="27" t="str">
        <f>IF('Curve Header Data'!G150="","",'Curve Header Data'!G150)</f>
        <v/>
      </c>
      <c r="L149" s="27" t="str">
        <f>IF('Curve Header Data'!H150="","",'Curve Header Data'!H150)</f>
        <v/>
      </c>
      <c r="M149" s="27" t="str">
        <f>IF('Curve Header Data'!I150="","",'Curve Header Data'!I150)</f>
        <v/>
      </c>
      <c r="N149" s="27" t="str">
        <f>IF('Curve Header Data'!J150="","",'Curve Header Data'!J150*$E$3)</f>
        <v/>
      </c>
      <c r="O149" s="27">
        <f>IF('Curve Header Data'!S150="","",'Curve Header Data'!S150*$J$2)</f>
        <v>0</v>
      </c>
      <c r="P149" s="27">
        <f>IF('Curve Header Data'!T150="","",'Curve Header Data'!T150*$J$3)</f>
        <v>0</v>
      </c>
      <c r="Q149" s="27" t="str">
        <f>IF('Curve Header Data'!U150="","",'Curve Header Data'!U150)</f>
        <v/>
      </c>
      <c r="R149" s="27" t="str">
        <f>IF('Curve Header Data'!V150="","",'Curve Header Data'!V150)</f>
        <v>0</v>
      </c>
      <c r="S149" s="27" t="str">
        <f>IF('Curve Header Data'!W150="","",'Curve Header Data'!W150)</f>
        <v/>
      </c>
    </row>
    <row r="150" spans="1:19" x14ac:dyDescent="0.2">
      <c r="A150" s="38" t="str">
        <f>IF('Curve Header Data'!A151="","",'Curve Header Data'!A151)</f>
        <v/>
      </c>
      <c r="B150" s="38" t="str">
        <f>IF('Curve Header Data'!C151="","",'Curve Header Data'!C151)</f>
        <v/>
      </c>
      <c r="C150" s="38" t="str">
        <f>IF('Curve Header Data'!D151="","",'Curve Header Data'!D151)</f>
        <v/>
      </c>
      <c r="D150" s="38" t="str">
        <f>IF('Curve Header Data'!E151="","",'Curve Header Data'!E151)</f>
        <v/>
      </c>
      <c r="E150" s="38" t="str">
        <f>IF('Curve Header Data'!B151="","",'Curve Header Data'!B151)</f>
        <v/>
      </c>
      <c r="F150" s="38" t="str">
        <f>IF('Curve Header Data'!K151="","",'Curve Header Data'!K151*$E$2)</f>
        <v/>
      </c>
      <c r="G150" s="38" t="str">
        <f>IF('Curve Header Data'!L151="","",'Curve Header Data'!L151*$E$2)</f>
        <v/>
      </c>
      <c r="H150" s="38">
        <f>IF('Curve Header Data'!N151="","",'Curve Header Data'!N151)</f>
        <v>1</v>
      </c>
      <c r="I150" s="38">
        <f>IF('Curve Header Data'!O151="","",'Curve Header Data'!O151)</f>
        <v>5</v>
      </c>
      <c r="J150" s="27" t="str">
        <f>IF('Curve Header Data'!M151="","",'Curve Header Data'!M151)</f>
        <v/>
      </c>
      <c r="K150" s="27" t="str">
        <f>IF('Curve Header Data'!G151="","",'Curve Header Data'!G151)</f>
        <v/>
      </c>
      <c r="L150" s="27" t="str">
        <f>IF('Curve Header Data'!H151="","",'Curve Header Data'!H151)</f>
        <v/>
      </c>
      <c r="M150" s="27" t="str">
        <f>IF('Curve Header Data'!I151="","",'Curve Header Data'!I151)</f>
        <v/>
      </c>
      <c r="N150" s="27" t="str">
        <f>IF('Curve Header Data'!J151="","",'Curve Header Data'!J151*$E$3)</f>
        <v/>
      </c>
      <c r="O150" s="27">
        <f>IF('Curve Header Data'!S151="","",'Curve Header Data'!S151*$J$2)</f>
        <v>0</v>
      </c>
      <c r="P150" s="27">
        <f>IF('Curve Header Data'!T151="","",'Curve Header Data'!T151*$J$3)</f>
        <v>0</v>
      </c>
      <c r="Q150" s="27" t="str">
        <f>IF('Curve Header Data'!U151="","",'Curve Header Data'!U151)</f>
        <v/>
      </c>
      <c r="R150" s="27" t="str">
        <f>IF('Curve Header Data'!V151="","",'Curve Header Data'!V151)</f>
        <v>0</v>
      </c>
      <c r="S150" s="27" t="str">
        <f>IF('Curve Header Data'!W151="","",'Curve Header Data'!W151)</f>
        <v/>
      </c>
    </row>
    <row r="151" spans="1:19" x14ac:dyDescent="0.2">
      <c r="A151" s="38" t="str">
        <f>IF('Curve Header Data'!A152="","",'Curve Header Data'!A152)</f>
        <v/>
      </c>
      <c r="B151" s="38" t="str">
        <f>IF('Curve Header Data'!C152="","",'Curve Header Data'!C152)</f>
        <v/>
      </c>
      <c r="C151" s="38" t="str">
        <f>IF('Curve Header Data'!D152="","",'Curve Header Data'!D152)</f>
        <v/>
      </c>
      <c r="D151" s="38" t="str">
        <f>IF('Curve Header Data'!E152="","",'Curve Header Data'!E152)</f>
        <v/>
      </c>
      <c r="E151" s="38" t="str">
        <f>IF('Curve Header Data'!B152="","",'Curve Header Data'!B152)</f>
        <v/>
      </c>
      <c r="F151" s="38" t="str">
        <f>IF('Curve Header Data'!K152="","",'Curve Header Data'!K152*$E$2)</f>
        <v/>
      </c>
      <c r="G151" s="38" t="str">
        <f>IF('Curve Header Data'!L152="","",'Curve Header Data'!L152*$E$2)</f>
        <v/>
      </c>
      <c r="H151" s="38">
        <f>IF('Curve Header Data'!N152="","",'Curve Header Data'!N152)</f>
        <v>1</v>
      </c>
      <c r="I151" s="38">
        <f>IF('Curve Header Data'!O152="","",'Curve Header Data'!O152)</f>
        <v>5</v>
      </c>
      <c r="J151" s="27" t="str">
        <f>IF('Curve Header Data'!M152="","",'Curve Header Data'!M152)</f>
        <v/>
      </c>
      <c r="K151" s="27" t="str">
        <f>IF('Curve Header Data'!G152="","",'Curve Header Data'!G152)</f>
        <v/>
      </c>
      <c r="L151" s="27" t="str">
        <f>IF('Curve Header Data'!H152="","",'Curve Header Data'!H152)</f>
        <v/>
      </c>
      <c r="M151" s="27" t="str">
        <f>IF('Curve Header Data'!I152="","",'Curve Header Data'!I152)</f>
        <v/>
      </c>
      <c r="N151" s="27" t="str">
        <f>IF('Curve Header Data'!J152="","",'Curve Header Data'!J152*$E$3)</f>
        <v/>
      </c>
      <c r="O151" s="27">
        <f>IF('Curve Header Data'!S152="","",'Curve Header Data'!S152*$J$2)</f>
        <v>0</v>
      </c>
      <c r="P151" s="27">
        <f>IF('Curve Header Data'!T152="","",'Curve Header Data'!T152*$J$3)</f>
        <v>0</v>
      </c>
      <c r="Q151" s="27" t="str">
        <f>IF('Curve Header Data'!U152="","",'Curve Header Data'!U152)</f>
        <v/>
      </c>
      <c r="R151" s="27" t="str">
        <f>IF('Curve Header Data'!V152="","",'Curve Header Data'!V152)</f>
        <v>0</v>
      </c>
      <c r="S151" s="27" t="str">
        <f>IF('Curve Header Data'!W152="","",'Curve Header Data'!W152)</f>
        <v/>
      </c>
    </row>
    <row r="152" spans="1:19" x14ac:dyDescent="0.2">
      <c r="A152" s="38" t="str">
        <f>IF('Curve Header Data'!A153="","",'Curve Header Data'!A153)</f>
        <v/>
      </c>
      <c r="B152" s="38" t="str">
        <f>IF('Curve Header Data'!C153="","",'Curve Header Data'!C153)</f>
        <v/>
      </c>
      <c r="C152" s="38" t="str">
        <f>IF('Curve Header Data'!D153="","",'Curve Header Data'!D153)</f>
        <v/>
      </c>
      <c r="D152" s="38" t="str">
        <f>IF('Curve Header Data'!E153="","",'Curve Header Data'!E153)</f>
        <v/>
      </c>
      <c r="E152" s="38" t="str">
        <f>IF('Curve Header Data'!B153="","",'Curve Header Data'!B153)</f>
        <v/>
      </c>
      <c r="F152" s="38" t="str">
        <f>IF('Curve Header Data'!K153="","",'Curve Header Data'!K153*$E$2)</f>
        <v/>
      </c>
      <c r="G152" s="38" t="str">
        <f>IF('Curve Header Data'!L153="","",'Curve Header Data'!L153*$E$2)</f>
        <v/>
      </c>
      <c r="H152" s="38">
        <f>IF('Curve Header Data'!N153="","",'Curve Header Data'!N153)</f>
        <v>1</v>
      </c>
      <c r="I152" s="38">
        <f>IF('Curve Header Data'!O153="","",'Curve Header Data'!O153)</f>
        <v>5</v>
      </c>
      <c r="J152" s="27" t="str">
        <f>IF('Curve Header Data'!M153="","",'Curve Header Data'!M153)</f>
        <v/>
      </c>
      <c r="K152" s="27" t="str">
        <f>IF('Curve Header Data'!G153="","",'Curve Header Data'!G153)</f>
        <v/>
      </c>
      <c r="L152" s="27" t="str">
        <f>IF('Curve Header Data'!H153="","",'Curve Header Data'!H153)</f>
        <v/>
      </c>
      <c r="M152" s="27" t="str">
        <f>IF('Curve Header Data'!I153="","",'Curve Header Data'!I153)</f>
        <v/>
      </c>
      <c r="N152" s="27" t="str">
        <f>IF('Curve Header Data'!J153="","",'Curve Header Data'!J153*$E$3)</f>
        <v/>
      </c>
      <c r="O152" s="27">
        <f>IF('Curve Header Data'!S153="","",'Curve Header Data'!S153*$J$2)</f>
        <v>0</v>
      </c>
      <c r="P152" s="27">
        <f>IF('Curve Header Data'!T153="","",'Curve Header Data'!T153*$J$3)</f>
        <v>0</v>
      </c>
      <c r="Q152" s="27" t="str">
        <f>IF('Curve Header Data'!U153="","",'Curve Header Data'!U153)</f>
        <v/>
      </c>
      <c r="R152" s="27" t="str">
        <f>IF('Curve Header Data'!V153="","",'Curve Header Data'!V153)</f>
        <v>0</v>
      </c>
      <c r="S152" s="27" t="str">
        <f>IF('Curve Header Data'!W153="","",'Curve Header Data'!W153)</f>
        <v/>
      </c>
    </row>
    <row r="153" spans="1:19" x14ac:dyDescent="0.2">
      <c r="A153" s="38" t="str">
        <f>IF('Curve Header Data'!A154="","",'Curve Header Data'!A154)</f>
        <v/>
      </c>
      <c r="B153" s="38" t="str">
        <f>IF('Curve Header Data'!C154="","",'Curve Header Data'!C154)</f>
        <v/>
      </c>
      <c r="C153" s="38" t="str">
        <f>IF('Curve Header Data'!D154="","",'Curve Header Data'!D154)</f>
        <v/>
      </c>
      <c r="D153" s="38" t="str">
        <f>IF('Curve Header Data'!E154="","",'Curve Header Data'!E154)</f>
        <v/>
      </c>
      <c r="E153" s="38" t="str">
        <f>IF('Curve Header Data'!B154="","",'Curve Header Data'!B154)</f>
        <v/>
      </c>
      <c r="F153" s="38" t="str">
        <f>IF('Curve Header Data'!K154="","",'Curve Header Data'!K154*$E$2)</f>
        <v/>
      </c>
      <c r="G153" s="38" t="str">
        <f>IF('Curve Header Data'!L154="","",'Curve Header Data'!L154*$E$2)</f>
        <v/>
      </c>
      <c r="H153" s="38">
        <f>IF('Curve Header Data'!N154="","",'Curve Header Data'!N154)</f>
        <v>1</v>
      </c>
      <c r="I153" s="38">
        <f>IF('Curve Header Data'!O154="","",'Curve Header Data'!O154)</f>
        <v>5</v>
      </c>
      <c r="J153" s="27" t="str">
        <f>IF('Curve Header Data'!M154="","",'Curve Header Data'!M154)</f>
        <v/>
      </c>
      <c r="K153" s="27" t="str">
        <f>IF('Curve Header Data'!G154="","",'Curve Header Data'!G154)</f>
        <v/>
      </c>
      <c r="L153" s="27" t="str">
        <f>IF('Curve Header Data'!H154="","",'Curve Header Data'!H154)</f>
        <v/>
      </c>
      <c r="M153" s="27" t="str">
        <f>IF('Curve Header Data'!I154="","",'Curve Header Data'!I154)</f>
        <v/>
      </c>
      <c r="N153" s="27" t="str">
        <f>IF('Curve Header Data'!J154="","",'Curve Header Data'!J154*$E$3)</f>
        <v/>
      </c>
      <c r="O153" s="27">
        <f>IF('Curve Header Data'!S154="","",'Curve Header Data'!S154*$J$2)</f>
        <v>0</v>
      </c>
      <c r="P153" s="27">
        <f>IF('Curve Header Data'!T154="","",'Curve Header Data'!T154*$J$3)</f>
        <v>0</v>
      </c>
      <c r="Q153" s="27" t="str">
        <f>IF('Curve Header Data'!U154="","",'Curve Header Data'!U154)</f>
        <v/>
      </c>
      <c r="R153" s="27" t="str">
        <f>IF('Curve Header Data'!V154="","",'Curve Header Data'!V154)</f>
        <v>0</v>
      </c>
      <c r="S153" s="27" t="str">
        <f>IF('Curve Header Data'!W154="","",'Curve Header Data'!W154)</f>
        <v/>
      </c>
    </row>
    <row r="154" spans="1:19" x14ac:dyDescent="0.2">
      <c r="A154" s="38" t="str">
        <f>IF('Curve Header Data'!A155="","",'Curve Header Data'!A155)</f>
        <v/>
      </c>
      <c r="B154" s="38" t="str">
        <f>IF('Curve Header Data'!C155="","",'Curve Header Data'!C155)</f>
        <v/>
      </c>
      <c r="C154" s="38" t="str">
        <f>IF('Curve Header Data'!D155="","",'Curve Header Data'!D155)</f>
        <v/>
      </c>
      <c r="D154" s="38" t="str">
        <f>IF('Curve Header Data'!E155="","",'Curve Header Data'!E155)</f>
        <v/>
      </c>
      <c r="E154" s="38" t="str">
        <f>IF('Curve Header Data'!B155="","",'Curve Header Data'!B155)</f>
        <v/>
      </c>
      <c r="F154" s="38" t="str">
        <f>IF('Curve Header Data'!K155="","",'Curve Header Data'!K155*$E$2)</f>
        <v/>
      </c>
      <c r="G154" s="38" t="str">
        <f>IF('Curve Header Data'!L155="","",'Curve Header Data'!L155*$E$2)</f>
        <v/>
      </c>
      <c r="H154" s="38">
        <f>IF('Curve Header Data'!N155="","",'Curve Header Data'!N155)</f>
        <v>1</v>
      </c>
      <c r="I154" s="38">
        <f>IF('Curve Header Data'!O155="","",'Curve Header Data'!O155)</f>
        <v>5</v>
      </c>
      <c r="J154" s="27" t="str">
        <f>IF('Curve Header Data'!M155="","",'Curve Header Data'!M155)</f>
        <v/>
      </c>
      <c r="K154" s="27" t="str">
        <f>IF('Curve Header Data'!G155="","",'Curve Header Data'!G155)</f>
        <v/>
      </c>
      <c r="L154" s="27" t="str">
        <f>IF('Curve Header Data'!H155="","",'Curve Header Data'!H155)</f>
        <v/>
      </c>
      <c r="M154" s="27" t="str">
        <f>IF('Curve Header Data'!I155="","",'Curve Header Data'!I155)</f>
        <v/>
      </c>
      <c r="N154" s="27" t="str">
        <f>IF('Curve Header Data'!J155="","",'Curve Header Data'!J155*$E$3)</f>
        <v/>
      </c>
      <c r="O154" s="27">
        <f>IF('Curve Header Data'!S155="","",'Curve Header Data'!S155*$J$2)</f>
        <v>0</v>
      </c>
      <c r="P154" s="27">
        <f>IF('Curve Header Data'!T155="","",'Curve Header Data'!T155*$J$3)</f>
        <v>0</v>
      </c>
      <c r="Q154" s="27" t="str">
        <f>IF('Curve Header Data'!U155="","",'Curve Header Data'!U155)</f>
        <v/>
      </c>
      <c r="R154" s="27" t="str">
        <f>IF('Curve Header Data'!V155="","",'Curve Header Data'!V155)</f>
        <v>0</v>
      </c>
      <c r="S154" s="27" t="str">
        <f>IF('Curve Header Data'!W155="","",'Curve Header Data'!W155)</f>
        <v/>
      </c>
    </row>
    <row r="155" spans="1:19" x14ac:dyDescent="0.2">
      <c r="A155" s="38" t="str">
        <f>IF('Curve Header Data'!A156="","",'Curve Header Data'!A156)</f>
        <v/>
      </c>
      <c r="B155" s="38" t="str">
        <f>IF('Curve Header Data'!C156="","",'Curve Header Data'!C156)</f>
        <v/>
      </c>
      <c r="C155" s="38" t="str">
        <f>IF('Curve Header Data'!D156="","",'Curve Header Data'!D156)</f>
        <v/>
      </c>
      <c r="D155" s="38" t="str">
        <f>IF('Curve Header Data'!E156="","",'Curve Header Data'!E156)</f>
        <v/>
      </c>
      <c r="E155" s="38" t="str">
        <f>IF('Curve Header Data'!B156="","",'Curve Header Data'!B156)</f>
        <v/>
      </c>
      <c r="F155" s="38" t="str">
        <f>IF('Curve Header Data'!K156="","",'Curve Header Data'!K156*$E$2)</f>
        <v/>
      </c>
      <c r="G155" s="38" t="str">
        <f>IF('Curve Header Data'!L156="","",'Curve Header Data'!L156*$E$2)</f>
        <v/>
      </c>
      <c r="H155" s="38">
        <f>IF('Curve Header Data'!N156="","",'Curve Header Data'!N156)</f>
        <v>1</v>
      </c>
      <c r="I155" s="38">
        <f>IF('Curve Header Data'!O156="","",'Curve Header Data'!O156)</f>
        <v>5</v>
      </c>
      <c r="J155" s="27" t="str">
        <f>IF('Curve Header Data'!M156="","",'Curve Header Data'!M156)</f>
        <v/>
      </c>
      <c r="K155" s="27" t="str">
        <f>IF('Curve Header Data'!G156="","",'Curve Header Data'!G156)</f>
        <v/>
      </c>
      <c r="L155" s="27" t="str">
        <f>IF('Curve Header Data'!H156="","",'Curve Header Data'!H156)</f>
        <v/>
      </c>
      <c r="M155" s="27" t="str">
        <f>IF('Curve Header Data'!I156="","",'Curve Header Data'!I156)</f>
        <v/>
      </c>
      <c r="N155" s="27" t="str">
        <f>IF('Curve Header Data'!J156="","",'Curve Header Data'!J156*$E$3)</f>
        <v/>
      </c>
      <c r="O155" s="27">
        <f>IF('Curve Header Data'!S156="","",'Curve Header Data'!S156*$J$2)</f>
        <v>0</v>
      </c>
      <c r="P155" s="27">
        <f>IF('Curve Header Data'!T156="","",'Curve Header Data'!T156*$J$3)</f>
        <v>0</v>
      </c>
      <c r="Q155" s="27" t="str">
        <f>IF('Curve Header Data'!U156="","",'Curve Header Data'!U156)</f>
        <v/>
      </c>
      <c r="R155" s="27" t="str">
        <f>IF('Curve Header Data'!V156="","",'Curve Header Data'!V156)</f>
        <v>0</v>
      </c>
      <c r="S155" s="27" t="str">
        <f>IF('Curve Header Data'!W156="","",'Curve Header Data'!W156)</f>
        <v/>
      </c>
    </row>
    <row r="156" spans="1:19" x14ac:dyDescent="0.2">
      <c r="A156" s="38" t="str">
        <f>IF('Curve Header Data'!A157="","",'Curve Header Data'!A157)</f>
        <v/>
      </c>
      <c r="B156" s="38" t="str">
        <f>IF('Curve Header Data'!C157="","",'Curve Header Data'!C157)</f>
        <v/>
      </c>
      <c r="C156" s="38" t="str">
        <f>IF('Curve Header Data'!D157="","",'Curve Header Data'!D157)</f>
        <v/>
      </c>
      <c r="D156" s="38" t="str">
        <f>IF('Curve Header Data'!E157="","",'Curve Header Data'!E157)</f>
        <v/>
      </c>
      <c r="E156" s="38" t="str">
        <f>IF('Curve Header Data'!B157="","",'Curve Header Data'!B157)</f>
        <v/>
      </c>
      <c r="F156" s="38" t="str">
        <f>IF('Curve Header Data'!K157="","",'Curve Header Data'!K157*$E$2)</f>
        <v/>
      </c>
      <c r="G156" s="38" t="str">
        <f>IF('Curve Header Data'!L157="","",'Curve Header Data'!L157*$E$2)</f>
        <v/>
      </c>
      <c r="H156" s="38">
        <f>IF('Curve Header Data'!N157="","",'Curve Header Data'!N157)</f>
        <v>1</v>
      </c>
      <c r="I156" s="38">
        <f>IF('Curve Header Data'!O157="","",'Curve Header Data'!O157)</f>
        <v>5</v>
      </c>
      <c r="J156" s="27" t="str">
        <f>IF('Curve Header Data'!M157="","",'Curve Header Data'!M157)</f>
        <v/>
      </c>
      <c r="K156" s="27" t="str">
        <f>IF('Curve Header Data'!G157="","",'Curve Header Data'!G157)</f>
        <v/>
      </c>
      <c r="L156" s="27" t="str">
        <f>IF('Curve Header Data'!H157="","",'Curve Header Data'!H157)</f>
        <v/>
      </c>
      <c r="M156" s="27" t="str">
        <f>IF('Curve Header Data'!I157="","",'Curve Header Data'!I157)</f>
        <v/>
      </c>
      <c r="N156" s="27" t="str">
        <f>IF('Curve Header Data'!J157="","",'Curve Header Data'!J157*$E$3)</f>
        <v/>
      </c>
      <c r="O156" s="27">
        <f>IF('Curve Header Data'!S157="","",'Curve Header Data'!S157*$J$2)</f>
        <v>0</v>
      </c>
      <c r="P156" s="27">
        <f>IF('Curve Header Data'!T157="","",'Curve Header Data'!T157*$J$3)</f>
        <v>0</v>
      </c>
      <c r="Q156" s="27" t="str">
        <f>IF('Curve Header Data'!U157="","",'Curve Header Data'!U157)</f>
        <v/>
      </c>
      <c r="R156" s="27" t="str">
        <f>IF('Curve Header Data'!V157="","",'Curve Header Data'!V157)</f>
        <v>0</v>
      </c>
      <c r="S156" s="27" t="str">
        <f>IF('Curve Header Data'!W157="","",'Curve Header Data'!W157)</f>
        <v/>
      </c>
    </row>
    <row r="157" spans="1:19" x14ac:dyDescent="0.2">
      <c r="A157" s="38" t="str">
        <f>IF('Curve Header Data'!A158="","",'Curve Header Data'!A158)</f>
        <v/>
      </c>
      <c r="B157" s="38" t="str">
        <f>IF('Curve Header Data'!C158="","",'Curve Header Data'!C158)</f>
        <v/>
      </c>
      <c r="C157" s="38" t="str">
        <f>IF('Curve Header Data'!D158="","",'Curve Header Data'!D158)</f>
        <v/>
      </c>
      <c r="D157" s="38" t="str">
        <f>IF('Curve Header Data'!E158="","",'Curve Header Data'!E158)</f>
        <v/>
      </c>
      <c r="E157" s="38" t="str">
        <f>IF('Curve Header Data'!B158="","",'Curve Header Data'!B158)</f>
        <v/>
      </c>
      <c r="F157" s="38" t="str">
        <f>IF('Curve Header Data'!K158="","",'Curve Header Data'!K158*$E$2)</f>
        <v/>
      </c>
      <c r="G157" s="38" t="str">
        <f>IF('Curve Header Data'!L158="","",'Curve Header Data'!L158*$E$2)</f>
        <v/>
      </c>
      <c r="H157" s="38">
        <f>IF('Curve Header Data'!N158="","",'Curve Header Data'!N158)</f>
        <v>1</v>
      </c>
      <c r="I157" s="38">
        <f>IF('Curve Header Data'!O158="","",'Curve Header Data'!O158)</f>
        <v>5</v>
      </c>
      <c r="J157" s="27">
        <f>IF('Curve Header Data'!M158="","",'Curve Header Data'!M158)</f>
        <v>148</v>
      </c>
      <c r="K157" s="27" t="str">
        <f>IF('Curve Header Data'!G158="","",'Curve Header Data'!G158)</f>
        <v/>
      </c>
      <c r="L157" s="27" t="str">
        <f>IF('Curve Header Data'!H158="","",'Curve Header Data'!H158)</f>
        <v/>
      </c>
      <c r="M157" s="27" t="str">
        <f>IF('Curve Header Data'!I158="","",'Curve Header Data'!I158)</f>
        <v/>
      </c>
      <c r="N157" s="27" t="str">
        <f>IF('Curve Header Data'!J158="","",'Curve Header Data'!J158*$E$3)</f>
        <v/>
      </c>
      <c r="O157" s="27" t="str">
        <f>IF('Curve Header Data'!S158="","",'Curve Header Data'!S158*$J$2)</f>
        <v/>
      </c>
      <c r="P157" s="27" t="str">
        <f>IF('Curve Header Data'!T158="","",'Curve Header Data'!T158*$J$3)</f>
        <v/>
      </c>
      <c r="Q157" s="27" t="str">
        <f>IF('Curve Header Data'!U158="","",'Curve Header Data'!U158)</f>
        <v/>
      </c>
      <c r="R157" s="27" t="str">
        <f>IF('Curve Header Data'!V158="","",'Curve Header Data'!V158)</f>
        <v/>
      </c>
      <c r="S157" s="27" t="str">
        <f>IF('Curve Header Data'!W158="","",'Curve Header Data'!W158)</f>
        <v/>
      </c>
    </row>
    <row r="158" spans="1:19" x14ac:dyDescent="0.2">
      <c r="A158" s="38" t="str">
        <f>IF('Curve Header Data'!A159="","",'Curve Header Data'!A159)</f>
        <v/>
      </c>
      <c r="B158" s="38" t="str">
        <f>IF('Curve Header Data'!C159="","",'Curve Header Data'!C159)</f>
        <v/>
      </c>
      <c r="C158" s="38" t="str">
        <f>IF('Curve Header Data'!D159="","",'Curve Header Data'!D159)</f>
        <v/>
      </c>
      <c r="D158" s="38" t="str">
        <f>IF('Curve Header Data'!E159="","",'Curve Header Data'!E159)</f>
        <v/>
      </c>
      <c r="E158" s="38" t="str">
        <f>IF('Curve Header Data'!B159="","",'Curve Header Data'!B159)</f>
        <v/>
      </c>
      <c r="F158" s="38" t="str">
        <f>IF('Curve Header Data'!K159="","",'Curve Header Data'!K159*$E$2)</f>
        <v/>
      </c>
      <c r="G158" s="38" t="str">
        <f>IF('Curve Header Data'!L159="","",'Curve Header Data'!L159*$E$2)</f>
        <v/>
      </c>
      <c r="H158" s="38">
        <f>IF('Curve Header Data'!N159="","",'Curve Header Data'!N159)</f>
        <v>1</v>
      </c>
      <c r="I158" s="38">
        <f>IF('Curve Header Data'!O159="","",'Curve Header Data'!O159)</f>
        <v>5</v>
      </c>
      <c r="J158" s="27">
        <f>IF('Curve Header Data'!M159="","",'Curve Header Data'!M159)</f>
        <v>149</v>
      </c>
      <c r="K158" s="27" t="str">
        <f>IF('Curve Header Data'!G159="","",'Curve Header Data'!G159)</f>
        <v/>
      </c>
      <c r="L158" s="27" t="str">
        <f>IF('Curve Header Data'!H159="","",'Curve Header Data'!H159)</f>
        <v/>
      </c>
      <c r="M158" s="27" t="str">
        <f>IF('Curve Header Data'!I159="","",'Curve Header Data'!I159)</f>
        <v/>
      </c>
      <c r="N158" s="27" t="str">
        <f>IF('Curve Header Data'!J159="","",'Curve Header Data'!J159*$E$3)</f>
        <v/>
      </c>
      <c r="O158" s="27" t="str">
        <f>IF('Curve Header Data'!S159="","",'Curve Header Data'!S159*$J$2)</f>
        <v/>
      </c>
      <c r="P158" s="27" t="str">
        <f>IF('Curve Header Data'!T159="","",'Curve Header Data'!T159*$J$3)</f>
        <v/>
      </c>
      <c r="Q158" s="27" t="str">
        <f>IF('Curve Header Data'!U159="","",'Curve Header Data'!U159)</f>
        <v/>
      </c>
      <c r="R158" s="27" t="str">
        <f>IF('Curve Header Data'!V159="","",'Curve Header Data'!V159)</f>
        <v/>
      </c>
      <c r="S158" s="27" t="str">
        <f>IF('Curve Header Data'!W159="","",'Curve Header Data'!W159)</f>
        <v/>
      </c>
    </row>
    <row r="159" spans="1:19" x14ac:dyDescent="0.2">
      <c r="A159" s="38" t="str">
        <f>IF('Curve Header Data'!A160="","",'Curve Header Data'!A160)</f>
        <v/>
      </c>
      <c r="B159" s="38" t="str">
        <f>IF('Curve Header Data'!C160="","",'Curve Header Data'!C160)</f>
        <v/>
      </c>
      <c r="C159" s="38" t="str">
        <f>IF('Curve Header Data'!D160="","",'Curve Header Data'!D160)</f>
        <v/>
      </c>
      <c r="D159" s="38" t="str">
        <f>IF('Curve Header Data'!E160="","",'Curve Header Data'!E160)</f>
        <v/>
      </c>
      <c r="E159" s="38" t="str">
        <f>IF('Curve Header Data'!B160="","",'Curve Header Data'!B160)</f>
        <v/>
      </c>
      <c r="F159" s="38" t="str">
        <f>IF('Curve Header Data'!K160="","",'Curve Header Data'!K160*$E$2)</f>
        <v/>
      </c>
      <c r="G159" s="38" t="str">
        <f>IF('Curve Header Data'!L160="","",'Curve Header Data'!L160*$E$2)</f>
        <v/>
      </c>
      <c r="H159" s="38">
        <f>IF('Curve Header Data'!N160="","",'Curve Header Data'!N160)</f>
        <v>1</v>
      </c>
      <c r="I159" s="38">
        <f>IF('Curve Header Data'!O160="","",'Curve Header Data'!O160)</f>
        <v>5</v>
      </c>
      <c r="J159" s="27">
        <f>IF('Curve Header Data'!M160="","",'Curve Header Data'!M160)</f>
        <v>150</v>
      </c>
      <c r="K159" s="27" t="str">
        <f>IF('Curve Header Data'!G160="","",'Curve Header Data'!G160)</f>
        <v/>
      </c>
      <c r="L159" s="27" t="str">
        <f>IF('Curve Header Data'!H160="","",'Curve Header Data'!H160)</f>
        <v/>
      </c>
      <c r="M159" s="27" t="str">
        <f>IF('Curve Header Data'!I160="","",'Curve Header Data'!I160)</f>
        <v/>
      </c>
      <c r="N159" s="27" t="str">
        <f>IF('Curve Header Data'!J160="","",'Curve Header Data'!J160*$E$3)</f>
        <v/>
      </c>
      <c r="O159" s="27" t="str">
        <f>IF('Curve Header Data'!S160="","",'Curve Header Data'!S160*$J$2)</f>
        <v/>
      </c>
      <c r="P159" s="27" t="str">
        <f>IF('Curve Header Data'!T160="","",'Curve Header Data'!T160*$J$3)</f>
        <v/>
      </c>
      <c r="Q159" s="27" t="str">
        <f>IF('Curve Header Data'!U160="","",'Curve Header Data'!U160)</f>
        <v/>
      </c>
      <c r="R159" s="27" t="str">
        <f>IF('Curve Header Data'!V160="","",'Curve Header Data'!V160)</f>
        <v/>
      </c>
      <c r="S159" s="27" t="str">
        <f>IF('Curve Header Data'!W160="","",'Curve Header Data'!W160)</f>
        <v/>
      </c>
    </row>
    <row r="160" spans="1:19" x14ac:dyDescent="0.2">
      <c r="A160" s="38" t="str">
        <f>IF('Curve Header Data'!A161="","",'Curve Header Data'!A161)</f>
        <v/>
      </c>
      <c r="B160" s="38" t="str">
        <f>IF('Curve Header Data'!C161="","",'Curve Header Data'!C161)</f>
        <v/>
      </c>
      <c r="C160" s="38" t="str">
        <f>IF('Curve Header Data'!D161="","",'Curve Header Data'!D161)</f>
        <v/>
      </c>
      <c r="D160" s="38" t="str">
        <f>IF('Curve Header Data'!E161="","",'Curve Header Data'!E161)</f>
        <v/>
      </c>
      <c r="E160" s="38" t="str">
        <f>IF('Curve Header Data'!B161="","",'Curve Header Data'!B161)</f>
        <v/>
      </c>
      <c r="F160" s="38" t="str">
        <f>IF('Curve Header Data'!K161="","",'Curve Header Data'!K161*$E$2)</f>
        <v/>
      </c>
      <c r="G160" s="38" t="str">
        <f>IF('Curve Header Data'!L161="","",'Curve Header Data'!L161*$E$2)</f>
        <v/>
      </c>
      <c r="H160" s="38">
        <f>IF('Curve Header Data'!N161="","",'Curve Header Data'!N161)</f>
        <v>1</v>
      </c>
      <c r="I160" s="38">
        <f>IF('Curve Header Data'!O161="","",'Curve Header Data'!O161)</f>
        <v>5</v>
      </c>
      <c r="J160" s="27">
        <f>IF('Curve Header Data'!M161="","",'Curve Header Data'!M161)</f>
        <v>151</v>
      </c>
      <c r="K160" s="27" t="str">
        <f>IF('Curve Header Data'!G161="","",'Curve Header Data'!G161)</f>
        <v/>
      </c>
      <c r="L160" s="27" t="str">
        <f>IF('Curve Header Data'!H161="","",'Curve Header Data'!H161)</f>
        <v/>
      </c>
      <c r="M160" s="27" t="str">
        <f>IF('Curve Header Data'!I161="","",'Curve Header Data'!I161)</f>
        <v/>
      </c>
      <c r="N160" s="27" t="str">
        <f>IF('Curve Header Data'!J161="","",'Curve Header Data'!J161*$E$3)</f>
        <v/>
      </c>
      <c r="O160" s="27" t="str">
        <f>IF('Curve Header Data'!S161="","",'Curve Header Data'!S161*$J$2)</f>
        <v/>
      </c>
      <c r="P160" s="27" t="str">
        <f>IF('Curve Header Data'!T161="","",'Curve Header Data'!T161*$J$3)</f>
        <v/>
      </c>
      <c r="Q160" s="27" t="str">
        <f>IF('Curve Header Data'!U161="","",'Curve Header Data'!U161)</f>
        <v/>
      </c>
      <c r="R160" s="27" t="str">
        <f>IF('Curve Header Data'!V161="","",'Curve Header Data'!V161)</f>
        <v/>
      </c>
      <c r="S160" s="27" t="str">
        <f>IF('Curve Header Data'!W161="","",'Curve Header Data'!W161)</f>
        <v/>
      </c>
    </row>
    <row r="161" spans="1:19" x14ac:dyDescent="0.2">
      <c r="A161" s="38" t="str">
        <f>IF('Curve Header Data'!A162="","",'Curve Header Data'!A162)</f>
        <v/>
      </c>
      <c r="B161" s="38" t="str">
        <f>IF('Curve Header Data'!C162="","",'Curve Header Data'!C162)</f>
        <v/>
      </c>
      <c r="C161" s="38" t="str">
        <f>IF('Curve Header Data'!D162="","",'Curve Header Data'!D162)</f>
        <v/>
      </c>
      <c r="D161" s="38" t="str">
        <f>IF('Curve Header Data'!E162="","",'Curve Header Data'!E162)</f>
        <v/>
      </c>
      <c r="E161" s="38" t="str">
        <f>IF('Curve Header Data'!B162="","",'Curve Header Data'!B162)</f>
        <v/>
      </c>
      <c r="F161" s="38" t="str">
        <f>IF('Curve Header Data'!K162="","",'Curve Header Data'!K162*$E$2)</f>
        <v/>
      </c>
      <c r="G161" s="38" t="str">
        <f>IF('Curve Header Data'!L162="","",'Curve Header Data'!L162*$E$2)</f>
        <v/>
      </c>
      <c r="H161" s="38">
        <f>IF('Curve Header Data'!N162="","",'Curve Header Data'!N162)</f>
        <v>1</v>
      </c>
      <c r="I161" s="38">
        <f>IF('Curve Header Data'!O162="","",'Curve Header Data'!O162)</f>
        <v>5</v>
      </c>
      <c r="J161" s="27">
        <f>IF('Curve Header Data'!M162="","",'Curve Header Data'!M162)</f>
        <v>152</v>
      </c>
      <c r="K161" s="27" t="str">
        <f>IF('Curve Header Data'!G162="","",'Curve Header Data'!G162)</f>
        <v/>
      </c>
      <c r="L161" s="27" t="str">
        <f>IF('Curve Header Data'!H162="","",'Curve Header Data'!H162)</f>
        <v/>
      </c>
      <c r="M161" s="27" t="str">
        <f>IF('Curve Header Data'!I162="","",'Curve Header Data'!I162)</f>
        <v/>
      </c>
      <c r="N161" s="27" t="str">
        <f>IF('Curve Header Data'!J162="","",'Curve Header Data'!J162*$E$3)</f>
        <v/>
      </c>
      <c r="O161" s="27" t="str">
        <f>IF('Curve Header Data'!S162="","",'Curve Header Data'!S162*$J$2)</f>
        <v/>
      </c>
      <c r="P161" s="27" t="str">
        <f>IF('Curve Header Data'!T162="","",'Curve Header Data'!T162*$J$3)</f>
        <v/>
      </c>
      <c r="Q161" s="27" t="str">
        <f>IF('Curve Header Data'!U162="","",'Curve Header Data'!U162)</f>
        <v/>
      </c>
      <c r="R161" s="27" t="str">
        <f>IF('Curve Header Data'!V162="","",'Curve Header Data'!V162)</f>
        <v/>
      </c>
      <c r="S161" s="27" t="str">
        <f>IF('Curve Header Data'!W162="","",'Curve Header Data'!W162)</f>
        <v/>
      </c>
    </row>
    <row r="162" spans="1:19" x14ac:dyDescent="0.2">
      <c r="A162" s="38" t="str">
        <f>IF('Curve Header Data'!A163="","",'Curve Header Data'!A163)</f>
        <v/>
      </c>
      <c r="B162" s="38" t="str">
        <f>IF('Curve Header Data'!C163="","",'Curve Header Data'!C163)</f>
        <v/>
      </c>
      <c r="C162" s="38" t="str">
        <f>IF('Curve Header Data'!D163="","",'Curve Header Data'!D163)</f>
        <v/>
      </c>
      <c r="D162" s="38" t="str">
        <f>IF('Curve Header Data'!E163="","",'Curve Header Data'!E163)</f>
        <v/>
      </c>
      <c r="E162" s="38" t="str">
        <f>IF('Curve Header Data'!B163="","",'Curve Header Data'!B163)</f>
        <v/>
      </c>
      <c r="F162" s="38" t="str">
        <f>IF('Curve Header Data'!K163="","",'Curve Header Data'!K163*$E$2)</f>
        <v/>
      </c>
      <c r="G162" s="38" t="str">
        <f>IF('Curve Header Data'!L163="","",'Curve Header Data'!L163*$E$2)</f>
        <v/>
      </c>
      <c r="H162" s="38">
        <f>IF('Curve Header Data'!N163="","",'Curve Header Data'!N163)</f>
        <v>1</v>
      </c>
      <c r="I162" s="38">
        <f>IF('Curve Header Data'!O163="","",'Curve Header Data'!O163)</f>
        <v>5</v>
      </c>
      <c r="J162" s="27">
        <f>IF('Curve Header Data'!M163="","",'Curve Header Data'!M163)</f>
        <v>153</v>
      </c>
      <c r="K162" s="27" t="str">
        <f>IF('Curve Header Data'!G163="","",'Curve Header Data'!G163)</f>
        <v/>
      </c>
      <c r="L162" s="27" t="str">
        <f>IF('Curve Header Data'!H163="","",'Curve Header Data'!H163)</f>
        <v/>
      </c>
      <c r="M162" s="27" t="str">
        <f>IF('Curve Header Data'!I163="","",'Curve Header Data'!I163)</f>
        <v/>
      </c>
      <c r="N162" s="27" t="str">
        <f>IF('Curve Header Data'!J163="","",'Curve Header Data'!J163*$E$3)</f>
        <v/>
      </c>
      <c r="O162" s="27" t="str">
        <f>IF('Curve Header Data'!S163="","",'Curve Header Data'!S163*$J$2)</f>
        <v/>
      </c>
      <c r="P162" s="27" t="str">
        <f>IF('Curve Header Data'!T163="","",'Curve Header Data'!T163*$J$3)</f>
        <v/>
      </c>
      <c r="Q162" s="27" t="str">
        <f>IF('Curve Header Data'!U163="","",'Curve Header Data'!U163)</f>
        <v/>
      </c>
      <c r="R162" s="27" t="str">
        <f>IF('Curve Header Data'!V163="","",'Curve Header Data'!V163)</f>
        <v/>
      </c>
      <c r="S162" s="27" t="str">
        <f>IF('Curve Header Data'!W163="","",'Curve Header Data'!W163)</f>
        <v/>
      </c>
    </row>
    <row r="163" spans="1:19" x14ac:dyDescent="0.2">
      <c r="A163" s="38" t="str">
        <f>IF('Curve Header Data'!A164="","",'Curve Header Data'!A164)</f>
        <v/>
      </c>
      <c r="B163" s="38" t="str">
        <f>IF('Curve Header Data'!C164="","",'Curve Header Data'!C164)</f>
        <v/>
      </c>
      <c r="C163" s="38" t="str">
        <f>IF('Curve Header Data'!D164="","",'Curve Header Data'!D164)</f>
        <v/>
      </c>
      <c r="D163" s="38" t="str">
        <f>IF('Curve Header Data'!E164="","",'Curve Header Data'!E164)</f>
        <v/>
      </c>
      <c r="E163" s="38" t="str">
        <f>IF('Curve Header Data'!B164="","",'Curve Header Data'!B164)</f>
        <v/>
      </c>
      <c r="F163" s="38" t="str">
        <f>IF('Curve Header Data'!K164="","",'Curve Header Data'!K164*$E$2)</f>
        <v/>
      </c>
      <c r="G163" s="38" t="str">
        <f>IF('Curve Header Data'!L164="","",'Curve Header Data'!L164*$E$2)</f>
        <v/>
      </c>
      <c r="H163" s="38">
        <f>IF('Curve Header Data'!N164="","",'Curve Header Data'!N164)</f>
        <v>1</v>
      </c>
      <c r="I163" s="38">
        <f>IF('Curve Header Data'!O164="","",'Curve Header Data'!O164)</f>
        <v>5</v>
      </c>
      <c r="J163" s="27">
        <f>IF('Curve Header Data'!M164="","",'Curve Header Data'!M164)</f>
        <v>154</v>
      </c>
      <c r="K163" s="27" t="str">
        <f>IF('Curve Header Data'!G164="","",'Curve Header Data'!G164)</f>
        <v/>
      </c>
      <c r="L163" s="27" t="str">
        <f>IF('Curve Header Data'!H164="","",'Curve Header Data'!H164)</f>
        <v/>
      </c>
      <c r="M163" s="27" t="str">
        <f>IF('Curve Header Data'!I164="","",'Curve Header Data'!I164)</f>
        <v/>
      </c>
      <c r="N163" s="27" t="str">
        <f>IF('Curve Header Data'!J164="","",'Curve Header Data'!J164*$E$3)</f>
        <v/>
      </c>
      <c r="O163" s="27" t="str">
        <f>IF('Curve Header Data'!S164="","",'Curve Header Data'!S164*$J$2)</f>
        <v/>
      </c>
      <c r="P163" s="27" t="str">
        <f>IF('Curve Header Data'!T164="","",'Curve Header Data'!T164*$J$3)</f>
        <v/>
      </c>
      <c r="Q163" s="27" t="str">
        <f>IF('Curve Header Data'!U164="","",'Curve Header Data'!U164)</f>
        <v/>
      </c>
      <c r="R163" s="27" t="str">
        <f>IF('Curve Header Data'!V164="","",'Curve Header Data'!V164)</f>
        <v/>
      </c>
      <c r="S163" s="27" t="str">
        <f>IF('Curve Header Data'!W164="","",'Curve Header Data'!W164)</f>
        <v/>
      </c>
    </row>
    <row r="164" spans="1:19" x14ac:dyDescent="0.2">
      <c r="A164" s="38" t="str">
        <f>IF('Curve Header Data'!A165="","",'Curve Header Data'!A165)</f>
        <v/>
      </c>
      <c r="B164" s="38" t="str">
        <f>IF('Curve Header Data'!C165="","",'Curve Header Data'!C165)</f>
        <v/>
      </c>
      <c r="C164" s="38" t="str">
        <f>IF('Curve Header Data'!D165="","",'Curve Header Data'!D165)</f>
        <v/>
      </c>
      <c r="D164" s="38" t="str">
        <f>IF('Curve Header Data'!E165="","",'Curve Header Data'!E165)</f>
        <v/>
      </c>
      <c r="E164" s="38" t="str">
        <f>IF('Curve Header Data'!B165="","",'Curve Header Data'!B165)</f>
        <v/>
      </c>
      <c r="F164" s="38" t="str">
        <f>IF('Curve Header Data'!K165="","",'Curve Header Data'!K165*$E$2)</f>
        <v/>
      </c>
      <c r="G164" s="38" t="str">
        <f>IF('Curve Header Data'!L165="","",'Curve Header Data'!L165*$E$2)</f>
        <v/>
      </c>
      <c r="H164" s="38">
        <f>IF('Curve Header Data'!N165="","",'Curve Header Data'!N165)</f>
        <v>1</v>
      </c>
      <c r="I164" s="38">
        <f>IF('Curve Header Data'!O165="","",'Curve Header Data'!O165)</f>
        <v>5</v>
      </c>
      <c r="J164" s="27">
        <f>IF('Curve Header Data'!M165="","",'Curve Header Data'!M165)</f>
        <v>155</v>
      </c>
      <c r="K164" s="27" t="str">
        <f>IF('Curve Header Data'!G165="","",'Curve Header Data'!G165)</f>
        <v/>
      </c>
      <c r="L164" s="27" t="str">
        <f>IF('Curve Header Data'!H165="","",'Curve Header Data'!H165)</f>
        <v/>
      </c>
      <c r="M164" s="27" t="str">
        <f>IF('Curve Header Data'!I165="","",'Curve Header Data'!I165)</f>
        <v/>
      </c>
      <c r="N164" s="27" t="str">
        <f>IF('Curve Header Data'!J165="","",'Curve Header Data'!J165*$E$3)</f>
        <v/>
      </c>
      <c r="O164" s="27" t="str">
        <f>IF('Curve Header Data'!S165="","",'Curve Header Data'!S165*$J$2)</f>
        <v/>
      </c>
      <c r="P164" s="27" t="str">
        <f>IF('Curve Header Data'!T165="","",'Curve Header Data'!T165*$J$3)</f>
        <v/>
      </c>
      <c r="Q164" s="27" t="str">
        <f>IF('Curve Header Data'!U165="","",'Curve Header Data'!U165)</f>
        <v/>
      </c>
      <c r="R164" s="27" t="str">
        <f>IF('Curve Header Data'!V165="","",'Curve Header Data'!V165)</f>
        <v/>
      </c>
      <c r="S164" s="27" t="str">
        <f>IF('Curve Header Data'!W165="","",'Curve Header Data'!W165)</f>
        <v/>
      </c>
    </row>
    <row r="165" spans="1:19" x14ac:dyDescent="0.2">
      <c r="A165" s="38" t="str">
        <f>IF('Curve Header Data'!A166="","",'Curve Header Data'!A166)</f>
        <v/>
      </c>
      <c r="B165" s="38" t="str">
        <f>IF('Curve Header Data'!C166="","",'Curve Header Data'!C166)</f>
        <v/>
      </c>
      <c r="C165" s="38" t="str">
        <f>IF('Curve Header Data'!D166="","",'Curve Header Data'!D166)</f>
        <v/>
      </c>
      <c r="D165" s="38" t="str">
        <f>IF('Curve Header Data'!E166="","",'Curve Header Data'!E166)</f>
        <v/>
      </c>
      <c r="E165" s="38" t="str">
        <f>IF('Curve Header Data'!B166="","",'Curve Header Data'!B166)</f>
        <v/>
      </c>
      <c r="F165" s="38" t="str">
        <f>IF('Curve Header Data'!K166="","",'Curve Header Data'!K166*$E$2)</f>
        <v/>
      </c>
      <c r="G165" s="38" t="str">
        <f>IF('Curve Header Data'!L166="","",'Curve Header Data'!L166*$E$2)</f>
        <v/>
      </c>
      <c r="H165" s="38">
        <f>IF('Curve Header Data'!N166="","",'Curve Header Data'!N166)</f>
        <v>1</v>
      </c>
      <c r="I165" s="38">
        <f>IF('Curve Header Data'!O166="","",'Curve Header Data'!O166)</f>
        <v>5</v>
      </c>
      <c r="J165" s="27">
        <f>IF('Curve Header Data'!M166="","",'Curve Header Data'!M166)</f>
        <v>156</v>
      </c>
      <c r="K165" s="27" t="str">
        <f>IF('Curve Header Data'!G166="","",'Curve Header Data'!G166)</f>
        <v/>
      </c>
      <c r="L165" s="27" t="str">
        <f>IF('Curve Header Data'!H166="","",'Curve Header Data'!H166)</f>
        <v/>
      </c>
      <c r="M165" s="27" t="str">
        <f>IF('Curve Header Data'!I166="","",'Curve Header Data'!I166)</f>
        <v/>
      </c>
      <c r="N165" s="27" t="str">
        <f>IF('Curve Header Data'!J166="","",'Curve Header Data'!J166*$E$3)</f>
        <v/>
      </c>
      <c r="O165" s="27" t="str">
        <f>IF('Curve Header Data'!S166="","",'Curve Header Data'!S166*$J$2)</f>
        <v/>
      </c>
      <c r="P165" s="27" t="str">
        <f>IF('Curve Header Data'!T166="","",'Curve Header Data'!T166*$J$3)</f>
        <v/>
      </c>
      <c r="Q165" s="27" t="str">
        <f>IF('Curve Header Data'!U166="","",'Curve Header Data'!U166)</f>
        <v/>
      </c>
      <c r="R165" s="27" t="str">
        <f>IF('Curve Header Data'!V166="","",'Curve Header Data'!V166)</f>
        <v/>
      </c>
      <c r="S165" s="27" t="str">
        <f>IF('Curve Header Data'!W166="","",'Curve Header Data'!W166)</f>
        <v/>
      </c>
    </row>
    <row r="166" spans="1:19" x14ac:dyDescent="0.2">
      <c r="A166" s="38" t="str">
        <f>IF('Curve Header Data'!A167="","",'Curve Header Data'!A167)</f>
        <v/>
      </c>
      <c r="B166" s="38" t="str">
        <f>IF('Curve Header Data'!C167="","",'Curve Header Data'!C167)</f>
        <v/>
      </c>
      <c r="C166" s="38" t="str">
        <f>IF('Curve Header Data'!D167="","",'Curve Header Data'!D167)</f>
        <v/>
      </c>
      <c r="D166" s="38" t="str">
        <f>IF('Curve Header Data'!E167="","",'Curve Header Data'!E167)</f>
        <v/>
      </c>
      <c r="E166" s="38" t="str">
        <f>IF('Curve Header Data'!B167="","",'Curve Header Data'!B167)</f>
        <v/>
      </c>
      <c r="F166" s="38" t="str">
        <f>IF('Curve Header Data'!K167="","",'Curve Header Data'!K167*$E$2)</f>
        <v/>
      </c>
      <c r="G166" s="38" t="str">
        <f>IF('Curve Header Data'!L167="","",'Curve Header Data'!L167*$E$2)</f>
        <v/>
      </c>
      <c r="H166" s="38">
        <f>IF('Curve Header Data'!N167="","",'Curve Header Data'!N167)</f>
        <v>1</v>
      </c>
      <c r="I166" s="38">
        <f>IF('Curve Header Data'!O167="","",'Curve Header Data'!O167)</f>
        <v>5</v>
      </c>
      <c r="J166" s="27">
        <f>IF('Curve Header Data'!M167="","",'Curve Header Data'!M167)</f>
        <v>157</v>
      </c>
      <c r="K166" s="27" t="str">
        <f>IF('Curve Header Data'!G167="","",'Curve Header Data'!G167)</f>
        <v/>
      </c>
      <c r="L166" s="27" t="str">
        <f>IF('Curve Header Data'!H167="","",'Curve Header Data'!H167)</f>
        <v/>
      </c>
      <c r="M166" s="27" t="str">
        <f>IF('Curve Header Data'!I167="","",'Curve Header Data'!I167)</f>
        <v/>
      </c>
      <c r="N166" s="27" t="str">
        <f>IF('Curve Header Data'!J167="","",'Curve Header Data'!J167*$E$3)</f>
        <v/>
      </c>
      <c r="O166" s="27" t="str">
        <f>IF('Curve Header Data'!S167="","",'Curve Header Data'!S167*$J$2)</f>
        <v/>
      </c>
      <c r="P166" s="27" t="str">
        <f>IF('Curve Header Data'!T167="","",'Curve Header Data'!T167*$J$3)</f>
        <v/>
      </c>
      <c r="Q166" s="27" t="str">
        <f>IF('Curve Header Data'!U167="","",'Curve Header Data'!U167)</f>
        <v/>
      </c>
      <c r="R166" s="27" t="str">
        <f>IF('Curve Header Data'!V167="","",'Curve Header Data'!V167)</f>
        <v/>
      </c>
      <c r="S166" s="27" t="str">
        <f>IF('Curve Header Data'!W167="","",'Curve Header Data'!W167)</f>
        <v/>
      </c>
    </row>
    <row r="167" spans="1:19" x14ac:dyDescent="0.2">
      <c r="A167" s="38" t="str">
        <f>IF('Curve Header Data'!A168="","",'Curve Header Data'!A168)</f>
        <v/>
      </c>
      <c r="B167" s="38" t="str">
        <f>IF('Curve Header Data'!C168="","",'Curve Header Data'!C168)</f>
        <v/>
      </c>
      <c r="C167" s="38" t="str">
        <f>IF('Curve Header Data'!D168="","",'Curve Header Data'!D168)</f>
        <v/>
      </c>
      <c r="D167" s="38" t="str">
        <f>IF('Curve Header Data'!E168="","",'Curve Header Data'!E168)</f>
        <v/>
      </c>
      <c r="E167" s="38" t="str">
        <f>IF('Curve Header Data'!B168="","",'Curve Header Data'!B168)</f>
        <v/>
      </c>
      <c r="F167" s="38" t="str">
        <f>IF('Curve Header Data'!K168="","",'Curve Header Data'!K168*$E$2)</f>
        <v/>
      </c>
      <c r="G167" s="38" t="str">
        <f>IF('Curve Header Data'!L168="","",'Curve Header Data'!L168*$E$2)</f>
        <v/>
      </c>
      <c r="H167" s="38">
        <f>IF('Curve Header Data'!N168="","",'Curve Header Data'!N168)</f>
        <v>1</v>
      </c>
      <c r="I167" s="38">
        <f>IF('Curve Header Data'!O168="","",'Curve Header Data'!O168)</f>
        <v>5</v>
      </c>
      <c r="J167" s="27">
        <f>IF('Curve Header Data'!M168="","",'Curve Header Data'!M168)</f>
        <v>158</v>
      </c>
      <c r="K167" s="27" t="str">
        <f>IF('Curve Header Data'!G168="","",'Curve Header Data'!G168)</f>
        <v/>
      </c>
      <c r="L167" s="27" t="str">
        <f>IF('Curve Header Data'!H168="","",'Curve Header Data'!H168)</f>
        <v/>
      </c>
      <c r="M167" s="27" t="str">
        <f>IF('Curve Header Data'!I168="","",'Curve Header Data'!I168)</f>
        <v/>
      </c>
      <c r="N167" s="27" t="str">
        <f>IF('Curve Header Data'!J168="","",'Curve Header Data'!J168*$E$3)</f>
        <v/>
      </c>
      <c r="O167" s="27" t="str">
        <f>IF('Curve Header Data'!S168="","",'Curve Header Data'!S168*$J$2)</f>
        <v/>
      </c>
      <c r="P167" s="27" t="str">
        <f>IF('Curve Header Data'!T168="","",'Curve Header Data'!T168*$J$3)</f>
        <v/>
      </c>
      <c r="Q167" s="27" t="str">
        <f>IF('Curve Header Data'!U168="","",'Curve Header Data'!U168)</f>
        <v/>
      </c>
      <c r="R167" s="27" t="str">
        <f>IF('Curve Header Data'!V168="","",'Curve Header Data'!V168)</f>
        <v/>
      </c>
      <c r="S167" s="27" t="str">
        <f>IF('Curve Header Data'!W168="","",'Curve Header Data'!W168)</f>
        <v/>
      </c>
    </row>
    <row r="168" spans="1:19" x14ac:dyDescent="0.2">
      <c r="A168" s="38" t="str">
        <f>IF('Curve Header Data'!A169="","",'Curve Header Data'!A169)</f>
        <v/>
      </c>
      <c r="B168" s="38" t="str">
        <f>IF('Curve Header Data'!C169="","",'Curve Header Data'!C169)</f>
        <v/>
      </c>
      <c r="C168" s="38" t="str">
        <f>IF('Curve Header Data'!D169="","",'Curve Header Data'!D169)</f>
        <v/>
      </c>
      <c r="D168" s="38" t="str">
        <f>IF('Curve Header Data'!E169="","",'Curve Header Data'!E169)</f>
        <v/>
      </c>
      <c r="E168" s="38" t="str">
        <f>IF('Curve Header Data'!B169="","",'Curve Header Data'!B169)</f>
        <v/>
      </c>
      <c r="F168" s="38" t="str">
        <f>IF('Curve Header Data'!K169="","",'Curve Header Data'!K169*$E$2)</f>
        <v/>
      </c>
      <c r="G168" s="38" t="str">
        <f>IF('Curve Header Data'!L169="","",'Curve Header Data'!L169*$E$2)</f>
        <v/>
      </c>
      <c r="H168" s="38">
        <f>IF('Curve Header Data'!N169="","",'Curve Header Data'!N169)</f>
        <v>1</v>
      </c>
      <c r="I168" s="38">
        <f>IF('Curve Header Data'!O169="","",'Curve Header Data'!O169)</f>
        <v>5</v>
      </c>
      <c r="J168" s="27">
        <f>IF('Curve Header Data'!M169="","",'Curve Header Data'!M169)</f>
        <v>159</v>
      </c>
      <c r="K168" s="27" t="str">
        <f>IF('Curve Header Data'!G169="","",'Curve Header Data'!G169)</f>
        <v/>
      </c>
      <c r="L168" s="27" t="str">
        <f>IF('Curve Header Data'!H169="","",'Curve Header Data'!H169)</f>
        <v/>
      </c>
      <c r="M168" s="27" t="str">
        <f>IF('Curve Header Data'!I169="","",'Curve Header Data'!I169)</f>
        <v/>
      </c>
      <c r="N168" s="27" t="str">
        <f>IF('Curve Header Data'!J169="","",'Curve Header Data'!J169*$E$3)</f>
        <v/>
      </c>
      <c r="O168" s="27" t="str">
        <f>IF('Curve Header Data'!S169="","",'Curve Header Data'!S169*$J$2)</f>
        <v/>
      </c>
      <c r="P168" s="27" t="str">
        <f>IF('Curve Header Data'!T169="","",'Curve Header Data'!T169*$J$3)</f>
        <v/>
      </c>
      <c r="Q168" s="27" t="str">
        <f>IF('Curve Header Data'!U169="","",'Curve Header Data'!U169)</f>
        <v/>
      </c>
      <c r="R168" s="27" t="str">
        <f>IF('Curve Header Data'!V169="","",'Curve Header Data'!V169)</f>
        <v/>
      </c>
      <c r="S168" s="27" t="str">
        <f>IF('Curve Header Data'!W169="","",'Curve Header Data'!W169)</f>
        <v/>
      </c>
    </row>
    <row r="169" spans="1:19" x14ac:dyDescent="0.2">
      <c r="A169" s="38" t="str">
        <f>IF('Curve Header Data'!A170="","",'Curve Header Data'!A170)</f>
        <v/>
      </c>
      <c r="B169" s="38" t="str">
        <f>IF('Curve Header Data'!C170="","",'Curve Header Data'!C170)</f>
        <v/>
      </c>
      <c r="C169" s="38" t="str">
        <f>IF('Curve Header Data'!D170="","",'Curve Header Data'!D170)</f>
        <v/>
      </c>
      <c r="D169" s="38" t="str">
        <f>IF('Curve Header Data'!E170="","",'Curve Header Data'!E170)</f>
        <v/>
      </c>
      <c r="E169" s="38" t="str">
        <f>IF('Curve Header Data'!B170="","",'Curve Header Data'!B170)</f>
        <v/>
      </c>
      <c r="F169" s="38" t="str">
        <f>IF('Curve Header Data'!K170="","",'Curve Header Data'!K170*$E$2)</f>
        <v/>
      </c>
      <c r="G169" s="38" t="str">
        <f>IF('Curve Header Data'!L170="","",'Curve Header Data'!L170*$E$2)</f>
        <v/>
      </c>
      <c r="H169" s="38">
        <f>IF('Curve Header Data'!N170="","",'Curve Header Data'!N170)</f>
        <v>1</v>
      </c>
      <c r="I169" s="38">
        <f>IF('Curve Header Data'!O170="","",'Curve Header Data'!O170)</f>
        <v>5</v>
      </c>
      <c r="J169" s="27">
        <f>IF('Curve Header Data'!M170="","",'Curve Header Data'!M170)</f>
        <v>160</v>
      </c>
      <c r="K169" s="27" t="str">
        <f>IF('Curve Header Data'!G170="","",'Curve Header Data'!G170)</f>
        <v/>
      </c>
      <c r="L169" s="27" t="str">
        <f>IF('Curve Header Data'!H170="","",'Curve Header Data'!H170)</f>
        <v/>
      </c>
      <c r="M169" s="27" t="str">
        <f>IF('Curve Header Data'!I170="","",'Curve Header Data'!I170)</f>
        <v/>
      </c>
      <c r="N169" s="27" t="str">
        <f>IF('Curve Header Data'!J170="","",'Curve Header Data'!J170*$E$3)</f>
        <v/>
      </c>
      <c r="O169" s="27" t="str">
        <f>IF('Curve Header Data'!S170="","",'Curve Header Data'!S170*$J$2)</f>
        <v/>
      </c>
      <c r="P169" s="27" t="str">
        <f>IF('Curve Header Data'!T170="","",'Curve Header Data'!T170*$J$3)</f>
        <v/>
      </c>
      <c r="Q169" s="27" t="str">
        <f>IF('Curve Header Data'!U170="","",'Curve Header Data'!U170)</f>
        <v/>
      </c>
      <c r="R169" s="27" t="str">
        <f>IF('Curve Header Data'!V170="","",'Curve Header Data'!V170)</f>
        <v/>
      </c>
      <c r="S169" s="27" t="str">
        <f>IF('Curve Header Data'!W170="","",'Curve Header Data'!W170)</f>
        <v/>
      </c>
    </row>
    <row r="170" spans="1:19" x14ac:dyDescent="0.2">
      <c r="A170" s="38" t="str">
        <f>IF('Curve Header Data'!A171="","",'Curve Header Data'!A171)</f>
        <v/>
      </c>
      <c r="B170" s="38" t="str">
        <f>IF('Curve Header Data'!C171="","",'Curve Header Data'!C171)</f>
        <v/>
      </c>
      <c r="C170" s="38" t="str">
        <f>IF('Curve Header Data'!D171="","",'Curve Header Data'!D171)</f>
        <v/>
      </c>
      <c r="D170" s="38" t="str">
        <f>IF('Curve Header Data'!E171="","",'Curve Header Data'!E171)</f>
        <v/>
      </c>
      <c r="E170" s="38" t="str">
        <f>IF('Curve Header Data'!B171="","",'Curve Header Data'!B171)</f>
        <v/>
      </c>
      <c r="F170" s="38" t="str">
        <f>IF('Curve Header Data'!K171="","",'Curve Header Data'!K171*$E$2)</f>
        <v/>
      </c>
      <c r="G170" s="38" t="str">
        <f>IF('Curve Header Data'!L171="","",'Curve Header Data'!L171*$E$2)</f>
        <v/>
      </c>
      <c r="H170" s="38">
        <f>IF('Curve Header Data'!N171="","",'Curve Header Data'!N171)</f>
        <v>1</v>
      </c>
      <c r="I170" s="38">
        <f>IF('Curve Header Data'!O171="","",'Curve Header Data'!O171)</f>
        <v>5</v>
      </c>
      <c r="J170" s="27">
        <f>IF('Curve Header Data'!M171="","",'Curve Header Data'!M171)</f>
        <v>161</v>
      </c>
      <c r="K170" s="27" t="str">
        <f>IF('Curve Header Data'!G171="","",'Curve Header Data'!G171)</f>
        <v/>
      </c>
      <c r="L170" s="27" t="str">
        <f>IF('Curve Header Data'!H171="","",'Curve Header Data'!H171)</f>
        <v/>
      </c>
      <c r="M170" s="27" t="str">
        <f>IF('Curve Header Data'!I171="","",'Curve Header Data'!I171)</f>
        <v/>
      </c>
      <c r="N170" s="27" t="str">
        <f>IF('Curve Header Data'!J171="","",'Curve Header Data'!J171*$E$3)</f>
        <v/>
      </c>
      <c r="O170" s="27" t="str">
        <f>IF('Curve Header Data'!S171="","",'Curve Header Data'!S171*$J$2)</f>
        <v/>
      </c>
      <c r="P170" s="27" t="str">
        <f>IF('Curve Header Data'!T171="","",'Curve Header Data'!T171*$J$3)</f>
        <v/>
      </c>
      <c r="Q170" s="27" t="str">
        <f>IF('Curve Header Data'!U171="","",'Curve Header Data'!U171)</f>
        <v/>
      </c>
      <c r="R170" s="27" t="str">
        <f>IF('Curve Header Data'!V171="","",'Curve Header Data'!V171)</f>
        <v/>
      </c>
      <c r="S170" s="27" t="str">
        <f>IF('Curve Header Data'!W171="","",'Curve Header Data'!W171)</f>
        <v/>
      </c>
    </row>
    <row r="171" spans="1:19" x14ac:dyDescent="0.2">
      <c r="A171" s="38" t="str">
        <f>IF('Curve Header Data'!A172="","",'Curve Header Data'!A172)</f>
        <v/>
      </c>
      <c r="B171" s="38" t="str">
        <f>IF('Curve Header Data'!C172="","",'Curve Header Data'!C172)</f>
        <v/>
      </c>
      <c r="C171" s="38" t="str">
        <f>IF('Curve Header Data'!D172="","",'Curve Header Data'!D172)</f>
        <v/>
      </c>
      <c r="D171" s="38" t="str">
        <f>IF('Curve Header Data'!E172="","",'Curve Header Data'!E172)</f>
        <v/>
      </c>
      <c r="E171" s="38" t="str">
        <f>IF('Curve Header Data'!B172="","",'Curve Header Data'!B172)</f>
        <v/>
      </c>
      <c r="F171" s="38" t="str">
        <f>IF('Curve Header Data'!K172="","",'Curve Header Data'!K172*$E$2)</f>
        <v/>
      </c>
      <c r="G171" s="38" t="str">
        <f>IF('Curve Header Data'!L172="","",'Curve Header Data'!L172*$E$2)</f>
        <v/>
      </c>
      <c r="H171" s="38">
        <f>IF('Curve Header Data'!N172="","",'Curve Header Data'!N172)</f>
        <v>1</v>
      </c>
      <c r="I171" s="38">
        <f>IF('Curve Header Data'!O172="","",'Curve Header Data'!O172)</f>
        <v>5</v>
      </c>
      <c r="J171" s="27">
        <f>IF('Curve Header Data'!M172="","",'Curve Header Data'!M172)</f>
        <v>162</v>
      </c>
      <c r="K171" s="27" t="str">
        <f>IF('Curve Header Data'!G172="","",'Curve Header Data'!G172)</f>
        <v/>
      </c>
      <c r="L171" s="27" t="str">
        <f>IF('Curve Header Data'!H172="","",'Curve Header Data'!H172)</f>
        <v/>
      </c>
      <c r="M171" s="27" t="str">
        <f>IF('Curve Header Data'!I172="","",'Curve Header Data'!I172)</f>
        <v/>
      </c>
      <c r="N171" s="27" t="str">
        <f>IF('Curve Header Data'!J172="","",'Curve Header Data'!J172*$E$3)</f>
        <v/>
      </c>
      <c r="O171" s="27" t="str">
        <f>IF('Curve Header Data'!S172="","",'Curve Header Data'!S172*$J$2)</f>
        <v/>
      </c>
      <c r="P171" s="27" t="str">
        <f>IF('Curve Header Data'!T172="","",'Curve Header Data'!T172*$J$3)</f>
        <v/>
      </c>
      <c r="Q171" s="27" t="str">
        <f>IF('Curve Header Data'!U172="","",'Curve Header Data'!U172)</f>
        <v/>
      </c>
      <c r="R171" s="27" t="str">
        <f>IF('Curve Header Data'!V172="","",'Curve Header Data'!V172)</f>
        <v/>
      </c>
      <c r="S171" s="27" t="str">
        <f>IF('Curve Header Data'!W172="","",'Curve Header Data'!W172)</f>
        <v/>
      </c>
    </row>
    <row r="172" spans="1:19" x14ac:dyDescent="0.2">
      <c r="A172" s="38" t="str">
        <f>IF('Curve Header Data'!A173="","",'Curve Header Data'!A173)</f>
        <v/>
      </c>
      <c r="B172" s="38" t="str">
        <f>IF('Curve Header Data'!C173="","",'Curve Header Data'!C173)</f>
        <v/>
      </c>
      <c r="C172" s="38" t="str">
        <f>IF('Curve Header Data'!D173="","",'Curve Header Data'!D173)</f>
        <v/>
      </c>
      <c r="D172" s="38" t="str">
        <f>IF('Curve Header Data'!E173="","",'Curve Header Data'!E173)</f>
        <v/>
      </c>
      <c r="E172" s="38" t="str">
        <f>IF('Curve Header Data'!B173="","",'Curve Header Data'!B173)</f>
        <v/>
      </c>
      <c r="F172" s="38" t="str">
        <f>IF('Curve Header Data'!K173="","",'Curve Header Data'!K173*$E$2)</f>
        <v/>
      </c>
      <c r="G172" s="38" t="str">
        <f>IF('Curve Header Data'!L173="","",'Curve Header Data'!L173*$E$2)</f>
        <v/>
      </c>
      <c r="H172" s="38">
        <f>IF('Curve Header Data'!N173="","",'Curve Header Data'!N173)</f>
        <v>1</v>
      </c>
      <c r="I172" s="38">
        <f>IF('Curve Header Data'!O173="","",'Curve Header Data'!O173)</f>
        <v>5</v>
      </c>
      <c r="J172" s="27">
        <f>IF('Curve Header Data'!M173="","",'Curve Header Data'!M173)</f>
        <v>163</v>
      </c>
      <c r="K172" s="27" t="str">
        <f>IF('Curve Header Data'!G173="","",'Curve Header Data'!G173)</f>
        <v/>
      </c>
      <c r="L172" s="27" t="str">
        <f>IF('Curve Header Data'!H173="","",'Curve Header Data'!H173)</f>
        <v/>
      </c>
      <c r="M172" s="27" t="str">
        <f>IF('Curve Header Data'!I173="","",'Curve Header Data'!I173)</f>
        <v/>
      </c>
      <c r="N172" s="27" t="str">
        <f>IF('Curve Header Data'!J173="","",'Curve Header Data'!J173*$E$3)</f>
        <v/>
      </c>
      <c r="O172" s="27" t="str">
        <f>IF('Curve Header Data'!S173="","",'Curve Header Data'!S173*$J$2)</f>
        <v/>
      </c>
      <c r="P172" s="27" t="str">
        <f>IF('Curve Header Data'!T173="","",'Curve Header Data'!T173*$J$3)</f>
        <v/>
      </c>
      <c r="Q172" s="27" t="str">
        <f>IF('Curve Header Data'!U173="","",'Curve Header Data'!U173)</f>
        <v/>
      </c>
      <c r="R172" s="27" t="str">
        <f>IF('Curve Header Data'!V173="","",'Curve Header Data'!V173)</f>
        <v/>
      </c>
      <c r="S172" s="27" t="str">
        <f>IF('Curve Header Data'!W173="","",'Curve Header Data'!W173)</f>
        <v/>
      </c>
    </row>
    <row r="173" spans="1:19" x14ac:dyDescent="0.2">
      <c r="A173" s="38" t="str">
        <f>IF('Curve Header Data'!A174="","",'Curve Header Data'!A174)</f>
        <v/>
      </c>
      <c r="B173" s="38" t="str">
        <f>IF('Curve Header Data'!C174="","",'Curve Header Data'!C174)</f>
        <v/>
      </c>
      <c r="C173" s="38" t="str">
        <f>IF('Curve Header Data'!D174="","",'Curve Header Data'!D174)</f>
        <v/>
      </c>
      <c r="D173" s="38" t="str">
        <f>IF('Curve Header Data'!E174="","",'Curve Header Data'!E174)</f>
        <v/>
      </c>
      <c r="E173" s="38" t="str">
        <f>IF('Curve Header Data'!B174="","",'Curve Header Data'!B174)</f>
        <v/>
      </c>
      <c r="F173" s="38" t="str">
        <f>IF('Curve Header Data'!K174="","",'Curve Header Data'!K174*$E$2)</f>
        <v/>
      </c>
      <c r="G173" s="38" t="str">
        <f>IF('Curve Header Data'!L174="","",'Curve Header Data'!L174*$E$2)</f>
        <v/>
      </c>
      <c r="H173" s="38">
        <f>IF('Curve Header Data'!N174="","",'Curve Header Data'!N174)</f>
        <v>1</v>
      </c>
      <c r="I173" s="38">
        <f>IF('Curve Header Data'!O174="","",'Curve Header Data'!O174)</f>
        <v>5</v>
      </c>
      <c r="J173" s="27">
        <f>IF('Curve Header Data'!M174="","",'Curve Header Data'!M174)</f>
        <v>164</v>
      </c>
      <c r="K173" s="27" t="str">
        <f>IF('Curve Header Data'!G174="","",'Curve Header Data'!G174)</f>
        <v/>
      </c>
      <c r="L173" s="27" t="str">
        <f>IF('Curve Header Data'!H174="","",'Curve Header Data'!H174)</f>
        <v/>
      </c>
      <c r="M173" s="27" t="str">
        <f>IF('Curve Header Data'!I174="","",'Curve Header Data'!I174)</f>
        <v/>
      </c>
      <c r="N173" s="27" t="str">
        <f>IF('Curve Header Data'!J174="","",'Curve Header Data'!J174*$E$3)</f>
        <v/>
      </c>
      <c r="O173" s="27" t="str">
        <f>IF('Curve Header Data'!S174="","",'Curve Header Data'!S174*$J$2)</f>
        <v/>
      </c>
      <c r="P173" s="27" t="str">
        <f>IF('Curve Header Data'!T174="","",'Curve Header Data'!T174*$J$3)</f>
        <v/>
      </c>
      <c r="Q173" s="27" t="str">
        <f>IF('Curve Header Data'!U174="","",'Curve Header Data'!U174)</f>
        <v/>
      </c>
      <c r="R173" s="27" t="str">
        <f>IF('Curve Header Data'!V174="","",'Curve Header Data'!V174)</f>
        <v/>
      </c>
      <c r="S173" s="27" t="str">
        <f>IF('Curve Header Data'!W174="","",'Curve Header Data'!W174)</f>
        <v/>
      </c>
    </row>
    <row r="174" spans="1:19" x14ac:dyDescent="0.2">
      <c r="A174" s="38" t="str">
        <f>IF('Curve Header Data'!A175="","",'Curve Header Data'!A175)</f>
        <v/>
      </c>
      <c r="B174" s="38" t="str">
        <f>IF('Curve Header Data'!C175="","",'Curve Header Data'!C175)</f>
        <v/>
      </c>
      <c r="C174" s="38" t="str">
        <f>IF('Curve Header Data'!D175="","",'Curve Header Data'!D175)</f>
        <v/>
      </c>
      <c r="D174" s="38" t="str">
        <f>IF('Curve Header Data'!E175="","",'Curve Header Data'!E175)</f>
        <v/>
      </c>
      <c r="E174" s="38" t="str">
        <f>IF('Curve Header Data'!B175="","",'Curve Header Data'!B175)</f>
        <v/>
      </c>
      <c r="F174" s="38" t="str">
        <f>IF('Curve Header Data'!K175="","",'Curve Header Data'!K175*$E$2)</f>
        <v/>
      </c>
      <c r="G174" s="38" t="str">
        <f>IF('Curve Header Data'!L175="","",'Curve Header Data'!L175*$E$2)</f>
        <v/>
      </c>
      <c r="H174" s="38">
        <f>IF('Curve Header Data'!N175="","",'Curve Header Data'!N175)</f>
        <v>1</v>
      </c>
      <c r="I174" s="38">
        <f>IF('Curve Header Data'!O175="","",'Curve Header Data'!O175)</f>
        <v>5</v>
      </c>
      <c r="J174" s="27">
        <f>IF('Curve Header Data'!M175="","",'Curve Header Data'!M175)</f>
        <v>165</v>
      </c>
      <c r="K174" s="27" t="str">
        <f>IF('Curve Header Data'!G175="","",'Curve Header Data'!G175)</f>
        <v/>
      </c>
      <c r="L174" s="27" t="str">
        <f>IF('Curve Header Data'!H175="","",'Curve Header Data'!H175)</f>
        <v/>
      </c>
      <c r="M174" s="27" t="str">
        <f>IF('Curve Header Data'!I175="","",'Curve Header Data'!I175)</f>
        <v/>
      </c>
      <c r="N174" s="27" t="str">
        <f>IF('Curve Header Data'!J175="","",'Curve Header Data'!J175*$E$3)</f>
        <v/>
      </c>
      <c r="O174" s="27" t="str">
        <f>IF('Curve Header Data'!S175="","",'Curve Header Data'!S175*$J$2)</f>
        <v/>
      </c>
      <c r="P174" s="27" t="str">
        <f>IF('Curve Header Data'!T175="","",'Curve Header Data'!T175*$J$3)</f>
        <v/>
      </c>
      <c r="Q174" s="27" t="str">
        <f>IF('Curve Header Data'!U175="","",'Curve Header Data'!U175)</f>
        <v/>
      </c>
      <c r="R174" s="27" t="str">
        <f>IF('Curve Header Data'!V175="","",'Curve Header Data'!V175)</f>
        <v/>
      </c>
      <c r="S174" s="27" t="str">
        <f>IF('Curve Header Data'!W175="","",'Curve Header Data'!W175)</f>
        <v/>
      </c>
    </row>
    <row r="175" spans="1:19" x14ac:dyDescent="0.2">
      <c r="A175" s="38" t="str">
        <f>IF('Curve Header Data'!A176="","",'Curve Header Data'!A176)</f>
        <v/>
      </c>
      <c r="B175" s="38" t="str">
        <f>IF('Curve Header Data'!C176="","",'Curve Header Data'!C176)</f>
        <v/>
      </c>
      <c r="C175" s="38" t="str">
        <f>IF('Curve Header Data'!D176="","",'Curve Header Data'!D176)</f>
        <v/>
      </c>
      <c r="D175" s="38" t="str">
        <f>IF('Curve Header Data'!E176="","",'Curve Header Data'!E176)</f>
        <v/>
      </c>
      <c r="E175" s="38" t="str">
        <f>IF('Curve Header Data'!B176="","",'Curve Header Data'!B176)</f>
        <v/>
      </c>
      <c r="F175" s="38" t="str">
        <f>IF('Curve Header Data'!K176="","",'Curve Header Data'!K176*$E$2)</f>
        <v/>
      </c>
      <c r="G175" s="38" t="str">
        <f>IF('Curve Header Data'!L176="","",'Curve Header Data'!L176*$E$2)</f>
        <v/>
      </c>
      <c r="H175" s="38">
        <f>IF('Curve Header Data'!N176="","",'Curve Header Data'!N176)</f>
        <v>1</v>
      </c>
      <c r="I175" s="38">
        <f>IF('Curve Header Data'!O176="","",'Curve Header Data'!O176)</f>
        <v>5</v>
      </c>
      <c r="J175" s="27">
        <f>IF('Curve Header Data'!M176="","",'Curve Header Data'!M176)</f>
        <v>166</v>
      </c>
      <c r="K175" s="27" t="str">
        <f>IF('Curve Header Data'!G176="","",'Curve Header Data'!G176)</f>
        <v/>
      </c>
      <c r="L175" s="27" t="str">
        <f>IF('Curve Header Data'!H176="","",'Curve Header Data'!H176)</f>
        <v/>
      </c>
      <c r="M175" s="27" t="str">
        <f>IF('Curve Header Data'!I176="","",'Curve Header Data'!I176)</f>
        <v/>
      </c>
      <c r="N175" s="27" t="str">
        <f>IF('Curve Header Data'!J176="","",'Curve Header Data'!J176*$E$3)</f>
        <v/>
      </c>
      <c r="O175" s="27" t="str">
        <f>IF('Curve Header Data'!S176="","",'Curve Header Data'!S176*$J$2)</f>
        <v/>
      </c>
      <c r="P175" s="27" t="str">
        <f>IF('Curve Header Data'!T176="","",'Curve Header Data'!T176*$J$3)</f>
        <v/>
      </c>
      <c r="Q175" s="27" t="str">
        <f>IF('Curve Header Data'!U176="","",'Curve Header Data'!U176)</f>
        <v/>
      </c>
      <c r="R175" s="27" t="str">
        <f>IF('Curve Header Data'!V176="","",'Curve Header Data'!V176)</f>
        <v/>
      </c>
      <c r="S175" s="27" t="str">
        <f>IF('Curve Header Data'!W176="","",'Curve Header Data'!W176)</f>
        <v/>
      </c>
    </row>
    <row r="176" spans="1:19" x14ac:dyDescent="0.2">
      <c r="A176" s="38" t="str">
        <f>IF('Curve Header Data'!A177="","",'Curve Header Data'!A177)</f>
        <v/>
      </c>
      <c r="B176" s="38" t="str">
        <f>IF('Curve Header Data'!C177="","",'Curve Header Data'!C177)</f>
        <v/>
      </c>
      <c r="C176" s="38" t="str">
        <f>IF('Curve Header Data'!D177="","",'Curve Header Data'!D177)</f>
        <v/>
      </c>
      <c r="D176" s="38" t="str">
        <f>IF('Curve Header Data'!E177="","",'Curve Header Data'!E177)</f>
        <v/>
      </c>
      <c r="E176" s="38" t="str">
        <f>IF('Curve Header Data'!B177="","",'Curve Header Data'!B177)</f>
        <v/>
      </c>
      <c r="F176" s="38" t="str">
        <f>IF('Curve Header Data'!K177="","",'Curve Header Data'!K177*$E$2)</f>
        <v/>
      </c>
      <c r="G176" s="38" t="str">
        <f>IF('Curve Header Data'!L177="","",'Curve Header Data'!L177*$E$2)</f>
        <v/>
      </c>
      <c r="H176" s="38">
        <f>IF('Curve Header Data'!N177="","",'Curve Header Data'!N177)</f>
        <v>1</v>
      </c>
      <c r="I176" s="38">
        <f>IF('Curve Header Data'!O177="","",'Curve Header Data'!O177)</f>
        <v>5</v>
      </c>
      <c r="J176" s="27">
        <f>IF('Curve Header Data'!M177="","",'Curve Header Data'!M177)</f>
        <v>167</v>
      </c>
      <c r="K176" s="27" t="str">
        <f>IF('Curve Header Data'!G177="","",'Curve Header Data'!G177)</f>
        <v/>
      </c>
      <c r="L176" s="27" t="str">
        <f>IF('Curve Header Data'!H177="","",'Curve Header Data'!H177)</f>
        <v/>
      </c>
      <c r="M176" s="27" t="str">
        <f>IF('Curve Header Data'!I177="","",'Curve Header Data'!I177)</f>
        <v/>
      </c>
      <c r="N176" s="27" t="str">
        <f>IF('Curve Header Data'!J177="","",'Curve Header Data'!J177*$E$3)</f>
        <v/>
      </c>
      <c r="O176" s="27" t="str">
        <f>IF('Curve Header Data'!S177="","",'Curve Header Data'!S177*$J$2)</f>
        <v/>
      </c>
      <c r="P176" s="27" t="str">
        <f>IF('Curve Header Data'!T177="","",'Curve Header Data'!T177*$J$3)</f>
        <v/>
      </c>
      <c r="Q176" s="27" t="str">
        <f>IF('Curve Header Data'!U177="","",'Curve Header Data'!U177)</f>
        <v/>
      </c>
      <c r="R176" s="27" t="str">
        <f>IF('Curve Header Data'!V177="","",'Curve Header Data'!V177)</f>
        <v/>
      </c>
      <c r="S176" s="27" t="str">
        <f>IF('Curve Header Data'!W177="","",'Curve Header Data'!W177)</f>
        <v/>
      </c>
    </row>
    <row r="177" spans="1:19" x14ac:dyDescent="0.2">
      <c r="A177" s="38" t="str">
        <f>IF('Curve Header Data'!A178="","",'Curve Header Data'!A178)</f>
        <v/>
      </c>
      <c r="B177" s="38" t="str">
        <f>IF('Curve Header Data'!C178="","",'Curve Header Data'!C178)</f>
        <v/>
      </c>
      <c r="C177" s="38" t="str">
        <f>IF('Curve Header Data'!D178="","",'Curve Header Data'!D178)</f>
        <v/>
      </c>
      <c r="D177" s="38" t="str">
        <f>IF('Curve Header Data'!E178="","",'Curve Header Data'!E178)</f>
        <v/>
      </c>
      <c r="E177" s="38" t="str">
        <f>IF('Curve Header Data'!B178="","",'Curve Header Data'!B178)</f>
        <v/>
      </c>
      <c r="F177" s="38" t="str">
        <f>IF('Curve Header Data'!K178="","",'Curve Header Data'!K178*$E$2)</f>
        <v/>
      </c>
      <c r="G177" s="38" t="str">
        <f>IF('Curve Header Data'!L178="","",'Curve Header Data'!L178*$E$2)</f>
        <v/>
      </c>
      <c r="H177" s="38">
        <f>IF('Curve Header Data'!N178="","",'Curve Header Data'!N178)</f>
        <v>1</v>
      </c>
      <c r="I177" s="38">
        <f>IF('Curve Header Data'!O178="","",'Curve Header Data'!O178)</f>
        <v>5</v>
      </c>
      <c r="J177" s="27">
        <f>IF('Curve Header Data'!M178="","",'Curve Header Data'!M178)</f>
        <v>168</v>
      </c>
      <c r="K177" s="27" t="str">
        <f>IF('Curve Header Data'!G178="","",'Curve Header Data'!G178)</f>
        <v/>
      </c>
      <c r="L177" s="27" t="str">
        <f>IF('Curve Header Data'!H178="","",'Curve Header Data'!H178)</f>
        <v/>
      </c>
      <c r="M177" s="27" t="str">
        <f>IF('Curve Header Data'!I178="","",'Curve Header Data'!I178)</f>
        <v/>
      </c>
      <c r="N177" s="27" t="str">
        <f>IF('Curve Header Data'!J178="","",'Curve Header Data'!J178*$E$3)</f>
        <v/>
      </c>
      <c r="O177" s="27" t="str">
        <f>IF('Curve Header Data'!S178="","",'Curve Header Data'!S178*$J$2)</f>
        <v/>
      </c>
      <c r="P177" s="27" t="str">
        <f>IF('Curve Header Data'!T178="","",'Curve Header Data'!T178*$J$3)</f>
        <v/>
      </c>
      <c r="Q177" s="27" t="str">
        <f>IF('Curve Header Data'!U178="","",'Curve Header Data'!U178)</f>
        <v/>
      </c>
      <c r="R177" s="27" t="str">
        <f>IF('Curve Header Data'!V178="","",'Curve Header Data'!V178)</f>
        <v/>
      </c>
      <c r="S177" s="27" t="str">
        <f>IF('Curve Header Data'!W178="","",'Curve Header Data'!W178)</f>
        <v/>
      </c>
    </row>
    <row r="178" spans="1:19" x14ac:dyDescent="0.2">
      <c r="A178" s="38" t="str">
        <f>IF('Curve Header Data'!A179="","",'Curve Header Data'!A179)</f>
        <v/>
      </c>
      <c r="B178" s="38" t="str">
        <f>IF('Curve Header Data'!C179="","",'Curve Header Data'!C179)</f>
        <v/>
      </c>
      <c r="C178" s="38" t="str">
        <f>IF('Curve Header Data'!D179="","",'Curve Header Data'!D179)</f>
        <v/>
      </c>
      <c r="D178" s="38" t="str">
        <f>IF('Curve Header Data'!E179="","",'Curve Header Data'!E179)</f>
        <v/>
      </c>
      <c r="E178" s="38" t="str">
        <f>IF('Curve Header Data'!B179="","",'Curve Header Data'!B179)</f>
        <v/>
      </c>
      <c r="F178" s="38" t="str">
        <f>IF('Curve Header Data'!K179="","",'Curve Header Data'!K179*$E$2)</f>
        <v/>
      </c>
      <c r="G178" s="38" t="str">
        <f>IF('Curve Header Data'!L179="","",'Curve Header Data'!L179*$E$2)</f>
        <v/>
      </c>
      <c r="H178" s="38">
        <f>IF('Curve Header Data'!N179="","",'Curve Header Data'!N179)</f>
        <v>1</v>
      </c>
      <c r="I178" s="38">
        <f>IF('Curve Header Data'!O179="","",'Curve Header Data'!O179)</f>
        <v>5</v>
      </c>
      <c r="J178" s="27">
        <f>IF('Curve Header Data'!M179="","",'Curve Header Data'!M179)</f>
        <v>169</v>
      </c>
      <c r="K178" s="27" t="str">
        <f>IF('Curve Header Data'!G179="","",'Curve Header Data'!G179)</f>
        <v/>
      </c>
      <c r="L178" s="27" t="str">
        <f>IF('Curve Header Data'!H179="","",'Curve Header Data'!H179)</f>
        <v/>
      </c>
      <c r="M178" s="27" t="str">
        <f>IF('Curve Header Data'!I179="","",'Curve Header Data'!I179)</f>
        <v/>
      </c>
      <c r="N178" s="27" t="str">
        <f>IF('Curve Header Data'!J179="","",'Curve Header Data'!J179*$E$3)</f>
        <v/>
      </c>
      <c r="O178" s="27" t="str">
        <f>IF('Curve Header Data'!S179="","",'Curve Header Data'!S179*$J$2)</f>
        <v/>
      </c>
      <c r="P178" s="27" t="str">
        <f>IF('Curve Header Data'!T179="","",'Curve Header Data'!T179*$J$3)</f>
        <v/>
      </c>
      <c r="Q178" s="27" t="str">
        <f>IF('Curve Header Data'!U179="","",'Curve Header Data'!U179)</f>
        <v/>
      </c>
      <c r="R178" s="27" t="str">
        <f>IF('Curve Header Data'!V179="","",'Curve Header Data'!V179)</f>
        <v/>
      </c>
      <c r="S178" s="27" t="str">
        <f>IF('Curve Header Data'!W179="","",'Curve Header Data'!W179)</f>
        <v/>
      </c>
    </row>
    <row r="179" spans="1:19" x14ac:dyDescent="0.2">
      <c r="A179" s="38" t="str">
        <f>IF('Curve Header Data'!A180="","",'Curve Header Data'!A180)</f>
        <v/>
      </c>
      <c r="B179" s="38" t="str">
        <f>IF('Curve Header Data'!C180="","",'Curve Header Data'!C180)</f>
        <v/>
      </c>
      <c r="C179" s="38" t="str">
        <f>IF('Curve Header Data'!D180="","",'Curve Header Data'!D180)</f>
        <v/>
      </c>
      <c r="D179" s="38" t="str">
        <f>IF('Curve Header Data'!E180="","",'Curve Header Data'!E180)</f>
        <v/>
      </c>
      <c r="E179" s="38" t="str">
        <f>IF('Curve Header Data'!B180="","",'Curve Header Data'!B180)</f>
        <v/>
      </c>
      <c r="F179" s="38" t="str">
        <f>IF('Curve Header Data'!K180="","",'Curve Header Data'!K180*$E$2)</f>
        <v/>
      </c>
      <c r="G179" s="38" t="str">
        <f>IF('Curve Header Data'!L180="","",'Curve Header Data'!L180*$E$2)</f>
        <v/>
      </c>
      <c r="H179" s="38">
        <f>IF('Curve Header Data'!N180="","",'Curve Header Data'!N180)</f>
        <v>1</v>
      </c>
      <c r="I179" s="38">
        <f>IF('Curve Header Data'!O180="","",'Curve Header Data'!O180)</f>
        <v>5</v>
      </c>
      <c r="J179" s="27">
        <f>IF('Curve Header Data'!M180="","",'Curve Header Data'!M180)</f>
        <v>170</v>
      </c>
      <c r="K179" s="27" t="str">
        <f>IF('Curve Header Data'!G180="","",'Curve Header Data'!G180)</f>
        <v/>
      </c>
      <c r="L179" s="27" t="str">
        <f>IF('Curve Header Data'!H180="","",'Curve Header Data'!H180)</f>
        <v/>
      </c>
      <c r="M179" s="27" t="str">
        <f>IF('Curve Header Data'!I180="","",'Curve Header Data'!I180)</f>
        <v/>
      </c>
      <c r="N179" s="27" t="str">
        <f>IF('Curve Header Data'!J180="","",'Curve Header Data'!J180*$E$3)</f>
        <v/>
      </c>
      <c r="O179" s="27" t="str">
        <f>IF('Curve Header Data'!S180="","",'Curve Header Data'!S180*$J$2)</f>
        <v/>
      </c>
      <c r="P179" s="27" t="str">
        <f>IF('Curve Header Data'!T180="","",'Curve Header Data'!T180*$J$3)</f>
        <v/>
      </c>
      <c r="Q179" s="27" t="str">
        <f>IF('Curve Header Data'!U180="","",'Curve Header Data'!U180)</f>
        <v/>
      </c>
      <c r="R179" s="27" t="str">
        <f>IF('Curve Header Data'!V180="","",'Curve Header Data'!V180)</f>
        <v/>
      </c>
      <c r="S179" s="27" t="str">
        <f>IF('Curve Header Data'!W180="","",'Curve Header Data'!W180)</f>
        <v/>
      </c>
    </row>
    <row r="180" spans="1:19" x14ac:dyDescent="0.2">
      <c r="A180" s="38" t="str">
        <f>IF('Curve Header Data'!A181="","",'Curve Header Data'!A181)</f>
        <v/>
      </c>
      <c r="B180" s="38" t="str">
        <f>IF('Curve Header Data'!C181="","",'Curve Header Data'!C181)</f>
        <v/>
      </c>
      <c r="C180" s="38" t="str">
        <f>IF('Curve Header Data'!D181="","",'Curve Header Data'!D181)</f>
        <v/>
      </c>
      <c r="D180" s="38" t="str">
        <f>IF('Curve Header Data'!E181="","",'Curve Header Data'!E181)</f>
        <v/>
      </c>
      <c r="E180" s="38" t="str">
        <f>IF('Curve Header Data'!B181="","",'Curve Header Data'!B181)</f>
        <v/>
      </c>
      <c r="F180" s="38" t="str">
        <f>IF('Curve Header Data'!K181="","",'Curve Header Data'!K181*$E$2)</f>
        <v/>
      </c>
      <c r="G180" s="38" t="str">
        <f>IF('Curve Header Data'!L181="","",'Curve Header Data'!L181*$E$2)</f>
        <v/>
      </c>
      <c r="H180" s="38">
        <f>IF('Curve Header Data'!N181="","",'Curve Header Data'!N181)</f>
        <v>1</v>
      </c>
      <c r="I180" s="38">
        <f>IF('Curve Header Data'!O181="","",'Curve Header Data'!O181)</f>
        <v>5</v>
      </c>
      <c r="J180" s="27">
        <f>IF('Curve Header Data'!M181="","",'Curve Header Data'!M181)</f>
        <v>171</v>
      </c>
      <c r="K180" s="27" t="str">
        <f>IF('Curve Header Data'!G181="","",'Curve Header Data'!G181)</f>
        <v/>
      </c>
      <c r="L180" s="27" t="str">
        <f>IF('Curve Header Data'!H181="","",'Curve Header Data'!H181)</f>
        <v/>
      </c>
      <c r="M180" s="27" t="str">
        <f>IF('Curve Header Data'!I181="","",'Curve Header Data'!I181)</f>
        <v/>
      </c>
      <c r="N180" s="27" t="str">
        <f>IF('Curve Header Data'!J181="","",'Curve Header Data'!J181*$E$3)</f>
        <v/>
      </c>
      <c r="O180" s="27" t="str">
        <f>IF('Curve Header Data'!S181="","",'Curve Header Data'!S181*$J$2)</f>
        <v/>
      </c>
      <c r="P180" s="27" t="str">
        <f>IF('Curve Header Data'!T181="","",'Curve Header Data'!T181*$J$3)</f>
        <v/>
      </c>
      <c r="Q180" s="27" t="str">
        <f>IF('Curve Header Data'!U181="","",'Curve Header Data'!U181)</f>
        <v/>
      </c>
      <c r="R180" s="27" t="str">
        <f>IF('Curve Header Data'!V181="","",'Curve Header Data'!V181)</f>
        <v/>
      </c>
      <c r="S180" s="27" t="str">
        <f>IF('Curve Header Data'!W181="","",'Curve Header Data'!W181)</f>
        <v/>
      </c>
    </row>
    <row r="181" spans="1:19" x14ac:dyDescent="0.2">
      <c r="A181" s="38" t="str">
        <f>IF('Curve Header Data'!A182="","",'Curve Header Data'!A182)</f>
        <v/>
      </c>
      <c r="B181" s="38" t="str">
        <f>IF('Curve Header Data'!C182="","",'Curve Header Data'!C182)</f>
        <v/>
      </c>
      <c r="C181" s="38" t="str">
        <f>IF('Curve Header Data'!D182="","",'Curve Header Data'!D182)</f>
        <v/>
      </c>
      <c r="D181" s="38" t="str">
        <f>IF('Curve Header Data'!E182="","",'Curve Header Data'!E182)</f>
        <v/>
      </c>
      <c r="E181" s="38" t="str">
        <f>IF('Curve Header Data'!B182="","",'Curve Header Data'!B182)</f>
        <v/>
      </c>
      <c r="F181" s="38" t="str">
        <f>IF('Curve Header Data'!K182="","",'Curve Header Data'!K182*$E$2)</f>
        <v/>
      </c>
      <c r="G181" s="38" t="str">
        <f>IF('Curve Header Data'!L182="","",'Curve Header Data'!L182*$E$2)</f>
        <v/>
      </c>
      <c r="H181" s="38">
        <f>IF('Curve Header Data'!N182="","",'Curve Header Data'!N182)</f>
        <v>1</v>
      </c>
      <c r="I181" s="38">
        <f>IF('Curve Header Data'!O182="","",'Curve Header Data'!O182)</f>
        <v>5</v>
      </c>
      <c r="J181" s="27">
        <f>IF('Curve Header Data'!M182="","",'Curve Header Data'!M182)</f>
        <v>172</v>
      </c>
      <c r="K181" s="27" t="str">
        <f>IF('Curve Header Data'!G182="","",'Curve Header Data'!G182)</f>
        <v/>
      </c>
      <c r="L181" s="27" t="str">
        <f>IF('Curve Header Data'!H182="","",'Curve Header Data'!H182)</f>
        <v/>
      </c>
      <c r="M181" s="27" t="str">
        <f>IF('Curve Header Data'!I182="","",'Curve Header Data'!I182)</f>
        <v/>
      </c>
      <c r="N181" s="27" t="str">
        <f>IF('Curve Header Data'!J182="","",'Curve Header Data'!J182*$E$3)</f>
        <v/>
      </c>
      <c r="O181" s="27" t="str">
        <f>IF('Curve Header Data'!S182="","",'Curve Header Data'!S182*$J$2)</f>
        <v/>
      </c>
      <c r="P181" s="27" t="str">
        <f>IF('Curve Header Data'!T182="","",'Curve Header Data'!T182*$J$3)</f>
        <v/>
      </c>
      <c r="Q181" s="27" t="str">
        <f>IF('Curve Header Data'!U182="","",'Curve Header Data'!U182)</f>
        <v/>
      </c>
      <c r="R181" s="27" t="str">
        <f>IF('Curve Header Data'!V182="","",'Curve Header Data'!V182)</f>
        <v/>
      </c>
      <c r="S181" s="27" t="str">
        <f>IF('Curve Header Data'!W182="","",'Curve Header Data'!W182)</f>
        <v/>
      </c>
    </row>
    <row r="182" spans="1:19" x14ac:dyDescent="0.2">
      <c r="A182" s="38" t="str">
        <f>IF('Curve Header Data'!A183="","",'Curve Header Data'!A183)</f>
        <v/>
      </c>
      <c r="B182" s="38" t="str">
        <f>IF('Curve Header Data'!C183="","",'Curve Header Data'!C183)</f>
        <v/>
      </c>
      <c r="C182" s="38" t="str">
        <f>IF('Curve Header Data'!D183="","",'Curve Header Data'!D183)</f>
        <v/>
      </c>
      <c r="D182" s="38" t="str">
        <f>IF('Curve Header Data'!E183="","",'Curve Header Data'!E183)</f>
        <v/>
      </c>
      <c r="E182" s="38" t="str">
        <f>IF('Curve Header Data'!B183="","",'Curve Header Data'!B183)</f>
        <v/>
      </c>
      <c r="F182" s="38" t="str">
        <f>IF('Curve Header Data'!K183="","",'Curve Header Data'!K183*$E$2)</f>
        <v/>
      </c>
      <c r="G182" s="38" t="str">
        <f>IF('Curve Header Data'!L183="","",'Curve Header Data'!L183*$E$2)</f>
        <v/>
      </c>
      <c r="H182" s="38">
        <f>IF('Curve Header Data'!N183="","",'Curve Header Data'!N183)</f>
        <v>1</v>
      </c>
      <c r="I182" s="38">
        <f>IF('Curve Header Data'!O183="","",'Curve Header Data'!O183)</f>
        <v>5</v>
      </c>
      <c r="J182" s="27">
        <f>IF('Curve Header Data'!M183="","",'Curve Header Data'!M183)</f>
        <v>173</v>
      </c>
      <c r="K182" s="27" t="str">
        <f>IF('Curve Header Data'!G183="","",'Curve Header Data'!G183)</f>
        <v/>
      </c>
      <c r="L182" s="27" t="str">
        <f>IF('Curve Header Data'!H183="","",'Curve Header Data'!H183)</f>
        <v/>
      </c>
      <c r="M182" s="27" t="str">
        <f>IF('Curve Header Data'!I183="","",'Curve Header Data'!I183)</f>
        <v/>
      </c>
      <c r="N182" s="27" t="str">
        <f>IF('Curve Header Data'!J183="","",'Curve Header Data'!J183*$E$3)</f>
        <v/>
      </c>
      <c r="O182" s="27" t="str">
        <f>IF('Curve Header Data'!S183="","",'Curve Header Data'!S183*$J$2)</f>
        <v/>
      </c>
      <c r="P182" s="27" t="str">
        <f>IF('Curve Header Data'!T183="","",'Curve Header Data'!T183*$J$3)</f>
        <v/>
      </c>
      <c r="Q182" s="27" t="str">
        <f>IF('Curve Header Data'!U183="","",'Curve Header Data'!U183)</f>
        <v/>
      </c>
      <c r="R182" s="27" t="str">
        <f>IF('Curve Header Data'!V183="","",'Curve Header Data'!V183)</f>
        <v/>
      </c>
      <c r="S182" s="27" t="str">
        <f>IF('Curve Header Data'!W183="","",'Curve Header Data'!W183)</f>
        <v/>
      </c>
    </row>
    <row r="183" spans="1:19" x14ac:dyDescent="0.2">
      <c r="A183" s="38" t="str">
        <f>IF('Curve Header Data'!A184="","",'Curve Header Data'!A184)</f>
        <v/>
      </c>
      <c r="B183" s="38" t="str">
        <f>IF('Curve Header Data'!C184="","",'Curve Header Data'!C184)</f>
        <v/>
      </c>
      <c r="C183" s="38" t="str">
        <f>IF('Curve Header Data'!D184="","",'Curve Header Data'!D184)</f>
        <v/>
      </c>
      <c r="D183" s="38" t="str">
        <f>IF('Curve Header Data'!E184="","",'Curve Header Data'!E184)</f>
        <v/>
      </c>
      <c r="E183" s="38" t="str">
        <f>IF('Curve Header Data'!B184="","",'Curve Header Data'!B184)</f>
        <v/>
      </c>
      <c r="F183" s="38" t="str">
        <f>IF('Curve Header Data'!K184="","",'Curve Header Data'!K184*$E$2)</f>
        <v/>
      </c>
      <c r="G183" s="38" t="str">
        <f>IF('Curve Header Data'!L184="","",'Curve Header Data'!L184*$E$2)</f>
        <v/>
      </c>
      <c r="H183" s="38">
        <f>IF('Curve Header Data'!N184="","",'Curve Header Data'!N184)</f>
        <v>1</v>
      </c>
      <c r="I183" s="38">
        <f>IF('Curve Header Data'!O184="","",'Curve Header Data'!O184)</f>
        <v>5</v>
      </c>
      <c r="J183" s="27">
        <f>IF('Curve Header Data'!M184="","",'Curve Header Data'!M184)</f>
        <v>174</v>
      </c>
      <c r="K183" s="27" t="str">
        <f>IF('Curve Header Data'!G184="","",'Curve Header Data'!G184)</f>
        <v/>
      </c>
      <c r="L183" s="27" t="str">
        <f>IF('Curve Header Data'!H184="","",'Curve Header Data'!H184)</f>
        <v/>
      </c>
      <c r="M183" s="27" t="str">
        <f>IF('Curve Header Data'!I184="","",'Curve Header Data'!I184)</f>
        <v/>
      </c>
      <c r="N183" s="27" t="str">
        <f>IF('Curve Header Data'!J184="","",'Curve Header Data'!J184*$E$3)</f>
        <v/>
      </c>
      <c r="O183" s="27" t="str">
        <f>IF('Curve Header Data'!S184="","",'Curve Header Data'!S184*$J$2)</f>
        <v/>
      </c>
      <c r="P183" s="27" t="str">
        <f>IF('Curve Header Data'!T184="","",'Curve Header Data'!T184*$J$3)</f>
        <v/>
      </c>
      <c r="Q183" s="27" t="str">
        <f>IF('Curve Header Data'!U184="","",'Curve Header Data'!U184)</f>
        <v/>
      </c>
      <c r="R183" s="27" t="str">
        <f>IF('Curve Header Data'!V184="","",'Curve Header Data'!V184)</f>
        <v/>
      </c>
      <c r="S183" s="27" t="str">
        <f>IF('Curve Header Data'!W184="","",'Curve Header Data'!W184)</f>
        <v/>
      </c>
    </row>
    <row r="184" spans="1:19" x14ac:dyDescent="0.2">
      <c r="A184" s="38" t="str">
        <f>IF('Curve Header Data'!A185="","",'Curve Header Data'!A185)</f>
        <v/>
      </c>
      <c r="B184" s="38" t="str">
        <f>IF('Curve Header Data'!C185="","",'Curve Header Data'!C185)</f>
        <v/>
      </c>
      <c r="C184" s="38" t="str">
        <f>IF('Curve Header Data'!D185="","",'Curve Header Data'!D185)</f>
        <v/>
      </c>
      <c r="D184" s="38" t="str">
        <f>IF('Curve Header Data'!E185="","",'Curve Header Data'!E185)</f>
        <v/>
      </c>
      <c r="E184" s="38" t="str">
        <f>IF('Curve Header Data'!B185="","",'Curve Header Data'!B185)</f>
        <v/>
      </c>
      <c r="F184" s="38" t="str">
        <f>IF('Curve Header Data'!K185="","",'Curve Header Data'!K185*$E$2)</f>
        <v/>
      </c>
      <c r="G184" s="38" t="str">
        <f>IF('Curve Header Data'!L185="","",'Curve Header Data'!L185*$E$2)</f>
        <v/>
      </c>
      <c r="H184" s="38">
        <f>IF('Curve Header Data'!N185="","",'Curve Header Data'!N185)</f>
        <v>1</v>
      </c>
      <c r="I184" s="38">
        <f>IF('Curve Header Data'!O185="","",'Curve Header Data'!O185)</f>
        <v>5</v>
      </c>
      <c r="J184" s="27">
        <f>IF('Curve Header Data'!M185="","",'Curve Header Data'!M185)</f>
        <v>175</v>
      </c>
      <c r="K184" s="27" t="str">
        <f>IF('Curve Header Data'!G185="","",'Curve Header Data'!G185)</f>
        <v/>
      </c>
      <c r="L184" s="27" t="str">
        <f>IF('Curve Header Data'!H185="","",'Curve Header Data'!H185)</f>
        <v/>
      </c>
      <c r="M184" s="27" t="str">
        <f>IF('Curve Header Data'!I185="","",'Curve Header Data'!I185)</f>
        <v/>
      </c>
      <c r="N184" s="27" t="str">
        <f>IF('Curve Header Data'!J185="","",'Curve Header Data'!J185*$E$3)</f>
        <v/>
      </c>
      <c r="O184" s="27" t="str">
        <f>IF('Curve Header Data'!S185="","",'Curve Header Data'!S185*$J$2)</f>
        <v/>
      </c>
      <c r="P184" s="27" t="str">
        <f>IF('Curve Header Data'!T185="","",'Curve Header Data'!T185*$J$3)</f>
        <v/>
      </c>
      <c r="Q184" s="27" t="str">
        <f>IF('Curve Header Data'!U185="","",'Curve Header Data'!U185)</f>
        <v/>
      </c>
      <c r="R184" s="27" t="str">
        <f>IF('Curve Header Data'!V185="","",'Curve Header Data'!V185)</f>
        <v/>
      </c>
      <c r="S184" s="27" t="str">
        <f>IF('Curve Header Data'!W185="","",'Curve Header Data'!W185)</f>
        <v/>
      </c>
    </row>
    <row r="185" spans="1:19" x14ac:dyDescent="0.2">
      <c r="A185" s="38" t="str">
        <f>IF('Curve Header Data'!A186="","",'Curve Header Data'!A186)</f>
        <v/>
      </c>
      <c r="B185" s="38" t="str">
        <f>IF('Curve Header Data'!C186="","",'Curve Header Data'!C186)</f>
        <v/>
      </c>
      <c r="C185" s="38" t="str">
        <f>IF('Curve Header Data'!D186="","",'Curve Header Data'!D186)</f>
        <v/>
      </c>
      <c r="D185" s="38" t="str">
        <f>IF('Curve Header Data'!E186="","",'Curve Header Data'!E186)</f>
        <v/>
      </c>
      <c r="E185" s="38" t="str">
        <f>IF('Curve Header Data'!B186="","",'Curve Header Data'!B186)</f>
        <v/>
      </c>
      <c r="F185" s="38" t="str">
        <f>IF('Curve Header Data'!K186="","",'Curve Header Data'!K186*$E$2)</f>
        <v/>
      </c>
      <c r="G185" s="38" t="str">
        <f>IF('Curve Header Data'!L186="","",'Curve Header Data'!L186*$E$2)</f>
        <v/>
      </c>
      <c r="H185" s="38">
        <f>IF('Curve Header Data'!N186="","",'Curve Header Data'!N186)</f>
        <v>1</v>
      </c>
      <c r="I185" s="38">
        <f>IF('Curve Header Data'!O186="","",'Curve Header Data'!O186)</f>
        <v>5</v>
      </c>
      <c r="J185" s="27">
        <f>IF('Curve Header Data'!M186="","",'Curve Header Data'!M186)</f>
        <v>176</v>
      </c>
      <c r="K185" s="27" t="str">
        <f>IF('Curve Header Data'!G186="","",'Curve Header Data'!G186)</f>
        <v/>
      </c>
      <c r="L185" s="27" t="str">
        <f>IF('Curve Header Data'!H186="","",'Curve Header Data'!H186)</f>
        <v/>
      </c>
      <c r="M185" s="27" t="str">
        <f>IF('Curve Header Data'!I186="","",'Curve Header Data'!I186)</f>
        <v/>
      </c>
      <c r="N185" s="27" t="str">
        <f>IF('Curve Header Data'!J186="","",'Curve Header Data'!J186*$E$3)</f>
        <v/>
      </c>
      <c r="O185" s="27" t="str">
        <f>IF('Curve Header Data'!S186="","",'Curve Header Data'!S186*$J$2)</f>
        <v/>
      </c>
      <c r="P185" s="27" t="str">
        <f>IF('Curve Header Data'!T186="","",'Curve Header Data'!T186*$J$3)</f>
        <v/>
      </c>
      <c r="Q185" s="27" t="str">
        <f>IF('Curve Header Data'!U186="","",'Curve Header Data'!U186)</f>
        <v/>
      </c>
      <c r="R185" s="27" t="str">
        <f>IF('Curve Header Data'!V186="","",'Curve Header Data'!V186)</f>
        <v/>
      </c>
      <c r="S185" s="27" t="str">
        <f>IF('Curve Header Data'!W186="","",'Curve Header Data'!W186)</f>
        <v/>
      </c>
    </row>
    <row r="186" spans="1:19" x14ac:dyDescent="0.2">
      <c r="A186" s="38" t="str">
        <f>IF('Curve Header Data'!A187="","",'Curve Header Data'!A187)</f>
        <v/>
      </c>
      <c r="B186" s="38" t="str">
        <f>IF('Curve Header Data'!C187="","",'Curve Header Data'!C187)</f>
        <v/>
      </c>
      <c r="C186" s="38" t="str">
        <f>IF('Curve Header Data'!D187="","",'Curve Header Data'!D187)</f>
        <v/>
      </c>
      <c r="D186" s="38" t="str">
        <f>IF('Curve Header Data'!E187="","",'Curve Header Data'!E187)</f>
        <v/>
      </c>
      <c r="E186" s="38" t="str">
        <f>IF('Curve Header Data'!B187="","",'Curve Header Data'!B187)</f>
        <v/>
      </c>
      <c r="F186" s="38" t="str">
        <f>IF('Curve Header Data'!K187="","",'Curve Header Data'!K187*$E$2)</f>
        <v/>
      </c>
      <c r="G186" s="38" t="str">
        <f>IF('Curve Header Data'!L187="","",'Curve Header Data'!L187*$E$2)</f>
        <v/>
      </c>
      <c r="H186" s="38">
        <f>IF('Curve Header Data'!N187="","",'Curve Header Data'!N187)</f>
        <v>1</v>
      </c>
      <c r="I186" s="38">
        <f>IF('Curve Header Data'!O187="","",'Curve Header Data'!O187)</f>
        <v>5</v>
      </c>
      <c r="J186" s="27">
        <f>IF('Curve Header Data'!M187="","",'Curve Header Data'!M187)</f>
        <v>177</v>
      </c>
      <c r="K186" s="27" t="str">
        <f>IF('Curve Header Data'!G187="","",'Curve Header Data'!G187)</f>
        <v/>
      </c>
      <c r="L186" s="27" t="str">
        <f>IF('Curve Header Data'!H187="","",'Curve Header Data'!H187)</f>
        <v/>
      </c>
      <c r="M186" s="27" t="str">
        <f>IF('Curve Header Data'!I187="","",'Curve Header Data'!I187)</f>
        <v/>
      </c>
      <c r="N186" s="27" t="str">
        <f>IF('Curve Header Data'!J187="","",'Curve Header Data'!J187*$E$3)</f>
        <v/>
      </c>
      <c r="O186" s="27" t="str">
        <f>IF('Curve Header Data'!S187="","",'Curve Header Data'!S187*$J$2)</f>
        <v/>
      </c>
      <c r="P186" s="27" t="str">
        <f>IF('Curve Header Data'!T187="","",'Curve Header Data'!T187*$J$3)</f>
        <v/>
      </c>
      <c r="Q186" s="27" t="str">
        <f>IF('Curve Header Data'!U187="","",'Curve Header Data'!U187)</f>
        <v/>
      </c>
      <c r="R186" s="27" t="str">
        <f>IF('Curve Header Data'!V187="","",'Curve Header Data'!V187)</f>
        <v/>
      </c>
      <c r="S186" s="27" t="str">
        <f>IF('Curve Header Data'!W187="","",'Curve Header Data'!W187)</f>
        <v/>
      </c>
    </row>
    <row r="187" spans="1:19" x14ac:dyDescent="0.2">
      <c r="A187" s="38" t="str">
        <f>IF('Curve Header Data'!A188="","",'Curve Header Data'!A188)</f>
        <v/>
      </c>
      <c r="B187" s="38" t="str">
        <f>IF('Curve Header Data'!C188="","",'Curve Header Data'!C188)</f>
        <v/>
      </c>
      <c r="C187" s="38" t="str">
        <f>IF('Curve Header Data'!D188="","",'Curve Header Data'!D188)</f>
        <v/>
      </c>
      <c r="D187" s="38" t="str">
        <f>IF('Curve Header Data'!E188="","",'Curve Header Data'!E188)</f>
        <v/>
      </c>
      <c r="E187" s="38" t="str">
        <f>IF('Curve Header Data'!B188="","",'Curve Header Data'!B188)</f>
        <v/>
      </c>
      <c r="F187" s="38" t="str">
        <f>IF('Curve Header Data'!K188="","",'Curve Header Data'!K188*$E$2)</f>
        <v/>
      </c>
      <c r="G187" s="38" t="str">
        <f>IF('Curve Header Data'!L188="","",'Curve Header Data'!L188*$E$2)</f>
        <v/>
      </c>
      <c r="H187" s="38">
        <f>IF('Curve Header Data'!N188="","",'Curve Header Data'!N188)</f>
        <v>1</v>
      </c>
      <c r="I187" s="38">
        <f>IF('Curve Header Data'!O188="","",'Curve Header Data'!O188)</f>
        <v>5</v>
      </c>
      <c r="J187" s="27">
        <f>IF('Curve Header Data'!M188="","",'Curve Header Data'!M188)</f>
        <v>178</v>
      </c>
      <c r="K187" s="27" t="str">
        <f>IF('Curve Header Data'!G188="","",'Curve Header Data'!G188)</f>
        <v/>
      </c>
      <c r="L187" s="27" t="str">
        <f>IF('Curve Header Data'!H188="","",'Curve Header Data'!H188)</f>
        <v/>
      </c>
      <c r="M187" s="27" t="str">
        <f>IF('Curve Header Data'!I188="","",'Curve Header Data'!I188)</f>
        <v/>
      </c>
      <c r="N187" s="27" t="str">
        <f>IF('Curve Header Data'!J188="","",'Curve Header Data'!J188*$E$3)</f>
        <v/>
      </c>
      <c r="O187" s="27" t="str">
        <f>IF('Curve Header Data'!S188="","",'Curve Header Data'!S188*$J$2)</f>
        <v/>
      </c>
      <c r="P187" s="27" t="str">
        <f>IF('Curve Header Data'!T188="","",'Curve Header Data'!T188*$J$3)</f>
        <v/>
      </c>
      <c r="Q187" s="27" t="str">
        <f>IF('Curve Header Data'!U188="","",'Curve Header Data'!U188)</f>
        <v/>
      </c>
      <c r="R187" s="27" t="str">
        <f>IF('Curve Header Data'!V188="","",'Curve Header Data'!V188)</f>
        <v/>
      </c>
      <c r="S187" s="27" t="str">
        <f>IF('Curve Header Data'!W188="","",'Curve Header Data'!W188)</f>
        <v/>
      </c>
    </row>
    <row r="188" spans="1:19" x14ac:dyDescent="0.2">
      <c r="A188" s="38" t="str">
        <f>IF('Curve Header Data'!A189="","",'Curve Header Data'!A189)</f>
        <v/>
      </c>
      <c r="B188" s="38" t="str">
        <f>IF('Curve Header Data'!C189="","",'Curve Header Data'!C189)</f>
        <v/>
      </c>
      <c r="C188" s="38" t="str">
        <f>IF('Curve Header Data'!D189="","",'Curve Header Data'!D189)</f>
        <v/>
      </c>
      <c r="D188" s="38" t="str">
        <f>IF('Curve Header Data'!E189="","",'Curve Header Data'!E189)</f>
        <v/>
      </c>
      <c r="E188" s="38" t="str">
        <f>IF('Curve Header Data'!B189="","",'Curve Header Data'!B189)</f>
        <v/>
      </c>
      <c r="F188" s="38" t="str">
        <f>IF('Curve Header Data'!K189="","",'Curve Header Data'!K189*$E$2)</f>
        <v/>
      </c>
      <c r="G188" s="38" t="str">
        <f>IF('Curve Header Data'!L189="","",'Curve Header Data'!L189*$E$2)</f>
        <v/>
      </c>
      <c r="H188" s="38">
        <f>IF('Curve Header Data'!N189="","",'Curve Header Data'!N189)</f>
        <v>1</v>
      </c>
      <c r="I188" s="38">
        <f>IF('Curve Header Data'!O189="","",'Curve Header Data'!O189)</f>
        <v>5</v>
      </c>
      <c r="J188" s="27">
        <f>IF('Curve Header Data'!M189="","",'Curve Header Data'!M189)</f>
        <v>179</v>
      </c>
      <c r="K188" s="27" t="str">
        <f>IF('Curve Header Data'!G189="","",'Curve Header Data'!G189)</f>
        <v/>
      </c>
      <c r="L188" s="27" t="str">
        <f>IF('Curve Header Data'!H189="","",'Curve Header Data'!H189)</f>
        <v/>
      </c>
      <c r="M188" s="27" t="str">
        <f>IF('Curve Header Data'!I189="","",'Curve Header Data'!I189)</f>
        <v/>
      </c>
      <c r="N188" s="27" t="str">
        <f>IF('Curve Header Data'!J189="","",'Curve Header Data'!J189*$E$3)</f>
        <v/>
      </c>
      <c r="O188" s="27" t="str">
        <f>IF('Curve Header Data'!S189="","",'Curve Header Data'!S189*$J$2)</f>
        <v/>
      </c>
      <c r="P188" s="27" t="str">
        <f>IF('Curve Header Data'!T189="","",'Curve Header Data'!T189*$J$3)</f>
        <v/>
      </c>
      <c r="Q188" s="27" t="str">
        <f>IF('Curve Header Data'!U189="","",'Curve Header Data'!U189)</f>
        <v/>
      </c>
      <c r="R188" s="27" t="str">
        <f>IF('Curve Header Data'!V189="","",'Curve Header Data'!V189)</f>
        <v/>
      </c>
      <c r="S188" s="27" t="str">
        <f>IF('Curve Header Data'!W189="","",'Curve Header Data'!W189)</f>
        <v/>
      </c>
    </row>
    <row r="189" spans="1:19" x14ac:dyDescent="0.2">
      <c r="A189" s="38" t="str">
        <f>IF('Curve Header Data'!A190="","",'Curve Header Data'!A190)</f>
        <v/>
      </c>
      <c r="B189" s="38" t="str">
        <f>IF('Curve Header Data'!C190="","",'Curve Header Data'!C190)</f>
        <v/>
      </c>
      <c r="C189" s="38" t="str">
        <f>IF('Curve Header Data'!D190="","",'Curve Header Data'!D190)</f>
        <v/>
      </c>
      <c r="D189" s="38" t="str">
        <f>IF('Curve Header Data'!E190="","",'Curve Header Data'!E190)</f>
        <v/>
      </c>
      <c r="E189" s="38" t="str">
        <f>IF('Curve Header Data'!B190="","",'Curve Header Data'!B190)</f>
        <v/>
      </c>
      <c r="F189" s="38" t="str">
        <f>IF('Curve Header Data'!K190="","",'Curve Header Data'!K190*$E$2)</f>
        <v/>
      </c>
      <c r="G189" s="38" t="str">
        <f>IF('Curve Header Data'!L190="","",'Curve Header Data'!L190*$E$2)</f>
        <v/>
      </c>
      <c r="H189" s="38">
        <f>IF('Curve Header Data'!N190="","",'Curve Header Data'!N190)</f>
        <v>1</v>
      </c>
      <c r="I189" s="38">
        <f>IF('Curve Header Data'!O190="","",'Curve Header Data'!O190)</f>
        <v>5</v>
      </c>
      <c r="J189" s="27">
        <f>IF('Curve Header Data'!M190="","",'Curve Header Data'!M190)</f>
        <v>180</v>
      </c>
      <c r="K189" s="27" t="str">
        <f>IF('Curve Header Data'!G190="","",'Curve Header Data'!G190)</f>
        <v/>
      </c>
      <c r="L189" s="27" t="str">
        <f>IF('Curve Header Data'!H190="","",'Curve Header Data'!H190)</f>
        <v/>
      </c>
      <c r="M189" s="27" t="str">
        <f>IF('Curve Header Data'!I190="","",'Curve Header Data'!I190)</f>
        <v/>
      </c>
      <c r="N189" s="27" t="str">
        <f>IF('Curve Header Data'!J190="","",'Curve Header Data'!J190*$E$3)</f>
        <v/>
      </c>
      <c r="O189" s="27" t="str">
        <f>IF('Curve Header Data'!S190="","",'Curve Header Data'!S190*$J$2)</f>
        <v/>
      </c>
      <c r="P189" s="27" t="str">
        <f>IF('Curve Header Data'!T190="","",'Curve Header Data'!T190*$J$3)</f>
        <v/>
      </c>
      <c r="Q189" s="27" t="str">
        <f>IF('Curve Header Data'!U190="","",'Curve Header Data'!U190)</f>
        <v/>
      </c>
      <c r="R189" s="27" t="str">
        <f>IF('Curve Header Data'!V190="","",'Curve Header Data'!V190)</f>
        <v/>
      </c>
      <c r="S189" s="27" t="str">
        <f>IF('Curve Header Data'!W190="","",'Curve Header Data'!W190)</f>
        <v/>
      </c>
    </row>
    <row r="190" spans="1:19" x14ac:dyDescent="0.2">
      <c r="A190" s="38" t="str">
        <f>IF('Curve Header Data'!A191="","",'Curve Header Data'!A191)</f>
        <v/>
      </c>
      <c r="B190" s="38" t="str">
        <f>IF('Curve Header Data'!C191="","",'Curve Header Data'!C191)</f>
        <v/>
      </c>
      <c r="C190" s="38" t="str">
        <f>IF('Curve Header Data'!D191="","",'Curve Header Data'!D191)</f>
        <v/>
      </c>
      <c r="D190" s="38" t="str">
        <f>IF('Curve Header Data'!E191="","",'Curve Header Data'!E191)</f>
        <v/>
      </c>
      <c r="E190" s="38" t="str">
        <f>IF('Curve Header Data'!B191="","",'Curve Header Data'!B191)</f>
        <v/>
      </c>
      <c r="F190" s="38" t="str">
        <f>IF('Curve Header Data'!K191="","",'Curve Header Data'!K191*$E$2)</f>
        <v/>
      </c>
      <c r="G190" s="38" t="str">
        <f>IF('Curve Header Data'!L191="","",'Curve Header Data'!L191*$E$2)</f>
        <v/>
      </c>
      <c r="H190" s="38">
        <f>IF('Curve Header Data'!N191="","",'Curve Header Data'!N191)</f>
        <v>1</v>
      </c>
      <c r="I190" s="38">
        <f>IF('Curve Header Data'!O191="","",'Curve Header Data'!O191)</f>
        <v>5</v>
      </c>
      <c r="J190" s="27">
        <f>IF('Curve Header Data'!M191="","",'Curve Header Data'!M191)</f>
        <v>181</v>
      </c>
      <c r="K190" s="27" t="str">
        <f>IF('Curve Header Data'!G191="","",'Curve Header Data'!G191)</f>
        <v/>
      </c>
      <c r="L190" s="27" t="str">
        <f>IF('Curve Header Data'!H191="","",'Curve Header Data'!H191)</f>
        <v/>
      </c>
      <c r="M190" s="27" t="str">
        <f>IF('Curve Header Data'!I191="","",'Curve Header Data'!I191)</f>
        <v/>
      </c>
      <c r="N190" s="27" t="str">
        <f>IF('Curve Header Data'!J191="","",'Curve Header Data'!J191*$E$3)</f>
        <v/>
      </c>
      <c r="O190" s="27" t="str">
        <f>IF('Curve Header Data'!S191="","",'Curve Header Data'!S191*$J$2)</f>
        <v/>
      </c>
      <c r="P190" s="27" t="str">
        <f>IF('Curve Header Data'!T191="","",'Curve Header Data'!T191*$J$3)</f>
        <v/>
      </c>
      <c r="Q190" s="27" t="str">
        <f>IF('Curve Header Data'!U191="","",'Curve Header Data'!U191)</f>
        <v/>
      </c>
      <c r="R190" s="27" t="str">
        <f>IF('Curve Header Data'!V191="","",'Curve Header Data'!V191)</f>
        <v/>
      </c>
      <c r="S190" s="27" t="str">
        <f>IF('Curve Header Data'!W191="","",'Curve Header Data'!W191)</f>
        <v/>
      </c>
    </row>
    <row r="191" spans="1:19" x14ac:dyDescent="0.2">
      <c r="A191" s="38" t="str">
        <f>IF('Curve Header Data'!A192="","",'Curve Header Data'!A192)</f>
        <v/>
      </c>
      <c r="B191" s="38" t="str">
        <f>IF('Curve Header Data'!C192="","",'Curve Header Data'!C192)</f>
        <v/>
      </c>
      <c r="C191" s="38" t="str">
        <f>IF('Curve Header Data'!D192="","",'Curve Header Data'!D192)</f>
        <v/>
      </c>
      <c r="D191" s="38" t="str">
        <f>IF('Curve Header Data'!E192="","",'Curve Header Data'!E192)</f>
        <v/>
      </c>
      <c r="E191" s="38" t="str">
        <f>IF('Curve Header Data'!B192="","",'Curve Header Data'!B192)</f>
        <v/>
      </c>
      <c r="F191" s="38" t="str">
        <f>IF('Curve Header Data'!K192="","",'Curve Header Data'!K192*$E$2)</f>
        <v/>
      </c>
      <c r="G191" s="38" t="str">
        <f>IF('Curve Header Data'!L192="","",'Curve Header Data'!L192*$E$2)</f>
        <v/>
      </c>
      <c r="H191" s="38">
        <f>IF('Curve Header Data'!N192="","",'Curve Header Data'!N192)</f>
        <v>1</v>
      </c>
      <c r="I191" s="38">
        <f>IF('Curve Header Data'!O192="","",'Curve Header Data'!O192)</f>
        <v>5</v>
      </c>
      <c r="J191" s="27">
        <f>IF('Curve Header Data'!M192="","",'Curve Header Data'!M192)</f>
        <v>182</v>
      </c>
      <c r="K191" s="27" t="str">
        <f>IF('Curve Header Data'!G192="","",'Curve Header Data'!G192)</f>
        <v/>
      </c>
      <c r="L191" s="27" t="str">
        <f>IF('Curve Header Data'!H192="","",'Curve Header Data'!H192)</f>
        <v/>
      </c>
      <c r="M191" s="27" t="str">
        <f>IF('Curve Header Data'!I192="","",'Curve Header Data'!I192)</f>
        <v/>
      </c>
      <c r="N191" s="27" t="str">
        <f>IF('Curve Header Data'!J192="","",'Curve Header Data'!J192*$E$3)</f>
        <v/>
      </c>
      <c r="O191" s="27" t="str">
        <f>IF('Curve Header Data'!S192="","",'Curve Header Data'!S192*$J$2)</f>
        <v/>
      </c>
      <c r="P191" s="27" t="str">
        <f>IF('Curve Header Data'!T192="","",'Curve Header Data'!T192*$J$3)</f>
        <v/>
      </c>
      <c r="Q191" s="27" t="str">
        <f>IF('Curve Header Data'!U192="","",'Curve Header Data'!U192)</f>
        <v/>
      </c>
      <c r="R191" s="27" t="str">
        <f>IF('Curve Header Data'!V192="","",'Curve Header Data'!V192)</f>
        <v/>
      </c>
      <c r="S191" s="27" t="str">
        <f>IF('Curve Header Data'!W192="","",'Curve Header Data'!W192)</f>
        <v/>
      </c>
    </row>
    <row r="192" spans="1:19" x14ac:dyDescent="0.2">
      <c r="A192" s="38" t="str">
        <f>IF('Curve Header Data'!A193="","",'Curve Header Data'!A193)</f>
        <v/>
      </c>
      <c r="B192" s="38" t="str">
        <f>IF('Curve Header Data'!C193="","",'Curve Header Data'!C193)</f>
        <v/>
      </c>
      <c r="C192" s="38" t="str">
        <f>IF('Curve Header Data'!D193="","",'Curve Header Data'!D193)</f>
        <v/>
      </c>
      <c r="D192" s="38" t="str">
        <f>IF('Curve Header Data'!E193="","",'Curve Header Data'!E193)</f>
        <v/>
      </c>
      <c r="E192" s="38" t="str">
        <f>IF('Curve Header Data'!B193="","",'Curve Header Data'!B193)</f>
        <v/>
      </c>
      <c r="F192" s="38" t="str">
        <f>IF('Curve Header Data'!K193="","",'Curve Header Data'!K193*$E$2)</f>
        <v/>
      </c>
      <c r="G192" s="38" t="str">
        <f>IF('Curve Header Data'!L193="","",'Curve Header Data'!L193*$E$2)</f>
        <v/>
      </c>
      <c r="H192" s="38">
        <f>IF('Curve Header Data'!N193="","",'Curve Header Data'!N193)</f>
        <v>1</v>
      </c>
      <c r="I192" s="38">
        <f>IF('Curve Header Data'!O193="","",'Curve Header Data'!O193)</f>
        <v>5</v>
      </c>
      <c r="J192" s="27">
        <f>IF('Curve Header Data'!M193="","",'Curve Header Data'!M193)</f>
        <v>183</v>
      </c>
      <c r="K192" s="27" t="str">
        <f>IF('Curve Header Data'!G193="","",'Curve Header Data'!G193)</f>
        <v/>
      </c>
      <c r="L192" s="27" t="str">
        <f>IF('Curve Header Data'!H193="","",'Curve Header Data'!H193)</f>
        <v/>
      </c>
      <c r="M192" s="27" t="str">
        <f>IF('Curve Header Data'!I193="","",'Curve Header Data'!I193)</f>
        <v/>
      </c>
      <c r="N192" s="27" t="str">
        <f>IF('Curve Header Data'!J193="","",'Curve Header Data'!J193*$E$3)</f>
        <v/>
      </c>
      <c r="O192" s="27" t="str">
        <f>IF('Curve Header Data'!S193="","",'Curve Header Data'!S193*$J$2)</f>
        <v/>
      </c>
      <c r="P192" s="27" t="str">
        <f>IF('Curve Header Data'!T193="","",'Curve Header Data'!T193*$J$3)</f>
        <v/>
      </c>
      <c r="Q192" s="27" t="str">
        <f>IF('Curve Header Data'!U193="","",'Curve Header Data'!U193)</f>
        <v/>
      </c>
      <c r="R192" s="27" t="str">
        <f>IF('Curve Header Data'!V193="","",'Curve Header Data'!V193)</f>
        <v/>
      </c>
      <c r="S192" s="27" t="str">
        <f>IF('Curve Header Data'!W193="","",'Curve Header Data'!W193)</f>
        <v/>
      </c>
    </row>
    <row r="193" spans="1:19" x14ac:dyDescent="0.2">
      <c r="A193" s="38" t="str">
        <f>IF('Curve Header Data'!A194="","",'Curve Header Data'!A194)</f>
        <v/>
      </c>
      <c r="B193" s="38" t="str">
        <f>IF('Curve Header Data'!C194="","",'Curve Header Data'!C194)</f>
        <v/>
      </c>
      <c r="C193" s="38" t="str">
        <f>IF('Curve Header Data'!D194="","",'Curve Header Data'!D194)</f>
        <v/>
      </c>
      <c r="D193" s="38" t="str">
        <f>IF('Curve Header Data'!E194="","",'Curve Header Data'!E194)</f>
        <v/>
      </c>
      <c r="E193" s="38" t="str">
        <f>IF('Curve Header Data'!B194="","",'Curve Header Data'!B194)</f>
        <v/>
      </c>
      <c r="F193" s="38" t="str">
        <f>IF('Curve Header Data'!K194="","",'Curve Header Data'!K194*$E$2)</f>
        <v/>
      </c>
      <c r="G193" s="38" t="str">
        <f>IF('Curve Header Data'!L194="","",'Curve Header Data'!L194*$E$2)</f>
        <v/>
      </c>
      <c r="H193" s="38">
        <f>IF('Curve Header Data'!N194="","",'Curve Header Data'!N194)</f>
        <v>1</v>
      </c>
      <c r="I193" s="38">
        <f>IF('Curve Header Data'!O194="","",'Curve Header Data'!O194)</f>
        <v>5</v>
      </c>
      <c r="J193" s="27">
        <f>IF('Curve Header Data'!M194="","",'Curve Header Data'!M194)</f>
        <v>184</v>
      </c>
      <c r="K193" s="27" t="str">
        <f>IF('Curve Header Data'!G194="","",'Curve Header Data'!G194)</f>
        <v/>
      </c>
      <c r="L193" s="27" t="str">
        <f>IF('Curve Header Data'!H194="","",'Curve Header Data'!H194)</f>
        <v/>
      </c>
      <c r="M193" s="27" t="str">
        <f>IF('Curve Header Data'!I194="","",'Curve Header Data'!I194)</f>
        <v/>
      </c>
      <c r="N193" s="27" t="str">
        <f>IF('Curve Header Data'!J194="","",'Curve Header Data'!J194*$E$3)</f>
        <v/>
      </c>
      <c r="O193" s="27" t="str">
        <f>IF('Curve Header Data'!S194="","",'Curve Header Data'!S194*$J$2)</f>
        <v/>
      </c>
      <c r="P193" s="27" t="str">
        <f>IF('Curve Header Data'!T194="","",'Curve Header Data'!T194*$J$3)</f>
        <v/>
      </c>
      <c r="Q193" s="27" t="str">
        <f>IF('Curve Header Data'!U194="","",'Curve Header Data'!U194)</f>
        <v/>
      </c>
      <c r="R193" s="27" t="str">
        <f>IF('Curve Header Data'!V194="","",'Curve Header Data'!V194)</f>
        <v/>
      </c>
      <c r="S193" s="27" t="str">
        <f>IF('Curve Header Data'!W194="","",'Curve Header Data'!W194)</f>
        <v/>
      </c>
    </row>
    <row r="194" spans="1:19" x14ac:dyDescent="0.2">
      <c r="A194" s="38" t="str">
        <f>IF('Curve Header Data'!A195="","",'Curve Header Data'!A195)</f>
        <v/>
      </c>
      <c r="B194" s="38" t="str">
        <f>IF('Curve Header Data'!C195="","",'Curve Header Data'!C195)</f>
        <v/>
      </c>
      <c r="C194" s="38" t="str">
        <f>IF('Curve Header Data'!D195="","",'Curve Header Data'!D195)</f>
        <v/>
      </c>
      <c r="D194" s="38" t="str">
        <f>IF('Curve Header Data'!E195="","",'Curve Header Data'!E195)</f>
        <v/>
      </c>
      <c r="E194" s="38" t="str">
        <f>IF('Curve Header Data'!B195="","",'Curve Header Data'!B195)</f>
        <v/>
      </c>
      <c r="F194" s="38" t="str">
        <f>IF('Curve Header Data'!K195="","",'Curve Header Data'!K195*$E$2)</f>
        <v/>
      </c>
      <c r="G194" s="38" t="str">
        <f>IF('Curve Header Data'!L195="","",'Curve Header Data'!L195*$E$2)</f>
        <v/>
      </c>
      <c r="H194" s="38">
        <f>IF('Curve Header Data'!N195="","",'Curve Header Data'!N195)</f>
        <v>1</v>
      </c>
      <c r="I194" s="38">
        <f>IF('Curve Header Data'!O195="","",'Curve Header Data'!O195)</f>
        <v>5</v>
      </c>
      <c r="J194" s="27">
        <f>IF('Curve Header Data'!M195="","",'Curve Header Data'!M195)</f>
        <v>185</v>
      </c>
      <c r="K194" s="27" t="str">
        <f>IF('Curve Header Data'!G195="","",'Curve Header Data'!G195)</f>
        <v/>
      </c>
      <c r="L194" s="27" t="str">
        <f>IF('Curve Header Data'!H195="","",'Curve Header Data'!H195)</f>
        <v/>
      </c>
      <c r="M194" s="27" t="str">
        <f>IF('Curve Header Data'!I195="","",'Curve Header Data'!I195)</f>
        <v/>
      </c>
      <c r="N194" s="27" t="str">
        <f>IF('Curve Header Data'!J195="","",'Curve Header Data'!J195*$E$3)</f>
        <v/>
      </c>
      <c r="O194" s="27" t="str">
        <f>IF('Curve Header Data'!S195="","",'Curve Header Data'!S195*$J$2)</f>
        <v/>
      </c>
      <c r="P194" s="27" t="str">
        <f>IF('Curve Header Data'!T195="","",'Curve Header Data'!T195*$J$3)</f>
        <v/>
      </c>
      <c r="Q194" s="27" t="str">
        <f>IF('Curve Header Data'!U195="","",'Curve Header Data'!U195)</f>
        <v/>
      </c>
      <c r="R194" s="27" t="str">
        <f>IF('Curve Header Data'!V195="","",'Curve Header Data'!V195)</f>
        <v/>
      </c>
      <c r="S194" s="27" t="str">
        <f>IF('Curve Header Data'!W195="","",'Curve Header Data'!W195)</f>
        <v/>
      </c>
    </row>
    <row r="195" spans="1:19" x14ac:dyDescent="0.2">
      <c r="A195" s="38" t="str">
        <f>IF('Curve Header Data'!A196="","",'Curve Header Data'!A196)</f>
        <v/>
      </c>
      <c r="B195" s="38" t="str">
        <f>IF('Curve Header Data'!C196="","",'Curve Header Data'!C196)</f>
        <v/>
      </c>
      <c r="C195" s="38" t="str">
        <f>IF('Curve Header Data'!D196="","",'Curve Header Data'!D196)</f>
        <v/>
      </c>
      <c r="D195" s="38" t="str">
        <f>IF('Curve Header Data'!E196="","",'Curve Header Data'!E196)</f>
        <v/>
      </c>
      <c r="E195" s="38" t="str">
        <f>IF('Curve Header Data'!B196="","",'Curve Header Data'!B196)</f>
        <v/>
      </c>
      <c r="F195" s="38" t="str">
        <f>IF('Curve Header Data'!K196="","",'Curve Header Data'!K196*$E$2)</f>
        <v/>
      </c>
      <c r="G195" s="38" t="str">
        <f>IF('Curve Header Data'!L196="","",'Curve Header Data'!L196*$E$2)</f>
        <v/>
      </c>
      <c r="H195" s="38">
        <f>IF('Curve Header Data'!N196="","",'Curve Header Data'!N196)</f>
        <v>1</v>
      </c>
      <c r="I195" s="38">
        <f>IF('Curve Header Data'!O196="","",'Curve Header Data'!O196)</f>
        <v>5</v>
      </c>
      <c r="J195" s="27">
        <f>IF('Curve Header Data'!M196="","",'Curve Header Data'!M196)</f>
        <v>186</v>
      </c>
      <c r="K195" s="27" t="str">
        <f>IF('Curve Header Data'!G196="","",'Curve Header Data'!G196)</f>
        <v/>
      </c>
      <c r="L195" s="27" t="str">
        <f>IF('Curve Header Data'!H196="","",'Curve Header Data'!H196)</f>
        <v/>
      </c>
      <c r="M195" s="27" t="str">
        <f>IF('Curve Header Data'!I196="","",'Curve Header Data'!I196)</f>
        <v/>
      </c>
      <c r="N195" s="27" t="str">
        <f>IF('Curve Header Data'!J196="","",'Curve Header Data'!J196*$E$3)</f>
        <v/>
      </c>
      <c r="O195" s="27" t="str">
        <f>IF('Curve Header Data'!S196="","",'Curve Header Data'!S196*$J$2)</f>
        <v/>
      </c>
      <c r="P195" s="27" t="str">
        <f>IF('Curve Header Data'!T196="","",'Curve Header Data'!T196*$J$3)</f>
        <v/>
      </c>
      <c r="Q195" s="27" t="str">
        <f>IF('Curve Header Data'!U196="","",'Curve Header Data'!U196)</f>
        <v/>
      </c>
      <c r="R195" s="27" t="str">
        <f>IF('Curve Header Data'!V196="","",'Curve Header Data'!V196)</f>
        <v/>
      </c>
      <c r="S195" s="27" t="str">
        <f>IF('Curve Header Data'!W196="","",'Curve Header Data'!W196)</f>
        <v/>
      </c>
    </row>
    <row r="196" spans="1:19" x14ac:dyDescent="0.2">
      <c r="A196" s="38" t="str">
        <f>IF('Curve Header Data'!A197="","",'Curve Header Data'!A197)</f>
        <v/>
      </c>
      <c r="B196" s="38" t="str">
        <f>IF('Curve Header Data'!C197="","",'Curve Header Data'!C197)</f>
        <v/>
      </c>
      <c r="C196" s="38" t="str">
        <f>IF('Curve Header Data'!D197="","",'Curve Header Data'!D197)</f>
        <v/>
      </c>
      <c r="D196" s="38" t="str">
        <f>IF('Curve Header Data'!E197="","",'Curve Header Data'!E197)</f>
        <v/>
      </c>
      <c r="E196" s="38" t="str">
        <f>IF('Curve Header Data'!B197="","",'Curve Header Data'!B197)</f>
        <v/>
      </c>
      <c r="F196" s="38" t="str">
        <f>IF('Curve Header Data'!K197="","",'Curve Header Data'!K197*$E$2)</f>
        <v/>
      </c>
      <c r="G196" s="38" t="str">
        <f>IF('Curve Header Data'!L197="","",'Curve Header Data'!L197*$E$2)</f>
        <v/>
      </c>
      <c r="H196" s="38">
        <f>IF('Curve Header Data'!N197="","",'Curve Header Data'!N197)</f>
        <v>1</v>
      </c>
      <c r="I196" s="38">
        <f>IF('Curve Header Data'!O197="","",'Curve Header Data'!O197)</f>
        <v>5</v>
      </c>
      <c r="J196" s="27">
        <f>IF('Curve Header Data'!M197="","",'Curve Header Data'!M197)</f>
        <v>187</v>
      </c>
      <c r="K196" s="27" t="str">
        <f>IF('Curve Header Data'!G197="","",'Curve Header Data'!G197)</f>
        <v/>
      </c>
      <c r="L196" s="27" t="str">
        <f>IF('Curve Header Data'!H197="","",'Curve Header Data'!H197)</f>
        <v/>
      </c>
      <c r="M196" s="27" t="str">
        <f>IF('Curve Header Data'!I197="","",'Curve Header Data'!I197)</f>
        <v/>
      </c>
      <c r="N196" s="27" t="str">
        <f>IF('Curve Header Data'!J197="","",'Curve Header Data'!J197*$E$3)</f>
        <v/>
      </c>
      <c r="O196" s="27" t="str">
        <f>IF('Curve Header Data'!S197="","",'Curve Header Data'!S197*$J$2)</f>
        <v/>
      </c>
      <c r="P196" s="27" t="str">
        <f>IF('Curve Header Data'!T197="","",'Curve Header Data'!T197*$J$3)</f>
        <v/>
      </c>
      <c r="Q196" s="27" t="str">
        <f>IF('Curve Header Data'!U197="","",'Curve Header Data'!U197)</f>
        <v/>
      </c>
      <c r="R196" s="27" t="str">
        <f>IF('Curve Header Data'!V197="","",'Curve Header Data'!V197)</f>
        <v/>
      </c>
      <c r="S196" s="27" t="str">
        <f>IF('Curve Header Data'!W197="","",'Curve Header Data'!W197)</f>
        <v/>
      </c>
    </row>
    <row r="197" spans="1:19" x14ac:dyDescent="0.2">
      <c r="A197" s="38" t="str">
        <f>IF('Curve Header Data'!A198="","",'Curve Header Data'!A198)</f>
        <v/>
      </c>
      <c r="B197" s="38" t="str">
        <f>IF('Curve Header Data'!C198="","",'Curve Header Data'!C198)</f>
        <v/>
      </c>
      <c r="C197" s="38" t="str">
        <f>IF('Curve Header Data'!D198="","",'Curve Header Data'!D198)</f>
        <v/>
      </c>
      <c r="D197" s="38" t="str">
        <f>IF('Curve Header Data'!E198="","",'Curve Header Data'!E198)</f>
        <v/>
      </c>
      <c r="E197" s="38" t="str">
        <f>IF('Curve Header Data'!B198="","",'Curve Header Data'!B198)</f>
        <v/>
      </c>
      <c r="F197" s="38" t="str">
        <f>IF('Curve Header Data'!K198="","",'Curve Header Data'!K198*$E$2)</f>
        <v/>
      </c>
      <c r="G197" s="38" t="str">
        <f>IF('Curve Header Data'!L198="","",'Curve Header Data'!L198*$E$2)</f>
        <v/>
      </c>
      <c r="H197" s="38">
        <f>IF('Curve Header Data'!N198="","",'Curve Header Data'!N198)</f>
        <v>1</v>
      </c>
      <c r="I197" s="38">
        <f>IF('Curve Header Data'!O198="","",'Curve Header Data'!O198)</f>
        <v>5</v>
      </c>
      <c r="J197" s="27">
        <f>IF('Curve Header Data'!M198="","",'Curve Header Data'!M198)</f>
        <v>188</v>
      </c>
      <c r="K197" s="27" t="str">
        <f>IF('Curve Header Data'!G198="","",'Curve Header Data'!G198)</f>
        <v/>
      </c>
      <c r="L197" s="27" t="str">
        <f>IF('Curve Header Data'!H198="","",'Curve Header Data'!H198)</f>
        <v/>
      </c>
      <c r="M197" s="27" t="str">
        <f>IF('Curve Header Data'!I198="","",'Curve Header Data'!I198)</f>
        <v/>
      </c>
      <c r="N197" s="27" t="str">
        <f>IF('Curve Header Data'!J198="","",'Curve Header Data'!J198*$E$3)</f>
        <v/>
      </c>
      <c r="O197" s="27" t="str">
        <f>IF('Curve Header Data'!S198="","",'Curve Header Data'!S198*$J$2)</f>
        <v/>
      </c>
      <c r="P197" s="27" t="str">
        <f>IF('Curve Header Data'!T198="","",'Curve Header Data'!T198*$J$3)</f>
        <v/>
      </c>
      <c r="Q197" s="27" t="str">
        <f>IF('Curve Header Data'!U198="","",'Curve Header Data'!U198)</f>
        <v/>
      </c>
      <c r="R197" s="27" t="str">
        <f>IF('Curve Header Data'!V198="","",'Curve Header Data'!V198)</f>
        <v/>
      </c>
      <c r="S197" s="27" t="str">
        <f>IF('Curve Header Data'!W198="","",'Curve Header Data'!W198)</f>
        <v/>
      </c>
    </row>
    <row r="198" spans="1:19" x14ac:dyDescent="0.2">
      <c r="A198" s="38" t="str">
        <f>IF('Curve Header Data'!A199="","",'Curve Header Data'!A199)</f>
        <v/>
      </c>
      <c r="B198" s="38" t="str">
        <f>IF('Curve Header Data'!C199="","",'Curve Header Data'!C199)</f>
        <v/>
      </c>
      <c r="C198" s="38" t="str">
        <f>IF('Curve Header Data'!D199="","",'Curve Header Data'!D199)</f>
        <v/>
      </c>
      <c r="D198" s="38" t="str">
        <f>IF('Curve Header Data'!E199="","",'Curve Header Data'!E199)</f>
        <v/>
      </c>
      <c r="E198" s="38" t="str">
        <f>IF('Curve Header Data'!B199="","",'Curve Header Data'!B199)</f>
        <v/>
      </c>
      <c r="F198" s="38" t="str">
        <f>IF('Curve Header Data'!K199="","",'Curve Header Data'!K199*$E$2)</f>
        <v/>
      </c>
      <c r="G198" s="38" t="str">
        <f>IF('Curve Header Data'!L199="","",'Curve Header Data'!L199*$E$2)</f>
        <v/>
      </c>
      <c r="H198" s="38">
        <f>IF('Curve Header Data'!N199="","",'Curve Header Data'!N199)</f>
        <v>1</v>
      </c>
      <c r="I198" s="38">
        <f>IF('Curve Header Data'!O199="","",'Curve Header Data'!O199)</f>
        <v>5</v>
      </c>
      <c r="J198" s="27">
        <f>IF('Curve Header Data'!M199="","",'Curve Header Data'!M199)</f>
        <v>189</v>
      </c>
      <c r="K198" s="27" t="str">
        <f>IF('Curve Header Data'!G199="","",'Curve Header Data'!G199)</f>
        <v/>
      </c>
      <c r="L198" s="27" t="str">
        <f>IF('Curve Header Data'!H199="","",'Curve Header Data'!H199)</f>
        <v/>
      </c>
      <c r="M198" s="27" t="str">
        <f>IF('Curve Header Data'!I199="","",'Curve Header Data'!I199)</f>
        <v/>
      </c>
      <c r="N198" s="27" t="str">
        <f>IF('Curve Header Data'!J199="","",'Curve Header Data'!J199*$E$3)</f>
        <v/>
      </c>
      <c r="O198" s="27" t="str">
        <f>IF('Curve Header Data'!S199="","",'Curve Header Data'!S199*$J$2)</f>
        <v/>
      </c>
      <c r="P198" s="27" t="str">
        <f>IF('Curve Header Data'!T199="","",'Curve Header Data'!T199*$J$3)</f>
        <v/>
      </c>
      <c r="Q198" s="27" t="str">
        <f>IF('Curve Header Data'!U199="","",'Curve Header Data'!U199)</f>
        <v/>
      </c>
      <c r="R198" s="27" t="str">
        <f>IF('Curve Header Data'!V199="","",'Curve Header Data'!V199)</f>
        <v/>
      </c>
      <c r="S198" s="27" t="str">
        <f>IF('Curve Header Data'!W199="","",'Curve Header Data'!W199)</f>
        <v/>
      </c>
    </row>
    <row r="199" spans="1:19" x14ac:dyDescent="0.2">
      <c r="A199" s="38" t="str">
        <f>IF('Curve Header Data'!A200="","",'Curve Header Data'!A200)</f>
        <v/>
      </c>
      <c r="B199" s="38" t="str">
        <f>IF('Curve Header Data'!C200="","",'Curve Header Data'!C200)</f>
        <v/>
      </c>
      <c r="C199" s="38" t="str">
        <f>IF('Curve Header Data'!D200="","",'Curve Header Data'!D200)</f>
        <v/>
      </c>
      <c r="D199" s="38" t="str">
        <f>IF('Curve Header Data'!E200="","",'Curve Header Data'!E200)</f>
        <v/>
      </c>
      <c r="E199" s="38" t="str">
        <f>IF('Curve Header Data'!B200="","",'Curve Header Data'!B200)</f>
        <v/>
      </c>
      <c r="F199" s="38" t="str">
        <f>IF('Curve Header Data'!K200="","",'Curve Header Data'!K200*$E$2)</f>
        <v/>
      </c>
      <c r="G199" s="38" t="str">
        <f>IF('Curve Header Data'!L200="","",'Curve Header Data'!L200*$E$2)</f>
        <v/>
      </c>
      <c r="H199" s="38">
        <f>IF('Curve Header Data'!N200="","",'Curve Header Data'!N200)</f>
        <v>1</v>
      </c>
      <c r="I199" s="38">
        <f>IF('Curve Header Data'!O200="","",'Curve Header Data'!O200)</f>
        <v>5</v>
      </c>
      <c r="J199" s="27">
        <f>IF('Curve Header Data'!M200="","",'Curve Header Data'!M200)</f>
        <v>190</v>
      </c>
      <c r="K199" s="27" t="str">
        <f>IF('Curve Header Data'!G200="","",'Curve Header Data'!G200)</f>
        <v/>
      </c>
      <c r="L199" s="27" t="str">
        <f>IF('Curve Header Data'!H200="","",'Curve Header Data'!H200)</f>
        <v/>
      </c>
      <c r="M199" s="27" t="str">
        <f>IF('Curve Header Data'!I200="","",'Curve Header Data'!I200)</f>
        <v/>
      </c>
      <c r="N199" s="27" t="str">
        <f>IF('Curve Header Data'!J200="","",'Curve Header Data'!J200*$E$3)</f>
        <v/>
      </c>
      <c r="O199" s="27" t="str">
        <f>IF('Curve Header Data'!S200="","",'Curve Header Data'!S200*$J$2)</f>
        <v/>
      </c>
      <c r="P199" s="27" t="str">
        <f>IF('Curve Header Data'!T200="","",'Curve Header Data'!T200*$J$3)</f>
        <v/>
      </c>
      <c r="Q199" s="27" t="str">
        <f>IF('Curve Header Data'!U200="","",'Curve Header Data'!U200)</f>
        <v/>
      </c>
      <c r="R199" s="27" t="str">
        <f>IF('Curve Header Data'!V200="","",'Curve Header Data'!V200)</f>
        <v/>
      </c>
      <c r="S199" s="27" t="str">
        <f>IF('Curve Header Data'!W200="","",'Curve Header Data'!W200)</f>
        <v/>
      </c>
    </row>
    <row r="200" spans="1:19" x14ac:dyDescent="0.2">
      <c r="A200" s="38" t="str">
        <f>IF('Curve Header Data'!A201="","",'Curve Header Data'!A201)</f>
        <v/>
      </c>
      <c r="B200" s="38" t="str">
        <f>IF('Curve Header Data'!C201="","",'Curve Header Data'!C201)</f>
        <v/>
      </c>
      <c r="C200" s="38" t="str">
        <f>IF('Curve Header Data'!D201="","",'Curve Header Data'!D201)</f>
        <v/>
      </c>
      <c r="D200" s="38" t="str">
        <f>IF('Curve Header Data'!E201="","",'Curve Header Data'!E201)</f>
        <v/>
      </c>
      <c r="E200" s="38" t="str">
        <f>IF('Curve Header Data'!B201="","",'Curve Header Data'!B201)</f>
        <v/>
      </c>
      <c r="F200" s="38" t="str">
        <f>IF('Curve Header Data'!K201="","",'Curve Header Data'!K201*$E$2)</f>
        <v/>
      </c>
      <c r="G200" s="38" t="str">
        <f>IF('Curve Header Data'!L201="","",'Curve Header Data'!L201*$E$2)</f>
        <v/>
      </c>
      <c r="H200" s="38">
        <f>IF('Curve Header Data'!N201="","",'Curve Header Data'!N201)</f>
        <v>1</v>
      </c>
      <c r="I200" s="38">
        <f>IF('Curve Header Data'!O201="","",'Curve Header Data'!O201)</f>
        <v>5</v>
      </c>
      <c r="J200" s="27">
        <f>IF('Curve Header Data'!M201="","",'Curve Header Data'!M201)</f>
        <v>191</v>
      </c>
      <c r="K200" s="27" t="str">
        <f>IF('Curve Header Data'!G201="","",'Curve Header Data'!G201)</f>
        <v/>
      </c>
      <c r="L200" s="27" t="str">
        <f>IF('Curve Header Data'!H201="","",'Curve Header Data'!H201)</f>
        <v/>
      </c>
      <c r="M200" s="27" t="str">
        <f>IF('Curve Header Data'!I201="","",'Curve Header Data'!I201)</f>
        <v/>
      </c>
      <c r="N200" s="27" t="str">
        <f>IF('Curve Header Data'!J201="","",'Curve Header Data'!J201*$E$3)</f>
        <v/>
      </c>
      <c r="O200" s="27" t="str">
        <f>IF('Curve Header Data'!S201="","",'Curve Header Data'!S201*$J$2)</f>
        <v/>
      </c>
      <c r="P200" s="27" t="str">
        <f>IF('Curve Header Data'!T201="","",'Curve Header Data'!T201*$J$3)</f>
        <v/>
      </c>
      <c r="Q200" s="27" t="str">
        <f>IF('Curve Header Data'!U201="","",'Curve Header Data'!U201)</f>
        <v/>
      </c>
      <c r="R200" s="27" t="str">
        <f>IF('Curve Header Data'!V201="","",'Curve Header Data'!V201)</f>
        <v/>
      </c>
      <c r="S200" s="27" t="str">
        <f>IF('Curve Header Data'!W201="","",'Curve Header Data'!W201)</f>
        <v/>
      </c>
    </row>
    <row r="201" spans="1:19" x14ac:dyDescent="0.2">
      <c r="A201" s="38" t="str">
        <f>IF('Curve Header Data'!A202="","",'Curve Header Data'!A202)</f>
        <v/>
      </c>
      <c r="B201" s="38" t="str">
        <f>IF('Curve Header Data'!C202="","",'Curve Header Data'!C202)</f>
        <v/>
      </c>
      <c r="C201" s="38" t="str">
        <f>IF('Curve Header Data'!D202="","",'Curve Header Data'!D202)</f>
        <v/>
      </c>
      <c r="D201" s="38" t="str">
        <f>IF('Curve Header Data'!E202="","",'Curve Header Data'!E202)</f>
        <v/>
      </c>
      <c r="E201" s="38" t="str">
        <f>IF('Curve Header Data'!B202="","",'Curve Header Data'!B202)</f>
        <v/>
      </c>
      <c r="F201" s="38" t="str">
        <f>IF('Curve Header Data'!K202="","",'Curve Header Data'!K202*$E$2)</f>
        <v/>
      </c>
      <c r="G201" s="38" t="str">
        <f>IF('Curve Header Data'!L202="","",'Curve Header Data'!L202*$E$2)</f>
        <v/>
      </c>
      <c r="H201" s="38">
        <f>IF('Curve Header Data'!N202="","",'Curve Header Data'!N202)</f>
        <v>1</v>
      </c>
      <c r="I201" s="38">
        <f>IF('Curve Header Data'!O202="","",'Curve Header Data'!O202)</f>
        <v>5</v>
      </c>
      <c r="J201" s="27">
        <f>IF('Curve Header Data'!M202="","",'Curve Header Data'!M202)</f>
        <v>192</v>
      </c>
      <c r="K201" s="27" t="str">
        <f>IF('Curve Header Data'!G202="","",'Curve Header Data'!G202)</f>
        <v/>
      </c>
      <c r="L201" s="27" t="str">
        <f>IF('Curve Header Data'!H202="","",'Curve Header Data'!H202)</f>
        <v/>
      </c>
      <c r="M201" s="27" t="str">
        <f>IF('Curve Header Data'!I202="","",'Curve Header Data'!I202)</f>
        <v/>
      </c>
      <c r="N201" s="27" t="str">
        <f>IF('Curve Header Data'!J202="","",'Curve Header Data'!J202*$E$3)</f>
        <v/>
      </c>
      <c r="O201" s="27" t="str">
        <f>IF('Curve Header Data'!S202="","",'Curve Header Data'!S202*$J$2)</f>
        <v/>
      </c>
      <c r="P201" s="27" t="str">
        <f>IF('Curve Header Data'!T202="","",'Curve Header Data'!T202*$J$3)</f>
        <v/>
      </c>
      <c r="Q201" s="27" t="str">
        <f>IF('Curve Header Data'!U202="","",'Curve Header Data'!U202)</f>
        <v/>
      </c>
      <c r="R201" s="27" t="str">
        <f>IF('Curve Header Data'!V202="","",'Curve Header Data'!V202)</f>
        <v/>
      </c>
      <c r="S201" s="27" t="str">
        <f>IF('Curve Header Data'!W202="","",'Curve Header Data'!W202)</f>
        <v/>
      </c>
    </row>
    <row r="202" spans="1:19" x14ac:dyDescent="0.2">
      <c r="A202" s="38" t="str">
        <f>IF('Curve Header Data'!A203="","",'Curve Header Data'!A203)</f>
        <v/>
      </c>
      <c r="B202" s="38" t="str">
        <f>IF('Curve Header Data'!C203="","",'Curve Header Data'!C203)</f>
        <v/>
      </c>
      <c r="C202" s="38" t="str">
        <f>IF('Curve Header Data'!D203="","",'Curve Header Data'!D203)</f>
        <v/>
      </c>
      <c r="D202" s="38" t="str">
        <f>IF('Curve Header Data'!E203="","",'Curve Header Data'!E203)</f>
        <v/>
      </c>
      <c r="E202" s="38" t="str">
        <f>IF('Curve Header Data'!B203="","",'Curve Header Data'!B203)</f>
        <v/>
      </c>
      <c r="F202" s="38" t="str">
        <f>IF('Curve Header Data'!K203="","",'Curve Header Data'!K203*$E$2)</f>
        <v/>
      </c>
      <c r="G202" s="38" t="str">
        <f>IF('Curve Header Data'!L203="","",'Curve Header Data'!L203*$E$2)</f>
        <v/>
      </c>
      <c r="H202" s="38">
        <f>IF('Curve Header Data'!N203="","",'Curve Header Data'!N203)</f>
        <v>1</v>
      </c>
      <c r="I202" s="38">
        <f>IF('Curve Header Data'!O203="","",'Curve Header Data'!O203)</f>
        <v>5</v>
      </c>
      <c r="J202" s="27">
        <f>IF('Curve Header Data'!M203="","",'Curve Header Data'!M203)</f>
        <v>193</v>
      </c>
      <c r="K202" s="27" t="str">
        <f>IF('Curve Header Data'!G203="","",'Curve Header Data'!G203)</f>
        <v/>
      </c>
      <c r="L202" s="27" t="str">
        <f>IF('Curve Header Data'!H203="","",'Curve Header Data'!H203)</f>
        <v/>
      </c>
      <c r="M202" s="27" t="str">
        <f>IF('Curve Header Data'!I203="","",'Curve Header Data'!I203)</f>
        <v/>
      </c>
      <c r="N202" s="27" t="str">
        <f>IF('Curve Header Data'!J203="","",'Curve Header Data'!J203*$E$3)</f>
        <v/>
      </c>
      <c r="O202" s="27" t="str">
        <f>IF('Curve Header Data'!S203="","",'Curve Header Data'!S203*$J$2)</f>
        <v/>
      </c>
      <c r="P202" s="27" t="str">
        <f>IF('Curve Header Data'!T203="","",'Curve Header Data'!T203*$J$3)</f>
        <v/>
      </c>
      <c r="Q202" s="27" t="str">
        <f>IF('Curve Header Data'!U203="","",'Curve Header Data'!U203)</f>
        <v/>
      </c>
      <c r="R202" s="27" t="str">
        <f>IF('Curve Header Data'!V203="","",'Curve Header Data'!V203)</f>
        <v/>
      </c>
      <c r="S202" s="27" t="str">
        <f>IF('Curve Header Data'!W203="","",'Curve Header Data'!W203)</f>
        <v/>
      </c>
    </row>
    <row r="203" spans="1:19" x14ac:dyDescent="0.2">
      <c r="A203" s="38" t="str">
        <f>IF('Curve Header Data'!A204="","",'Curve Header Data'!A204)</f>
        <v/>
      </c>
      <c r="B203" s="38" t="str">
        <f>IF('Curve Header Data'!C204="","",'Curve Header Data'!C204)</f>
        <v/>
      </c>
      <c r="C203" s="38" t="str">
        <f>IF('Curve Header Data'!D204="","",'Curve Header Data'!D204)</f>
        <v/>
      </c>
      <c r="D203" s="38" t="str">
        <f>IF('Curve Header Data'!E204="","",'Curve Header Data'!E204)</f>
        <v/>
      </c>
      <c r="E203" s="38" t="str">
        <f>IF('Curve Header Data'!B204="","",'Curve Header Data'!B204)</f>
        <v/>
      </c>
      <c r="F203" s="38" t="str">
        <f>IF('Curve Header Data'!K204="","",'Curve Header Data'!K204*$E$2)</f>
        <v/>
      </c>
      <c r="G203" s="38" t="str">
        <f>IF('Curve Header Data'!L204="","",'Curve Header Data'!L204*$E$2)</f>
        <v/>
      </c>
      <c r="H203" s="38">
        <f>IF('Curve Header Data'!N204="","",'Curve Header Data'!N204)</f>
        <v>1</v>
      </c>
      <c r="I203" s="38">
        <f>IF('Curve Header Data'!O204="","",'Curve Header Data'!O204)</f>
        <v>5</v>
      </c>
      <c r="J203" s="27">
        <f>IF('Curve Header Data'!M204="","",'Curve Header Data'!M204)</f>
        <v>194</v>
      </c>
      <c r="K203" s="27" t="str">
        <f>IF('Curve Header Data'!G204="","",'Curve Header Data'!G204)</f>
        <v/>
      </c>
      <c r="L203" s="27" t="str">
        <f>IF('Curve Header Data'!H204="","",'Curve Header Data'!H204)</f>
        <v/>
      </c>
      <c r="M203" s="27" t="str">
        <f>IF('Curve Header Data'!I204="","",'Curve Header Data'!I204)</f>
        <v/>
      </c>
      <c r="N203" s="27" t="str">
        <f>IF('Curve Header Data'!J204="","",'Curve Header Data'!J204*$E$3)</f>
        <v/>
      </c>
      <c r="O203" s="27" t="str">
        <f>IF('Curve Header Data'!S204="","",'Curve Header Data'!S204*$J$2)</f>
        <v/>
      </c>
      <c r="P203" s="27" t="str">
        <f>IF('Curve Header Data'!T204="","",'Curve Header Data'!T204*$J$3)</f>
        <v/>
      </c>
      <c r="Q203" s="27" t="str">
        <f>IF('Curve Header Data'!U204="","",'Curve Header Data'!U204)</f>
        <v/>
      </c>
      <c r="R203" s="27" t="str">
        <f>IF('Curve Header Data'!V204="","",'Curve Header Data'!V204)</f>
        <v/>
      </c>
      <c r="S203" s="27" t="str">
        <f>IF('Curve Header Data'!W204="","",'Curve Header Data'!W204)</f>
        <v/>
      </c>
    </row>
    <row r="204" spans="1:19" x14ac:dyDescent="0.2">
      <c r="A204" s="38" t="str">
        <f>IF('Curve Header Data'!A205="","",'Curve Header Data'!A205)</f>
        <v/>
      </c>
      <c r="B204" s="38" t="str">
        <f>IF('Curve Header Data'!C205="","",'Curve Header Data'!C205)</f>
        <v/>
      </c>
      <c r="C204" s="38" t="str">
        <f>IF('Curve Header Data'!D205="","",'Curve Header Data'!D205)</f>
        <v/>
      </c>
      <c r="D204" s="38" t="str">
        <f>IF('Curve Header Data'!E205="","",'Curve Header Data'!E205)</f>
        <v/>
      </c>
      <c r="E204" s="38" t="str">
        <f>IF('Curve Header Data'!B205="","",'Curve Header Data'!B205)</f>
        <v/>
      </c>
      <c r="F204" s="38" t="str">
        <f>IF('Curve Header Data'!K205="","",'Curve Header Data'!K205*$E$2)</f>
        <v/>
      </c>
      <c r="G204" s="38" t="str">
        <f>IF('Curve Header Data'!L205="","",'Curve Header Data'!L205*$E$2)</f>
        <v/>
      </c>
      <c r="H204" s="38">
        <f>IF('Curve Header Data'!N205="","",'Curve Header Data'!N205)</f>
        <v>1</v>
      </c>
      <c r="I204" s="38">
        <f>IF('Curve Header Data'!O205="","",'Curve Header Data'!O205)</f>
        <v>5</v>
      </c>
      <c r="J204" s="27">
        <f>IF('Curve Header Data'!M205="","",'Curve Header Data'!M205)</f>
        <v>195</v>
      </c>
      <c r="K204" s="27" t="str">
        <f>IF('Curve Header Data'!G205="","",'Curve Header Data'!G205)</f>
        <v/>
      </c>
      <c r="L204" s="27" t="str">
        <f>IF('Curve Header Data'!H205="","",'Curve Header Data'!H205)</f>
        <v/>
      </c>
      <c r="M204" s="27" t="str">
        <f>IF('Curve Header Data'!I205="","",'Curve Header Data'!I205)</f>
        <v/>
      </c>
      <c r="N204" s="27" t="str">
        <f>IF('Curve Header Data'!J205="","",'Curve Header Data'!J205*$E$3)</f>
        <v/>
      </c>
      <c r="O204" s="27" t="str">
        <f>IF('Curve Header Data'!S205="","",'Curve Header Data'!S205*$J$2)</f>
        <v/>
      </c>
      <c r="P204" s="27" t="str">
        <f>IF('Curve Header Data'!T205="","",'Curve Header Data'!T205*$J$3)</f>
        <v/>
      </c>
      <c r="Q204" s="27" t="str">
        <f>IF('Curve Header Data'!U205="","",'Curve Header Data'!U205)</f>
        <v/>
      </c>
      <c r="R204" s="27" t="str">
        <f>IF('Curve Header Data'!V205="","",'Curve Header Data'!V205)</f>
        <v/>
      </c>
      <c r="S204" s="27" t="str">
        <f>IF('Curve Header Data'!W205="","",'Curve Header Data'!W205)</f>
        <v/>
      </c>
    </row>
    <row r="205" spans="1:19" x14ac:dyDescent="0.2">
      <c r="A205" s="38" t="str">
        <f>IF('Curve Header Data'!A206="","",'Curve Header Data'!A206)</f>
        <v/>
      </c>
      <c r="B205" s="38" t="str">
        <f>IF('Curve Header Data'!C206="","",'Curve Header Data'!C206)</f>
        <v/>
      </c>
      <c r="C205" s="38" t="str">
        <f>IF('Curve Header Data'!D206="","",'Curve Header Data'!D206)</f>
        <v/>
      </c>
      <c r="D205" s="38" t="str">
        <f>IF('Curve Header Data'!E206="","",'Curve Header Data'!E206)</f>
        <v/>
      </c>
      <c r="E205" s="38" t="str">
        <f>IF('Curve Header Data'!B206="","",'Curve Header Data'!B206)</f>
        <v/>
      </c>
      <c r="F205" s="38" t="str">
        <f>IF('Curve Header Data'!K206="","",'Curve Header Data'!K206*$E$2)</f>
        <v/>
      </c>
      <c r="G205" s="38" t="str">
        <f>IF('Curve Header Data'!L206="","",'Curve Header Data'!L206*$E$2)</f>
        <v/>
      </c>
      <c r="H205" s="38">
        <f>IF('Curve Header Data'!N206="","",'Curve Header Data'!N206)</f>
        <v>1</v>
      </c>
      <c r="I205" s="38">
        <f>IF('Curve Header Data'!O206="","",'Curve Header Data'!O206)</f>
        <v>5</v>
      </c>
      <c r="J205" s="27">
        <f>IF('Curve Header Data'!M206="","",'Curve Header Data'!M206)</f>
        <v>196</v>
      </c>
      <c r="K205" s="27" t="str">
        <f>IF('Curve Header Data'!G206="","",'Curve Header Data'!G206)</f>
        <v/>
      </c>
      <c r="L205" s="27" t="str">
        <f>IF('Curve Header Data'!H206="","",'Curve Header Data'!H206)</f>
        <v/>
      </c>
      <c r="M205" s="27" t="str">
        <f>IF('Curve Header Data'!I206="","",'Curve Header Data'!I206)</f>
        <v/>
      </c>
      <c r="N205" s="27" t="str">
        <f>IF('Curve Header Data'!J206="","",'Curve Header Data'!J206*$E$3)</f>
        <v/>
      </c>
      <c r="O205" s="27" t="str">
        <f>IF('Curve Header Data'!S206="","",'Curve Header Data'!S206*$J$2)</f>
        <v/>
      </c>
      <c r="P205" s="27" t="str">
        <f>IF('Curve Header Data'!T206="","",'Curve Header Data'!T206*$J$3)</f>
        <v/>
      </c>
      <c r="Q205" s="27" t="str">
        <f>IF('Curve Header Data'!U206="","",'Curve Header Data'!U206)</f>
        <v/>
      </c>
      <c r="R205" s="27" t="str">
        <f>IF('Curve Header Data'!V206="","",'Curve Header Data'!V206)</f>
        <v/>
      </c>
      <c r="S205" s="27" t="str">
        <f>IF('Curve Header Data'!W206="","",'Curve Header Data'!W206)</f>
        <v/>
      </c>
    </row>
    <row r="206" spans="1:19" x14ac:dyDescent="0.2">
      <c r="A206" s="38" t="str">
        <f>IF('Curve Header Data'!A207="","",'Curve Header Data'!A207)</f>
        <v/>
      </c>
      <c r="B206" s="38" t="str">
        <f>IF('Curve Header Data'!C207="","",'Curve Header Data'!C207)</f>
        <v/>
      </c>
      <c r="C206" s="38" t="str">
        <f>IF('Curve Header Data'!D207="","",'Curve Header Data'!D207)</f>
        <v/>
      </c>
      <c r="D206" s="38" t="str">
        <f>IF('Curve Header Data'!E207="","",'Curve Header Data'!E207)</f>
        <v/>
      </c>
      <c r="E206" s="38" t="str">
        <f>IF('Curve Header Data'!B207="","",'Curve Header Data'!B207)</f>
        <v/>
      </c>
      <c r="F206" s="38" t="str">
        <f>IF('Curve Header Data'!K207="","",'Curve Header Data'!K207*$E$2)</f>
        <v/>
      </c>
      <c r="G206" s="38" t="str">
        <f>IF('Curve Header Data'!L207="","",'Curve Header Data'!L207*$E$2)</f>
        <v/>
      </c>
      <c r="H206" s="38">
        <f>IF('Curve Header Data'!N207="","",'Curve Header Data'!N207)</f>
        <v>1</v>
      </c>
      <c r="I206" s="38">
        <f>IF('Curve Header Data'!O207="","",'Curve Header Data'!O207)</f>
        <v>5</v>
      </c>
      <c r="J206" s="27">
        <f>IF('Curve Header Data'!M207="","",'Curve Header Data'!M207)</f>
        <v>197</v>
      </c>
      <c r="K206" s="27" t="str">
        <f>IF('Curve Header Data'!G207="","",'Curve Header Data'!G207)</f>
        <v/>
      </c>
      <c r="L206" s="27" t="str">
        <f>IF('Curve Header Data'!H207="","",'Curve Header Data'!H207)</f>
        <v/>
      </c>
      <c r="M206" s="27" t="str">
        <f>IF('Curve Header Data'!I207="","",'Curve Header Data'!I207)</f>
        <v/>
      </c>
      <c r="N206" s="27" t="str">
        <f>IF('Curve Header Data'!J207="","",'Curve Header Data'!J207*$E$3)</f>
        <v/>
      </c>
      <c r="O206" s="27" t="str">
        <f>IF('Curve Header Data'!S207="","",'Curve Header Data'!S207*$J$2)</f>
        <v/>
      </c>
      <c r="P206" s="27" t="str">
        <f>IF('Curve Header Data'!T207="","",'Curve Header Data'!T207*$J$3)</f>
        <v/>
      </c>
      <c r="Q206" s="27" t="str">
        <f>IF('Curve Header Data'!U207="","",'Curve Header Data'!U207)</f>
        <v/>
      </c>
      <c r="R206" s="27" t="str">
        <f>IF('Curve Header Data'!V207="","",'Curve Header Data'!V207)</f>
        <v/>
      </c>
      <c r="S206" s="27" t="str">
        <f>IF('Curve Header Data'!W207="","",'Curve Header Data'!W207)</f>
        <v/>
      </c>
    </row>
    <row r="207" spans="1:19" x14ac:dyDescent="0.2">
      <c r="A207" s="38" t="str">
        <f>IF('Curve Header Data'!A208="","",'Curve Header Data'!A208)</f>
        <v/>
      </c>
      <c r="B207" s="38" t="str">
        <f>IF('Curve Header Data'!C208="","",'Curve Header Data'!C208)</f>
        <v/>
      </c>
      <c r="C207" s="38" t="str">
        <f>IF('Curve Header Data'!D208="","",'Curve Header Data'!D208)</f>
        <v/>
      </c>
      <c r="D207" s="38" t="str">
        <f>IF('Curve Header Data'!E208="","",'Curve Header Data'!E208)</f>
        <v/>
      </c>
      <c r="E207" s="38" t="str">
        <f>IF('Curve Header Data'!B208="","",'Curve Header Data'!B208)</f>
        <v/>
      </c>
      <c r="F207" s="38" t="str">
        <f>IF('Curve Header Data'!K208="","",'Curve Header Data'!K208*$E$2)</f>
        <v/>
      </c>
      <c r="G207" s="38" t="str">
        <f>IF('Curve Header Data'!L208="","",'Curve Header Data'!L208*$E$2)</f>
        <v/>
      </c>
      <c r="H207" s="38">
        <f>IF('Curve Header Data'!N208="","",'Curve Header Data'!N208)</f>
        <v>1</v>
      </c>
      <c r="I207" s="38">
        <f>IF('Curve Header Data'!O208="","",'Curve Header Data'!O208)</f>
        <v>5</v>
      </c>
      <c r="J207" s="27">
        <f>IF('Curve Header Data'!M208="","",'Curve Header Data'!M208)</f>
        <v>198</v>
      </c>
      <c r="K207" s="27" t="str">
        <f>IF('Curve Header Data'!G208="","",'Curve Header Data'!G208)</f>
        <v/>
      </c>
      <c r="L207" s="27" t="str">
        <f>IF('Curve Header Data'!H208="","",'Curve Header Data'!H208)</f>
        <v/>
      </c>
      <c r="M207" s="27" t="str">
        <f>IF('Curve Header Data'!I208="","",'Curve Header Data'!I208)</f>
        <v/>
      </c>
      <c r="N207" s="27" t="str">
        <f>IF('Curve Header Data'!J208="","",'Curve Header Data'!J208*$E$3)</f>
        <v/>
      </c>
      <c r="O207" s="27" t="str">
        <f>IF('Curve Header Data'!S208="","",'Curve Header Data'!S208*$J$2)</f>
        <v/>
      </c>
      <c r="P207" s="27" t="str">
        <f>IF('Curve Header Data'!T208="","",'Curve Header Data'!T208*$J$3)</f>
        <v/>
      </c>
      <c r="Q207" s="27" t="str">
        <f>IF('Curve Header Data'!U208="","",'Curve Header Data'!U208)</f>
        <v/>
      </c>
      <c r="R207" s="27" t="str">
        <f>IF('Curve Header Data'!V208="","",'Curve Header Data'!V208)</f>
        <v/>
      </c>
      <c r="S207" s="27" t="str">
        <f>IF('Curve Header Data'!W208="","",'Curve Header Data'!W208)</f>
        <v/>
      </c>
    </row>
    <row r="208" spans="1:19" x14ac:dyDescent="0.2">
      <c r="A208" s="38" t="str">
        <f>IF('Curve Header Data'!A209="","",'Curve Header Data'!A209)</f>
        <v/>
      </c>
      <c r="B208" s="38" t="str">
        <f>IF('Curve Header Data'!C209="","",'Curve Header Data'!C209)</f>
        <v/>
      </c>
      <c r="C208" s="38" t="str">
        <f>IF('Curve Header Data'!D209="","",'Curve Header Data'!D209)</f>
        <v/>
      </c>
      <c r="D208" s="38" t="str">
        <f>IF('Curve Header Data'!E209="","",'Curve Header Data'!E209)</f>
        <v/>
      </c>
      <c r="E208" s="38" t="str">
        <f>IF('Curve Header Data'!B209="","",'Curve Header Data'!B209)</f>
        <v/>
      </c>
      <c r="F208" s="38" t="str">
        <f>IF('Curve Header Data'!K209="","",'Curve Header Data'!K209*$E$2)</f>
        <v/>
      </c>
      <c r="G208" s="38" t="str">
        <f>IF('Curve Header Data'!L209="","",'Curve Header Data'!L209*$E$2)</f>
        <v/>
      </c>
      <c r="H208" s="38">
        <f>IF('Curve Header Data'!N209="","",'Curve Header Data'!N209)</f>
        <v>1</v>
      </c>
      <c r="I208" s="38">
        <f>IF('Curve Header Data'!O209="","",'Curve Header Data'!O209)</f>
        <v>5</v>
      </c>
      <c r="J208" s="27">
        <f>IF('Curve Header Data'!M209="","",'Curve Header Data'!M209)</f>
        <v>199</v>
      </c>
      <c r="K208" s="27" t="str">
        <f>IF('Curve Header Data'!G209="","",'Curve Header Data'!G209)</f>
        <v/>
      </c>
      <c r="L208" s="27" t="str">
        <f>IF('Curve Header Data'!H209="","",'Curve Header Data'!H209)</f>
        <v/>
      </c>
      <c r="M208" s="27" t="str">
        <f>IF('Curve Header Data'!I209="","",'Curve Header Data'!I209)</f>
        <v/>
      </c>
      <c r="N208" s="27" t="str">
        <f>IF('Curve Header Data'!J209="","",'Curve Header Data'!J209*$E$3)</f>
        <v/>
      </c>
      <c r="O208" s="27" t="str">
        <f>IF('Curve Header Data'!S209="","",'Curve Header Data'!S209*$J$2)</f>
        <v/>
      </c>
      <c r="P208" s="27" t="str">
        <f>IF('Curve Header Data'!T209="","",'Curve Header Data'!T209*$J$3)</f>
        <v/>
      </c>
      <c r="Q208" s="27" t="str">
        <f>IF('Curve Header Data'!U209="","",'Curve Header Data'!U209)</f>
        <v/>
      </c>
      <c r="R208" s="27" t="str">
        <f>IF('Curve Header Data'!V209="","",'Curve Header Data'!V209)</f>
        <v/>
      </c>
      <c r="S208" s="27" t="str">
        <f>IF('Curve Header Data'!W209="","",'Curve Header Data'!W209)</f>
        <v/>
      </c>
    </row>
    <row r="209" spans="1:19" x14ac:dyDescent="0.2">
      <c r="A209" s="38" t="str">
        <f>IF('Curve Header Data'!A210="","",'Curve Header Data'!A210)</f>
        <v/>
      </c>
      <c r="B209" s="38" t="str">
        <f>IF('Curve Header Data'!C210="","",'Curve Header Data'!C210)</f>
        <v/>
      </c>
      <c r="C209" s="38" t="str">
        <f>IF('Curve Header Data'!D210="","",'Curve Header Data'!D210)</f>
        <v/>
      </c>
      <c r="D209" s="38" t="str">
        <f>IF('Curve Header Data'!E210="","",'Curve Header Data'!E210)</f>
        <v/>
      </c>
      <c r="E209" s="38" t="str">
        <f>IF('Curve Header Data'!B210="","",'Curve Header Data'!B210)</f>
        <v/>
      </c>
      <c r="F209" s="38" t="str">
        <f>IF('Curve Header Data'!K210="","",'Curve Header Data'!K210*$E$2)</f>
        <v/>
      </c>
      <c r="G209" s="38" t="str">
        <f>IF('Curve Header Data'!L210="","",'Curve Header Data'!L210*$E$2)</f>
        <v/>
      </c>
      <c r="H209" s="38">
        <f>IF('Curve Header Data'!N210="","",'Curve Header Data'!N210)</f>
        <v>1</v>
      </c>
      <c r="I209" s="38">
        <f>IF('Curve Header Data'!O210="","",'Curve Header Data'!O210)</f>
        <v>5</v>
      </c>
      <c r="J209" s="27">
        <f>IF('Curve Header Data'!M210="","",'Curve Header Data'!M210)</f>
        <v>200</v>
      </c>
      <c r="K209" s="27" t="str">
        <f>IF('Curve Header Data'!G210="","",'Curve Header Data'!G210)</f>
        <v/>
      </c>
      <c r="L209" s="27" t="str">
        <f>IF('Curve Header Data'!H210="","",'Curve Header Data'!H210)</f>
        <v/>
      </c>
      <c r="M209" s="27" t="str">
        <f>IF('Curve Header Data'!I210="","",'Curve Header Data'!I210)</f>
        <v/>
      </c>
      <c r="N209" s="27" t="str">
        <f>IF('Curve Header Data'!J210="","",'Curve Header Data'!J210*$E$3)</f>
        <v/>
      </c>
      <c r="O209" s="27" t="str">
        <f>IF('Curve Header Data'!S210="","",'Curve Header Data'!S210*$J$2)</f>
        <v/>
      </c>
      <c r="P209" s="27" t="str">
        <f>IF('Curve Header Data'!T210="","",'Curve Header Data'!T210*$J$3)</f>
        <v/>
      </c>
      <c r="Q209" s="27" t="str">
        <f>IF('Curve Header Data'!U210="","",'Curve Header Data'!U210)</f>
        <v/>
      </c>
      <c r="R209" s="27" t="str">
        <f>IF('Curve Header Data'!V210="","",'Curve Header Data'!V210)</f>
        <v/>
      </c>
      <c r="S209" s="27" t="str">
        <f>IF('Curve Header Data'!W210="","",'Curve Header Data'!W210)</f>
        <v/>
      </c>
    </row>
    <row r="210" spans="1:19" x14ac:dyDescent="0.2">
      <c r="A210" s="38" t="str">
        <f>IF('Curve Header Data'!A211="","",'Curve Header Data'!A211)</f>
        <v/>
      </c>
      <c r="B210" s="38" t="str">
        <f>IF('Curve Header Data'!C211="","",'Curve Header Data'!C211)</f>
        <v/>
      </c>
      <c r="C210" s="38" t="str">
        <f>IF('Curve Header Data'!D211="","",'Curve Header Data'!D211)</f>
        <v/>
      </c>
      <c r="D210" s="38" t="str">
        <f>IF('Curve Header Data'!E211="","",'Curve Header Data'!E211)</f>
        <v/>
      </c>
      <c r="E210" s="38" t="str">
        <f>IF('Curve Header Data'!B211="","",'Curve Header Data'!B211)</f>
        <v/>
      </c>
      <c r="F210" s="38" t="str">
        <f>IF('Curve Header Data'!K211="","",'Curve Header Data'!K211*$E$2)</f>
        <v/>
      </c>
      <c r="G210" s="38" t="str">
        <f>IF('Curve Header Data'!L211="","",'Curve Header Data'!L211*$E$2)</f>
        <v/>
      </c>
      <c r="H210" s="38">
        <f>IF('Curve Header Data'!N211="","",'Curve Header Data'!N211)</f>
        <v>1</v>
      </c>
      <c r="I210" s="38">
        <f>IF('Curve Header Data'!O211="","",'Curve Header Data'!O211)</f>
        <v>5</v>
      </c>
      <c r="J210" s="27">
        <f>IF('Curve Header Data'!M211="","",'Curve Header Data'!M211)</f>
        <v>201</v>
      </c>
      <c r="K210" s="27" t="str">
        <f>IF('Curve Header Data'!G211="","",'Curve Header Data'!G211)</f>
        <v/>
      </c>
      <c r="L210" s="27" t="str">
        <f>IF('Curve Header Data'!H211="","",'Curve Header Data'!H211)</f>
        <v/>
      </c>
      <c r="M210" s="27" t="str">
        <f>IF('Curve Header Data'!I211="","",'Curve Header Data'!I211)</f>
        <v/>
      </c>
      <c r="N210" s="27" t="str">
        <f>IF('Curve Header Data'!J211="","",'Curve Header Data'!J211*$E$3)</f>
        <v/>
      </c>
      <c r="O210" s="27" t="str">
        <f>IF('Curve Header Data'!S211="","",'Curve Header Data'!S211*$J$2)</f>
        <v/>
      </c>
      <c r="P210" s="27" t="str">
        <f>IF('Curve Header Data'!T211="","",'Curve Header Data'!T211*$J$3)</f>
        <v/>
      </c>
      <c r="Q210" s="27" t="str">
        <f>IF('Curve Header Data'!U211="","",'Curve Header Data'!U211)</f>
        <v/>
      </c>
      <c r="R210" s="27" t="str">
        <f>IF('Curve Header Data'!V211="","",'Curve Header Data'!V211)</f>
        <v/>
      </c>
      <c r="S210" s="27" t="str">
        <f>IF('Curve Header Data'!W211="","",'Curve Header Data'!W211)</f>
        <v/>
      </c>
    </row>
    <row r="211" spans="1:19" x14ac:dyDescent="0.2">
      <c r="A211" s="38" t="str">
        <f>IF('Curve Header Data'!A212="","",'Curve Header Data'!A212)</f>
        <v/>
      </c>
      <c r="B211" s="38" t="str">
        <f>IF('Curve Header Data'!C212="","",'Curve Header Data'!C212)</f>
        <v/>
      </c>
      <c r="C211" s="38" t="str">
        <f>IF('Curve Header Data'!D212="","",'Curve Header Data'!D212)</f>
        <v/>
      </c>
      <c r="D211" s="38" t="str">
        <f>IF('Curve Header Data'!E212="","",'Curve Header Data'!E212)</f>
        <v/>
      </c>
      <c r="E211" s="38" t="str">
        <f>IF('Curve Header Data'!B212="","",'Curve Header Data'!B212)</f>
        <v/>
      </c>
      <c r="F211" s="38" t="str">
        <f>IF('Curve Header Data'!K212="","",'Curve Header Data'!K212*$E$2)</f>
        <v/>
      </c>
      <c r="G211" s="38" t="str">
        <f>IF('Curve Header Data'!L212="","",'Curve Header Data'!L212*$E$2)</f>
        <v/>
      </c>
      <c r="H211" s="38">
        <f>IF('Curve Header Data'!N212="","",'Curve Header Data'!N212)</f>
        <v>1</v>
      </c>
      <c r="I211" s="38">
        <f>IF('Curve Header Data'!O212="","",'Curve Header Data'!O212)</f>
        <v>5</v>
      </c>
      <c r="J211" s="27">
        <f>IF('Curve Header Data'!M212="","",'Curve Header Data'!M212)</f>
        <v>202</v>
      </c>
      <c r="K211" s="27" t="str">
        <f>IF('Curve Header Data'!G212="","",'Curve Header Data'!G212)</f>
        <v/>
      </c>
      <c r="L211" s="27" t="str">
        <f>IF('Curve Header Data'!H212="","",'Curve Header Data'!H212)</f>
        <v/>
      </c>
      <c r="M211" s="27" t="str">
        <f>IF('Curve Header Data'!I212="","",'Curve Header Data'!I212)</f>
        <v/>
      </c>
      <c r="N211" s="27" t="str">
        <f>IF('Curve Header Data'!J212="","",'Curve Header Data'!J212*$E$3)</f>
        <v/>
      </c>
      <c r="O211" s="27" t="str">
        <f>IF('Curve Header Data'!S212="","",'Curve Header Data'!S212*$J$2)</f>
        <v/>
      </c>
      <c r="P211" s="27" t="str">
        <f>IF('Curve Header Data'!T212="","",'Curve Header Data'!T212*$J$3)</f>
        <v/>
      </c>
      <c r="Q211" s="27" t="str">
        <f>IF('Curve Header Data'!U212="","",'Curve Header Data'!U212)</f>
        <v/>
      </c>
      <c r="R211" s="27" t="str">
        <f>IF('Curve Header Data'!V212="","",'Curve Header Data'!V212)</f>
        <v/>
      </c>
      <c r="S211" s="27" t="str">
        <f>IF('Curve Header Data'!W212="","",'Curve Header Data'!W212)</f>
        <v/>
      </c>
    </row>
    <row r="212" spans="1:19" x14ac:dyDescent="0.2">
      <c r="A212" s="38" t="str">
        <f>IF('Curve Header Data'!A213="","",'Curve Header Data'!A213)</f>
        <v/>
      </c>
      <c r="B212" s="38" t="str">
        <f>IF('Curve Header Data'!C213="","",'Curve Header Data'!C213)</f>
        <v/>
      </c>
      <c r="C212" s="38" t="str">
        <f>IF('Curve Header Data'!D213="","",'Curve Header Data'!D213)</f>
        <v/>
      </c>
      <c r="D212" s="38" t="str">
        <f>IF('Curve Header Data'!E213="","",'Curve Header Data'!E213)</f>
        <v/>
      </c>
      <c r="E212" s="38" t="str">
        <f>IF('Curve Header Data'!B213="","",'Curve Header Data'!B213)</f>
        <v/>
      </c>
      <c r="F212" s="38" t="str">
        <f>IF('Curve Header Data'!K213="","",'Curve Header Data'!K213*$E$2)</f>
        <v/>
      </c>
      <c r="G212" s="38" t="str">
        <f>IF('Curve Header Data'!L213="","",'Curve Header Data'!L213*$E$2)</f>
        <v/>
      </c>
      <c r="H212" s="38">
        <f>IF('Curve Header Data'!N213="","",'Curve Header Data'!N213)</f>
        <v>1</v>
      </c>
      <c r="I212" s="38">
        <f>IF('Curve Header Data'!O213="","",'Curve Header Data'!O213)</f>
        <v>5</v>
      </c>
      <c r="J212" s="27">
        <f>IF('Curve Header Data'!M213="","",'Curve Header Data'!M213)</f>
        <v>203</v>
      </c>
      <c r="K212" s="27" t="str">
        <f>IF('Curve Header Data'!G213="","",'Curve Header Data'!G213)</f>
        <v/>
      </c>
      <c r="L212" s="27" t="str">
        <f>IF('Curve Header Data'!H213="","",'Curve Header Data'!H213)</f>
        <v/>
      </c>
      <c r="M212" s="27" t="str">
        <f>IF('Curve Header Data'!I213="","",'Curve Header Data'!I213)</f>
        <v/>
      </c>
      <c r="N212" s="27" t="str">
        <f>IF('Curve Header Data'!J213="","",'Curve Header Data'!J213*$E$3)</f>
        <v/>
      </c>
      <c r="O212" s="27" t="str">
        <f>IF('Curve Header Data'!S213="","",'Curve Header Data'!S213*$J$2)</f>
        <v/>
      </c>
      <c r="P212" s="27" t="str">
        <f>IF('Curve Header Data'!T213="","",'Curve Header Data'!T213*$J$3)</f>
        <v/>
      </c>
      <c r="Q212" s="27" t="str">
        <f>IF('Curve Header Data'!U213="","",'Curve Header Data'!U213)</f>
        <v/>
      </c>
      <c r="R212" s="27" t="str">
        <f>IF('Curve Header Data'!V213="","",'Curve Header Data'!V213)</f>
        <v/>
      </c>
      <c r="S212" s="27" t="str">
        <f>IF('Curve Header Data'!W213="","",'Curve Header Data'!W213)</f>
        <v/>
      </c>
    </row>
    <row r="213" spans="1:19" x14ac:dyDescent="0.2">
      <c r="A213" s="38" t="str">
        <f>IF('Curve Header Data'!A214="","",'Curve Header Data'!A214)</f>
        <v/>
      </c>
      <c r="B213" s="38" t="str">
        <f>IF('Curve Header Data'!C214="","",'Curve Header Data'!C214)</f>
        <v/>
      </c>
      <c r="C213" s="38" t="str">
        <f>IF('Curve Header Data'!D214="","",'Curve Header Data'!D214)</f>
        <v/>
      </c>
      <c r="D213" s="38" t="str">
        <f>IF('Curve Header Data'!E214="","",'Curve Header Data'!E214)</f>
        <v/>
      </c>
      <c r="E213" s="38" t="str">
        <f>IF('Curve Header Data'!B214="","",'Curve Header Data'!B214)</f>
        <v/>
      </c>
      <c r="F213" s="38" t="str">
        <f>IF('Curve Header Data'!K214="","",'Curve Header Data'!K214*$E$2)</f>
        <v/>
      </c>
      <c r="G213" s="38" t="str">
        <f>IF('Curve Header Data'!L214="","",'Curve Header Data'!L214*$E$2)</f>
        <v/>
      </c>
      <c r="H213" s="38">
        <f>IF('Curve Header Data'!N214="","",'Curve Header Data'!N214)</f>
        <v>1</v>
      </c>
      <c r="I213" s="38">
        <f>IF('Curve Header Data'!O214="","",'Curve Header Data'!O214)</f>
        <v>5</v>
      </c>
      <c r="J213" s="27">
        <f>IF('Curve Header Data'!M214="","",'Curve Header Data'!M214)</f>
        <v>204</v>
      </c>
      <c r="K213" s="27" t="str">
        <f>IF('Curve Header Data'!G214="","",'Curve Header Data'!G214)</f>
        <v/>
      </c>
      <c r="L213" s="27" t="str">
        <f>IF('Curve Header Data'!H214="","",'Curve Header Data'!H214)</f>
        <v/>
      </c>
      <c r="M213" s="27" t="str">
        <f>IF('Curve Header Data'!I214="","",'Curve Header Data'!I214)</f>
        <v/>
      </c>
      <c r="N213" s="27" t="str">
        <f>IF('Curve Header Data'!J214="","",'Curve Header Data'!J214*$E$3)</f>
        <v/>
      </c>
      <c r="O213" s="27" t="str">
        <f>IF('Curve Header Data'!S214="","",'Curve Header Data'!S214*$J$2)</f>
        <v/>
      </c>
      <c r="P213" s="27" t="str">
        <f>IF('Curve Header Data'!T214="","",'Curve Header Data'!T214*$J$3)</f>
        <v/>
      </c>
      <c r="Q213" s="27" t="str">
        <f>IF('Curve Header Data'!U214="","",'Curve Header Data'!U214)</f>
        <v/>
      </c>
      <c r="R213" s="27" t="str">
        <f>IF('Curve Header Data'!V214="","",'Curve Header Data'!V214)</f>
        <v/>
      </c>
      <c r="S213" s="27" t="str">
        <f>IF('Curve Header Data'!W214="","",'Curve Header Data'!W214)</f>
        <v/>
      </c>
    </row>
    <row r="214" spans="1:19" x14ac:dyDescent="0.2">
      <c r="A214" s="38" t="str">
        <f>IF('Curve Header Data'!A215="","",'Curve Header Data'!A215)</f>
        <v/>
      </c>
      <c r="B214" s="38" t="str">
        <f>IF('Curve Header Data'!C215="","",'Curve Header Data'!C215)</f>
        <v/>
      </c>
      <c r="C214" s="38" t="str">
        <f>IF('Curve Header Data'!D215="","",'Curve Header Data'!D215)</f>
        <v/>
      </c>
      <c r="D214" s="38" t="str">
        <f>IF('Curve Header Data'!E215="","",'Curve Header Data'!E215)</f>
        <v/>
      </c>
      <c r="E214" s="38" t="str">
        <f>IF('Curve Header Data'!B215="","",'Curve Header Data'!B215)</f>
        <v/>
      </c>
      <c r="F214" s="38" t="str">
        <f>IF('Curve Header Data'!K215="","",'Curve Header Data'!K215*$E$2)</f>
        <v/>
      </c>
      <c r="G214" s="38" t="str">
        <f>IF('Curve Header Data'!L215="","",'Curve Header Data'!L215*$E$2)</f>
        <v/>
      </c>
      <c r="H214" s="38">
        <f>IF('Curve Header Data'!N215="","",'Curve Header Data'!N215)</f>
        <v>1</v>
      </c>
      <c r="I214" s="38">
        <f>IF('Curve Header Data'!O215="","",'Curve Header Data'!O215)</f>
        <v>5</v>
      </c>
      <c r="J214" s="27">
        <f>IF('Curve Header Data'!M215="","",'Curve Header Data'!M215)</f>
        <v>205</v>
      </c>
      <c r="K214" s="27" t="str">
        <f>IF('Curve Header Data'!G215="","",'Curve Header Data'!G215)</f>
        <v/>
      </c>
      <c r="L214" s="27" t="str">
        <f>IF('Curve Header Data'!H215="","",'Curve Header Data'!H215)</f>
        <v/>
      </c>
      <c r="M214" s="27" t="str">
        <f>IF('Curve Header Data'!I215="","",'Curve Header Data'!I215)</f>
        <v/>
      </c>
      <c r="N214" s="27" t="str">
        <f>IF('Curve Header Data'!J215="","",'Curve Header Data'!J215*$E$3)</f>
        <v/>
      </c>
      <c r="O214" s="27" t="str">
        <f>IF('Curve Header Data'!S215="","",'Curve Header Data'!S215*$J$2)</f>
        <v/>
      </c>
      <c r="P214" s="27" t="str">
        <f>IF('Curve Header Data'!T215="","",'Curve Header Data'!T215*$J$3)</f>
        <v/>
      </c>
      <c r="Q214" s="27" t="str">
        <f>IF('Curve Header Data'!U215="","",'Curve Header Data'!U215)</f>
        <v/>
      </c>
      <c r="R214" s="27" t="str">
        <f>IF('Curve Header Data'!V215="","",'Curve Header Data'!V215)</f>
        <v/>
      </c>
      <c r="S214" s="27" t="str">
        <f>IF('Curve Header Data'!W215="","",'Curve Header Data'!W215)</f>
        <v/>
      </c>
    </row>
    <row r="215" spans="1:19" x14ac:dyDescent="0.2">
      <c r="A215" s="38" t="str">
        <f>IF('Curve Header Data'!A216="","",'Curve Header Data'!A216)</f>
        <v/>
      </c>
      <c r="B215" s="38" t="str">
        <f>IF('Curve Header Data'!C216="","",'Curve Header Data'!C216)</f>
        <v/>
      </c>
      <c r="C215" s="38" t="str">
        <f>IF('Curve Header Data'!D216="","",'Curve Header Data'!D216)</f>
        <v/>
      </c>
      <c r="D215" s="38" t="str">
        <f>IF('Curve Header Data'!E216="","",'Curve Header Data'!E216)</f>
        <v/>
      </c>
      <c r="E215" s="38" t="str">
        <f>IF('Curve Header Data'!B216="","",'Curve Header Data'!B216)</f>
        <v/>
      </c>
      <c r="F215" s="38" t="str">
        <f>IF('Curve Header Data'!K216="","",'Curve Header Data'!K216*$E$2)</f>
        <v/>
      </c>
      <c r="G215" s="38" t="str">
        <f>IF('Curve Header Data'!L216="","",'Curve Header Data'!L216*$E$2)</f>
        <v/>
      </c>
      <c r="H215" s="38">
        <f>IF('Curve Header Data'!N216="","",'Curve Header Data'!N216)</f>
        <v>1</v>
      </c>
      <c r="I215" s="38">
        <f>IF('Curve Header Data'!O216="","",'Curve Header Data'!O216)</f>
        <v>5</v>
      </c>
      <c r="J215" s="27">
        <f>IF('Curve Header Data'!M216="","",'Curve Header Data'!M216)</f>
        <v>206</v>
      </c>
      <c r="K215" s="27" t="str">
        <f>IF('Curve Header Data'!G216="","",'Curve Header Data'!G216)</f>
        <v/>
      </c>
      <c r="L215" s="27" t="str">
        <f>IF('Curve Header Data'!H216="","",'Curve Header Data'!H216)</f>
        <v/>
      </c>
      <c r="M215" s="27" t="str">
        <f>IF('Curve Header Data'!I216="","",'Curve Header Data'!I216)</f>
        <v/>
      </c>
      <c r="N215" s="27" t="str">
        <f>IF('Curve Header Data'!J216="","",'Curve Header Data'!J216*$E$3)</f>
        <v/>
      </c>
      <c r="O215" s="27" t="str">
        <f>IF('Curve Header Data'!S216="","",'Curve Header Data'!S216*$J$2)</f>
        <v/>
      </c>
      <c r="P215" s="27" t="str">
        <f>IF('Curve Header Data'!T216="","",'Curve Header Data'!T216*$J$3)</f>
        <v/>
      </c>
      <c r="Q215" s="27" t="str">
        <f>IF('Curve Header Data'!U216="","",'Curve Header Data'!U216)</f>
        <v/>
      </c>
      <c r="R215" s="27" t="str">
        <f>IF('Curve Header Data'!V216="","",'Curve Header Data'!V216)</f>
        <v/>
      </c>
      <c r="S215" s="27" t="str">
        <f>IF('Curve Header Data'!W216="","",'Curve Header Data'!W216)</f>
        <v/>
      </c>
    </row>
    <row r="216" spans="1:19" x14ac:dyDescent="0.2">
      <c r="A216" s="38" t="str">
        <f>IF('Curve Header Data'!A217="","",'Curve Header Data'!A217)</f>
        <v/>
      </c>
      <c r="B216" s="38" t="str">
        <f>IF('Curve Header Data'!C217="","",'Curve Header Data'!C217)</f>
        <v/>
      </c>
      <c r="C216" s="38" t="str">
        <f>IF('Curve Header Data'!D217="","",'Curve Header Data'!D217)</f>
        <v/>
      </c>
      <c r="D216" s="38" t="str">
        <f>IF('Curve Header Data'!E217="","",'Curve Header Data'!E217)</f>
        <v/>
      </c>
      <c r="E216" s="38" t="str">
        <f>IF('Curve Header Data'!B217="","",'Curve Header Data'!B217)</f>
        <v/>
      </c>
      <c r="F216" s="38" t="str">
        <f>IF('Curve Header Data'!K217="","",'Curve Header Data'!K217*$E$2)</f>
        <v/>
      </c>
      <c r="G216" s="38" t="str">
        <f>IF('Curve Header Data'!L217="","",'Curve Header Data'!L217*$E$2)</f>
        <v/>
      </c>
      <c r="H216" s="38">
        <f>IF('Curve Header Data'!N217="","",'Curve Header Data'!N217)</f>
        <v>1</v>
      </c>
      <c r="I216" s="38">
        <f>IF('Curve Header Data'!O217="","",'Curve Header Data'!O217)</f>
        <v>5</v>
      </c>
      <c r="J216" s="27">
        <f>IF('Curve Header Data'!M217="","",'Curve Header Data'!M217)</f>
        <v>207</v>
      </c>
      <c r="K216" s="27" t="str">
        <f>IF('Curve Header Data'!G217="","",'Curve Header Data'!G217)</f>
        <v/>
      </c>
      <c r="L216" s="27" t="str">
        <f>IF('Curve Header Data'!H217="","",'Curve Header Data'!H217)</f>
        <v/>
      </c>
      <c r="M216" s="27" t="str">
        <f>IF('Curve Header Data'!I217="","",'Curve Header Data'!I217)</f>
        <v/>
      </c>
      <c r="N216" s="27" t="str">
        <f>IF('Curve Header Data'!J217="","",'Curve Header Data'!J217*$E$3)</f>
        <v/>
      </c>
      <c r="O216" s="27" t="str">
        <f>IF('Curve Header Data'!S217="","",'Curve Header Data'!S217*$J$2)</f>
        <v/>
      </c>
      <c r="P216" s="27" t="str">
        <f>IF('Curve Header Data'!T217="","",'Curve Header Data'!T217*$J$3)</f>
        <v/>
      </c>
      <c r="Q216" s="27" t="str">
        <f>IF('Curve Header Data'!U217="","",'Curve Header Data'!U217)</f>
        <v/>
      </c>
      <c r="R216" s="27" t="str">
        <f>IF('Curve Header Data'!V217="","",'Curve Header Data'!V217)</f>
        <v/>
      </c>
      <c r="S216" s="27" t="str">
        <f>IF('Curve Header Data'!W217="","",'Curve Header Data'!W217)</f>
        <v/>
      </c>
    </row>
    <row r="217" spans="1:19" x14ac:dyDescent="0.2">
      <c r="A217" s="38" t="str">
        <f>IF('Curve Header Data'!A218="","",'Curve Header Data'!A218)</f>
        <v/>
      </c>
      <c r="B217" s="38" t="str">
        <f>IF('Curve Header Data'!C218="","",'Curve Header Data'!C218)</f>
        <v/>
      </c>
      <c r="C217" s="38" t="str">
        <f>IF('Curve Header Data'!D218="","",'Curve Header Data'!D218)</f>
        <v/>
      </c>
      <c r="D217" s="38" t="str">
        <f>IF('Curve Header Data'!E218="","",'Curve Header Data'!E218)</f>
        <v/>
      </c>
      <c r="E217" s="38" t="str">
        <f>IF('Curve Header Data'!B218="","",'Curve Header Data'!B218)</f>
        <v/>
      </c>
      <c r="F217" s="38" t="str">
        <f>IF('Curve Header Data'!K218="","",'Curve Header Data'!K218*$E$2)</f>
        <v/>
      </c>
      <c r="G217" s="38" t="str">
        <f>IF('Curve Header Data'!L218="","",'Curve Header Data'!L218*$E$2)</f>
        <v/>
      </c>
      <c r="H217" s="38">
        <f>IF('Curve Header Data'!N218="","",'Curve Header Data'!N218)</f>
        <v>1</v>
      </c>
      <c r="I217" s="38">
        <f>IF('Curve Header Data'!O218="","",'Curve Header Data'!O218)</f>
        <v>5</v>
      </c>
      <c r="J217" s="27">
        <f>IF('Curve Header Data'!M218="","",'Curve Header Data'!M218)</f>
        <v>208</v>
      </c>
      <c r="K217" s="27" t="str">
        <f>IF('Curve Header Data'!G218="","",'Curve Header Data'!G218)</f>
        <v/>
      </c>
      <c r="L217" s="27" t="str">
        <f>IF('Curve Header Data'!H218="","",'Curve Header Data'!H218)</f>
        <v/>
      </c>
      <c r="M217" s="27" t="str">
        <f>IF('Curve Header Data'!I218="","",'Curve Header Data'!I218)</f>
        <v/>
      </c>
      <c r="N217" s="27" t="str">
        <f>IF('Curve Header Data'!J218="","",'Curve Header Data'!J218*$E$3)</f>
        <v/>
      </c>
      <c r="O217" s="27" t="str">
        <f>IF('Curve Header Data'!S218="","",'Curve Header Data'!S218*$J$2)</f>
        <v/>
      </c>
      <c r="P217" s="27" t="str">
        <f>IF('Curve Header Data'!T218="","",'Curve Header Data'!T218*$J$3)</f>
        <v/>
      </c>
      <c r="Q217" s="27" t="str">
        <f>IF('Curve Header Data'!U218="","",'Curve Header Data'!U218)</f>
        <v/>
      </c>
      <c r="R217" s="27" t="str">
        <f>IF('Curve Header Data'!V218="","",'Curve Header Data'!V218)</f>
        <v/>
      </c>
      <c r="S217" s="27" t="str">
        <f>IF('Curve Header Data'!W218="","",'Curve Header Data'!W218)</f>
        <v/>
      </c>
    </row>
    <row r="218" spans="1:19" x14ac:dyDescent="0.2">
      <c r="A218" s="38" t="str">
        <f>IF('Curve Header Data'!A219="","",'Curve Header Data'!A219)</f>
        <v/>
      </c>
      <c r="B218" s="38" t="str">
        <f>IF('Curve Header Data'!C219="","",'Curve Header Data'!C219)</f>
        <v/>
      </c>
      <c r="C218" s="38" t="str">
        <f>IF('Curve Header Data'!D219="","",'Curve Header Data'!D219)</f>
        <v/>
      </c>
      <c r="D218" s="38" t="str">
        <f>IF('Curve Header Data'!E219="","",'Curve Header Data'!E219)</f>
        <v/>
      </c>
      <c r="E218" s="38" t="str">
        <f>IF('Curve Header Data'!B219="","",'Curve Header Data'!B219)</f>
        <v/>
      </c>
      <c r="F218" s="38" t="str">
        <f>IF('Curve Header Data'!K219="","",'Curve Header Data'!K219*$E$2)</f>
        <v/>
      </c>
      <c r="G218" s="38" t="str">
        <f>IF('Curve Header Data'!L219="","",'Curve Header Data'!L219*$E$2)</f>
        <v/>
      </c>
      <c r="H218" s="38">
        <f>IF('Curve Header Data'!N219="","",'Curve Header Data'!N219)</f>
        <v>1</v>
      </c>
      <c r="I218" s="38">
        <f>IF('Curve Header Data'!O219="","",'Curve Header Data'!O219)</f>
        <v>5</v>
      </c>
      <c r="J218" s="27">
        <f>IF('Curve Header Data'!M219="","",'Curve Header Data'!M219)</f>
        <v>209</v>
      </c>
      <c r="K218" s="27" t="str">
        <f>IF('Curve Header Data'!G219="","",'Curve Header Data'!G219)</f>
        <v/>
      </c>
      <c r="L218" s="27" t="str">
        <f>IF('Curve Header Data'!H219="","",'Curve Header Data'!H219)</f>
        <v/>
      </c>
      <c r="M218" s="27" t="str">
        <f>IF('Curve Header Data'!I219="","",'Curve Header Data'!I219)</f>
        <v/>
      </c>
      <c r="N218" s="27" t="str">
        <f>IF('Curve Header Data'!J219="","",'Curve Header Data'!J219*$E$3)</f>
        <v/>
      </c>
      <c r="O218" s="27" t="str">
        <f>IF('Curve Header Data'!S219="","",'Curve Header Data'!S219*$J$2)</f>
        <v/>
      </c>
      <c r="P218" s="27" t="str">
        <f>IF('Curve Header Data'!T219="","",'Curve Header Data'!T219*$J$3)</f>
        <v/>
      </c>
      <c r="Q218" s="27" t="str">
        <f>IF('Curve Header Data'!U219="","",'Curve Header Data'!U219)</f>
        <v/>
      </c>
      <c r="R218" s="27" t="str">
        <f>IF('Curve Header Data'!V219="","",'Curve Header Data'!V219)</f>
        <v/>
      </c>
      <c r="S218" s="27" t="str">
        <f>IF('Curve Header Data'!W219="","",'Curve Header Data'!W219)</f>
        <v/>
      </c>
    </row>
    <row r="219" spans="1:19" x14ac:dyDescent="0.2">
      <c r="A219" s="38" t="str">
        <f>IF('Curve Header Data'!A220="","",'Curve Header Data'!A220)</f>
        <v/>
      </c>
      <c r="B219" s="38" t="str">
        <f>IF('Curve Header Data'!C220="","",'Curve Header Data'!C220)</f>
        <v/>
      </c>
      <c r="C219" s="38" t="str">
        <f>IF('Curve Header Data'!D220="","",'Curve Header Data'!D220)</f>
        <v/>
      </c>
      <c r="D219" s="38" t="str">
        <f>IF('Curve Header Data'!E220="","",'Curve Header Data'!E220)</f>
        <v/>
      </c>
      <c r="E219" s="38" t="str">
        <f>IF('Curve Header Data'!B220="","",'Curve Header Data'!B220)</f>
        <v/>
      </c>
      <c r="F219" s="38" t="str">
        <f>IF('Curve Header Data'!K220="","",'Curve Header Data'!K220*$E$2)</f>
        <v/>
      </c>
      <c r="G219" s="38" t="str">
        <f>IF('Curve Header Data'!L220="","",'Curve Header Data'!L220*$E$2)</f>
        <v/>
      </c>
      <c r="H219" s="38">
        <f>IF('Curve Header Data'!N220="","",'Curve Header Data'!N220)</f>
        <v>1</v>
      </c>
      <c r="I219" s="38">
        <f>IF('Curve Header Data'!O220="","",'Curve Header Data'!O220)</f>
        <v>5</v>
      </c>
      <c r="J219" s="27">
        <f>IF('Curve Header Data'!M220="","",'Curve Header Data'!M220)</f>
        <v>210</v>
      </c>
      <c r="K219" s="27" t="str">
        <f>IF('Curve Header Data'!G220="","",'Curve Header Data'!G220)</f>
        <v/>
      </c>
      <c r="L219" s="27" t="str">
        <f>IF('Curve Header Data'!H220="","",'Curve Header Data'!H220)</f>
        <v/>
      </c>
      <c r="M219" s="27" t="str">
        <f>IF('Curve Header Data'!I220="","",'Curve Header Data'!I220)</f>
        <v/>
      </c>
      <c r="N219" s="27" t="str">
        <f>IF('Curve Header Data'!J220="","",'Curve Header Data'!J220*$E$3)</f>
        <v/>
      </c>
      <c r="O219" s="27" t="str">
        <f>IF('Curve Header Data'!S220="","",'Curve Header Data'!S220*$J$2)</f>
        <v/>
      </c>
      <c r="P219" s="27" t="str">
        <f>IF('Curve Header Data'!T220="","",'Curve Header Data'!T220*$J$3)</f>
        <v/>
      </c>
      <c r="Q219" s="27" t="str">
        <f>IF('Curve Header Data'!U220="","",'Curve Header Data'!U220)</f>
        <v/>
      </c>
      <c r="R219" s="27" t="str">
        <f>IF('Curve Header Data'!V220="","",'Curve Header Data'!V220)</f>
        <v/>
      </c>
      <c r="S219" s="27" t="str">
        <f>IF('Curve Header Data'!W220="","",'Curve Header Data'!W220)</f>
        <v/>
      </c>
    </row>
    <row r="220" spans="1:19" x14ac:dyDescent="0.2">
      <c r="A220" s="38" t="str">
        <f>IF('Curve Header Data'!A221="","",'Curve Header Data'!A221)</f>
        <v/>
      </c>
      <c r="B220" s="38" t="str">
        <f>IF('Curve Header Data'!C221="","",'Curve Header Data'!C221)</f>
        <v/>
      </c>
      <c r="C220" s="38" t="str">
        <f>IF('Curve Header Data'!D221="","",'Curve Header Data'!D221)</f>
        <v/>
      </c>
      <c r="D220" s="38" t="str">
        <f>IF('Curve Header Data'!E221="","",'Curve Header Data'!E221)</f>
        <v/>
      </c>
      <c r="E220" s="38" t="str">
        <f>IF('Curve Header Data'!B221="","",'Curve Header Data'!B221)</f>
        <v/>
      </c>
      <c r="F220" s="38" t="str">
        <f>IF('Curve Header Data'!K221="","",'Curve Header Data'!K221*$E$2)</f>
        <v/>
      </c>
      <c r="G220" s="38" t="str">
        <f>IF('Curve Header Data'!L221="","",'Curve Header Data'!L221*$E$2)</f>
        <v/>
      </c>
      <c r="H220" s="38">
        <f>IF('Curve Header Data'!N221="","",'Curve Header Data'!N221)</f>
        <v>1</v>
      </c>
      <c r="I220" s="38">
        <f>IF('Curve Header Data'!O221="","",'Curve Header Data'!O221)</f>
        <v>5</v>
      </c>
      <c r="J220" s="27">
        <f>IF('Curve Header Data'!M221="","",'Curve Header Data'!M221)</f>
        <v>211</v>
      </c>
      <c r="K220" s="27" t="str">
        <f>IF('Curve Header Data'!G221="","",'Curve Header Data'!G221)</f>
        <v/>
      </c>
      <c r="L220" s="27" t="str">
        <f>IF('Curve Header Data'!H221="","",'Curve Header Data'!H221)</f>
        <v/>
      </c>
      <c r="M220" s="27" t="str">
        <f>IF('Curve Header Data'!I221="","",'Curve Header Data'!I221)</f>
        <v/>
      </c>
      <c r="N220" s="27" t="str">
        <f>IF('Curve Header Data'!J221="","",'Curve Header Data'!J221*$E$3)</f>
        <v/>
      </c>
      <c r="O220" s="27" t="str">
        <f>IF('Curve Header Data'!S221="","",'Curve Header Data'!S221*$J$2)</f>
        <v/>
      </c>
      <c r="P220" s="27" t="str">
        <f>IF('Curve Header Data'!T221="","",'Curve Header Data'!T221*$J$3)</f>
        <v/>
      </c>
      <c r="Q220" s="27" t="str">
        <f>IF('Curve Header Data'!U221="","",'Curve Header Data'!U221)</f>
        <v/>
      </c>
      <c r="R220" s="27" t="str">
        <f>IF('Curve Header Data'!V221="","",'Curve Header Data'!V221)</f>
        <v/>
      </c>
      <c r="S220" s="27" t="str">
        <f>IF('Curve Header Data'!W221="","",'Curve Header Data'!W221)</f>
        <v/>
      </c>
    </row>
    <row r="221" spans="1:19" x14ac:dyDescent="0.2">
      <c r="A221" s="38" t="str">
        <f>IF('Curve Header Data'!A222="","",'Curve Header Data'!A222)</f>
        <v/>
      </c>
      <c r="B221" s="38" t="str">
        <f>IF('Curve Header Data'!C222="","",'Curve Header Data'!C222)</f>
        <v/>
      </c>
      <c r="C221" s="38" t="str">
        <f>IF('Curve Header Data'!D222="","",'Curve Header Data'!D222)</f>
        <v/>
      </c>
      <c r="D221" s="38" t="str">
        <f>IF('Curve Header Data'!E222="","",'Curve Header Data'!E222)</f>
        <v/>
      </c>
      <c r="E221" s="38" t="str">
        <f>IF('Curve Header Data'!B222="","",'Curve Header Data'!B222)</f>
        <v/>
      </c>
      <c r="F221" s="38" t="str">
        <f>IF('Curve Header Data'!K222="","",'Curve Header Data'!K222*$E$2)</f>
        <v/>
      </c>
      <c r="G221" s="38" t="str">
        <f>IF('Curve Header Data'!L222="","",'Curve Header Data'!L222*$E$2)</f>
        <v/>
      </c>
      <c r="H221" s="38">
        <f>IF('Curve Header Data'!N222="","",'Curve Header Data'!N222)</f>
        <v>1</v>
      </c>
      <c r="I221" s="38">
        <f>IF('Curve Header Data'!O222="","",'Curve Header Data'!O222)</f>
        <v>5</v>
      </c>
      <c r="J221" s="27">
        <f>IF('Curve Header Data'!M222="","",'Curve Header Data'!M222)</f>
        <v>212</v>
      </c>
      <c r="K221" s="27" t="str">
        <f>IF('Curve Header Data'!G222="","",'Curve Header Data'!G222)</f>
        <v/>
      </c>
      <c r="L221" s="27" t="str">
        <f>IF('Curve Header Data'!H222="","",'Curve Header Data'!H222)</f>
        <v/>
      </c>
      <c r="M221" s="27" t="str">
        <f>IF('Curve Header Data'!I222="","",'Curve Header Data'!I222)</f>
        <v/>
      </c>
      <c r="N221" s="27" t="str">
        <f>IF('Curve Header Data'!J222="","",'Curve Header Data'!J222*$E$3)</f>
        <v/>
      </c>
      <c r="O221" s="27" t="str">
        <f>IF('Curve Header Data'!S222="","",'Curve Header Data'!S222*$J$2)</f>
        <v/>
      </c>
      <c r="P221" s="27" t="str">
        <f>IF('Curve Header Data'!T222="","",'Curve Header Data'!T222*$J$3)</f>
        <v/>
      </c>
      <c r="Q221" s="27" t="str">
        <f>IF('Curve Header Data'!U222="","",'Curve Header Data'!U222)</f>
        <v/>
      </c>
      <c r="R221" s="27" t="str">
        <f>IF('Curve Header Data'!V222="","",'Curve Header Data'!V222)</f>
        <v/>
      </c>
      <c r="S221" s="27" t="str">
        <f>IF('Curve Header Data'!W222="","",'Curve Header Data'!W222)</f>
        <v/>
      </c>
    </row>
    <row r="222" spans="1:19" x14ac:dyDescent="0.2">
      <c r="A222" s="38" t="str">
        <f>IF('Curve Header Data'!A223="","",'Curve Header Data'!A223)</f>
        <v/>
      </c>
      <c r="B222" s="38" t="str">
        <f>IF('Curve Header Data'!C223="","",'Curve Header Data'!C223)</f>
        <v/>
      </c>
      <c r="C222" s="38" t="str">
        <f>IF('Curve Header Data'!D223="","",'Curve Header Data'!D223)</f>
        <v/>
      </c>
      <c r="D222" s="38" t="str">
        <f>IF('Curve Header Data'!E223="","",'Curve Header Data'!E223)</f>
        <v/>
      </c>
      <c r="E222" s="38" t="str">
        <f>IF('Curve Header Data'!B223="","",'Curve Header Data'!B223)</f>
        <v/>
      </c>
      <c r="F222" s="38" t="str">
        <f>IF('Curve Header Data'!K223="","",'Curve Header Data'!K223*$E$2)</f>
        <v/>
      </c>
      <c r="G222" s="38" t="str">
        <f>IF('Curve Header Data'!L223="","",'Curve Header Data'!L223*$E$2)</f>
        <v/>
      </c>
      <c r="H222" s="38">
        <f>IF('Curve Header Data'!N223="","",'Curve Header Data'!N223)</f>
        <v>1</v>
      </c>
      <c r="I222" s="38">
        <f>IF('Curve Header Data'!O223="","",'Curve Header Data'!O223)</f>
        <v>5</v>
      </c>
      <c r="J222" s="27">
        <f>IF('Curve Header Data'!M223="","",'Curve Header Data'!M223)</f>
        <v>213</v>
      </c>
      <c r="K222" s="27" t="str">
        <f>IF('Curve Header Data'!G223="","",'Curve Header Data'!G223)</f>
        <v/>
      </c>
      <c r="L222" s="27" t="str">
        <f>IF('Curve Header Data'!H223="","",'Curve Header Data'!H223)</f>
        <v/>
      </c>
      <c r="M222" s="27" t="str">
        <f>IF('Curve Header Data'!I223="","",'Curve Header Data'!I223)</f>
        <v/>
      </c>
      <c r="N222" s="27" t="str">
        <f>IF('Curve Header Data'!J223="","",'Curve Header Data'!J223*$E$3)</f>
        <v/>
      </c>
      <c r="O222" s="27" t="str">
        <f>IF('Curve Header Data'!S223="","",'Curve Header Data'!S223*$J$2)</f>
        <v/>
      </c>
      <c r="P222" s="27" t="str">
        <f>IF('Curve Header Data'!T223="","",'Curve Header Data'!T223*$J$3)</f>
        <v/>
      </c>
      <c r="Q222" s="27" t="str">
        <f>IF('Curve Header Data'!U223="","",'Curve Header Data'!U223)</f>
        <v/>
      </c>
      <c r="R222" s="27" t="str">
        <f>IF('Curve Header Data'!V223="","",'Curve Header Data'!V223)</f>
        <v/>
      </c>
      <c r="S222" s="27" t="str">
        <f>IF('Curve Header Data'!W223="","",'Curve Header Data'!W223)</f>
        <v/>
      </c>
    </row>
    <row r="223" spans="1:19" x14ac:dyDescent="0.2">
      <c r="A223" s="38" t="str">
        <f>IF('Curve Header Data'!A224="","",'Curve Header Data'!A224)</f>
        <v/>
      </c>
      <c r="B223" s="38" t="str">
        <f>IF('Curve Header Data'!C224="","",'Curve Header Data'!C224)</f>
        <v/>
      </c>
      <c r="C223" s="38" t="str">
        <f>IF('Curve Header Data'!D224="","",'Curve Header Data'!D224)</f>
        <v/>
      </c>
      <c r="D223" s="38" t="str">
        <f>IF('Curve Header Data'!E224="","",'Curve Header Data'!E224)</f>
        <v/>
      </c>
      <c r="E223" s="38" t="str">
        <f>IF('Curve Header Data'!B224="","",'Curve Header Data'!B224)</f>
        <v/>
      </c>
      <c r="F223" s="38" t="str">
        <f>IF('Curve Header Data'!K224="","",'Curve Header Data'!K224*$E$2)</f>
        <v/>
      </c>
      <c r="G223" s="38" t="str">
        <f>IF('Curve Header Data'!L224="","",'Curve Header Data'!L224*$E$2)</f>
        <v/>
      </c>
      <c r="H223" s="38">
        <f>IF('Curve Header Data'!N224="","",'Curve Header Data'!N224)</f>
        <v>1</v>
      </c>
      <c r="I223" s="38">
        <f>IF('Curve Header Data'!O224="","",'Curve Header Data'!O224)</f>
        <v>5</v>
      </c>
      <c r="J223" s="27">
        <f>IF('Curve Header Data'!M224="","",'Curve Header Data'!M224)</f>
        <v>214</v>
      </c>
      <c r="K223" s="27" t="str">
        <f>IF('Curve Header Data'!G224="","",'Curve Header Data'!G224)</f>
        <v/>
      </c>
      <c r="L223" s="27" t="str">
        <f>IF('Curve Header Data'!H224="","",'Curve Header Data'!H224)</f>
        <v/>
      </c>
      <c r="M223" s="27" t="str">
        <f>IF('Curve Header Data'!I224="","",'Curve Header Data'!I224)</f>
        <v/>
      </c>
      <c r="N223" s="27" t="str">
        <f>IF('Curve Header Data'!J224="","",'Curve Header Data'!J224*$E$3)</f>
        <v/>
      </c>
      <c r="O223" s="27" t="str">
        <f>IF('Curve Header Data'!S224="","",'Curve Header Data'!S224*$J$2)</f>
        <v/>
      </c>
      <c r="P223" s="27" t="str">
        <f>IF('Curve Header Data'!T224="","",'Curve Header Data'!T224*$J$3)</f>
        <v/>
      </c>
      <c r="Q223" s="27" t="str">
        <f>IF('Curve Header Data'!U224="","",'Curve Header Data'!U224)</f>
        <v/>
      </c>
      <c r="R223" s="27" t="str">
        <f>IF('Curve Header Data'!V224="","",'Curve Header Data'!V224)</f>
        <v/>
      </c>
      <c r="S223" s="27" t="str">
        <f>IF('Curve Header Data'!W224="","",'Curve Header Data'!W224)</f>
        <v/>
      </c>
    </row>
    <row r="224" spans="1:19" x14ac:dyDescent="0.2">
      <c r="A224" s="38" t="str">
        <f>IF('Curve Header Data'!A225="","",'Curve Header Data'!A225)</f>
        <v/>
      </c>
      <c r="B224" s="38" t="str">
        <f>IF('Curve Header Data'!C225="","",'Curve Header Data'!C225)</f>
        <v/>
      </c>
      <c r="C224" s="38" t="str">
        <f>IF('Curve Header Data'!D225="","",'Curve Header Data'!D225)</f>
        <v/>
      </c>
      <c r="D224" s="38" t="str">
        <f>IF('Curve Header Data'!E225="","",'Curve Header Data'!E225)</f>
        <v/>
      </c>
      <c r="E224" s="38" t="str">
        <f>IF('Curve Header Data'!B225="","",'Curve Header Data'!B225)</f>
        <v/>
      </c>
      <c r="F224" s="38" t="str">
        <f>IF('Curve Header Data'!K225="","",'Curve Header Data'!K225*$E$2)</f>
        <v/>
      </c>
      <c r="G224" s="38" t="str">
        <f>IF('Curve Header Data'!L225="","",'Curve Header Data'!L225*$E$2)</f>
        <v/>
      </c>
      <c r="H224" s="38">
        <f>IF('Curve Header Data'!N225="","",'Curve Header Data'!N225)</f>
        <v>1</v>
      </c>
      <c r="I224" s="38">
        <f>IF('Curve Header Data'!O225="","",'Curve Header Data'!O225)</f>
        <v>5</v>
      </c>
      <c r="J224" s="27">
        <f>IF('Curve Header Data'!M225="","",'Curve Header Data'!M225)</f>
        <v>215</v>
      </c>
      <c r="K224" s="27" t="str">
        <f>IF('Curve Header Data'!G225="","",'Curve Header Data'!G225)</f>
        <v/>
      </c>
      <c r="L224" s="27" t="str">
        <f>IF('Curve Header Data'!H225="","",'Curve Header Data'!H225)</f>
        <v/>
      </c>
      <c r="M224" s="27" t="str">
        <f>IF('Curve Header Data'!I225="","",'Curve Header Data'!I225)</f>
        <v/>
      </c>
      <c r="N224" s="27" t="str">
        <f>IF('Curve Header Data'!J225="","",'Curve Header Data'!J225*$E$3)</f>
        <v/>
      </c>
      <c r="O224" s="27" t="str">
        <f>IF('Curve Header Data'!S225="","",'Curve Header Data'!S225*$J$2)</f>
        <v/>
      </c>
      <c r="P224" s="27" t="str">
        <f>IF('Curve Header Data'!T225="","",'Curve Header Data'!T225*$J$3)</f>
        <v/>
      </c>
      <c r="Q224" s="27" t="str">
        <f>IF('Curve Header Data'!U225="","",'Curve Header Data'!U225)</f>
        <v/>
      </c>
      <c r="R224" s="27" t="str">
        <f>IF('Curve Header Data'!V225="","",'Curve Header Data'!V225)</f>
        <v/>
      </c>
      <c r="S224" s="27" t="str">
        <f>IF('Curve Header Data'!W225="","",'Curve Header Data'!W225)</f>
        <v/>
      </c>
    </row>
    <row r="225" spans="1:19" x14ac:dyDescent="0.2">
      <c r="A225" s="38" t="str">
        <f>IF('Curve Header Data'!A226="","",'Curve Header Data'!A226)</f>
        <v/>
      </c>
      <c r="B225" s="38" t="str">
        <f>IF('Curve Header Data'!C226="","",'Curve Header Data'!C226)</f>
        <v/>
      </c>
      <c r="C225" s="38" t="str">
        <f>IF('Curve Header Data'!D226="","",'Curve Header Data'!D226)</f>
        <v/>
      </c>
      <c r="D225" s="38" t="str">
        <f>IF('Curve Header Data'!E226="","",'Curve Header Data'!E226)</f>
        <v/>
      </c>
      <c r="E225" s="38" t="str">
        <f>IF('Curve Header Data'!B226="","",'Curve Header Data'!B226)</f>
        <v/>
      </c>
      <c r="F225" s="38" t="str">
        <f>IF('Curve Header Data'!K226="","",'Curve Header Data'!K226*$E$2)</f>
        <v/>
      </c>
      <c r="G225" s="38" t="str">
        <f>IF('Curve Header Data'!L226="","",'Curve Header Data'!L226*$E$2)</f>
        <v/>
      </c>
      <c r="H225" s="38">
        <f>IF('Curve Header Data'!N226="","",'Curve Header Data'!N226)</f>
        <v>1</v>
      </c>
      <c r="I225" s="38">
        <f>IF('Curve Header Data'!O226="","",'Curve Header Data'!O226)</f>
        <v>5</v>
      </c>
      <c r="J225" s="27">
        <f>IF('Curve Header Data'!M226="","",'Curve Header Data'!M226)</f>
        <v>216</v>
      </c>
      <c r="K225" s="27" t="str">
        <f>IF('Curve Header Data'!G226="","",'Curve Header Data'!G226)</f>
        <v/>
      </c>
      <c r="L225" s="27" t="str">
        <f>IF('Curve Header Data'!H226="","",'Curve Header Data'!H226)</f>
        <v/>
      </c>
      <c r="M225" s="27" t="str">
        <f>IF('Curve Header Data'!I226="","",'Curve Header Data'!I226)</f>
        <v/>
      </c>
      <c r="N225" s="27" t="str">
        <f>IF('Curve Header Data'!J226="","",'Curve Header Data'!J226*$E$3)</f>
        <v/>
      </c>
      <c r="O225" s="27" t="str">
        <f>IF('Curve Header Data'!S226="","",'Curve Header Data'!S226*$J$2)</f>
        <v/>
      </c>
      <c r="P225" s="27" t="str">
        <f>IF('Curve Header Data'!T226="","",'Curve Header Data'!T226*$J$3)</f>
        <v/>
      </c>
      <c r="Q225" s="27" t="str">
        <f>IF('Curve Header Data'!U226="","",'Curve Header Data'!U226)</f>
        <v/>
      </c>
      <c r="R225" s="27" t="str">
        <f>IF('Curve Header Data'!V226="","",'Curve Header Data'!V226)</f>
        <v/>
      </c>
      <c r="S225" s="27" t="str">
        <f>IF('Curve Header Data'!W226="","",'Curve Header Data'!W226)</f>
        <v/>
      </c>
    </row>
    <row r="226" spans="1:19" x14ac:dyDescent="0.2">
      <c r="A226" s="38" t="str">
        <f>IF('Curve Header Data'!A227="","",'Curve Header Data'!A227)</f>
        <v/>
      </c>
      <c r="B226" s="38" t="str">
        <f>IF('Curve Header Data'!C227="","",'Curve Header Data'!C227)</f>
        <v/>
      </c>
      <c r="C226" s="38" t="str">
        <f>IF('Curve Header Data'!D227="","",'Curve Header Data'!D227)</f>
        <v/>
      </c>
      <c r="D226" s="38" t="str">
        <f>IF('Curve Header Data'!E227="","",'Curve Header Data'!E227)</f>
        <v/>
      </c>
      <c r="E226" s="38" t="str">
        <f>IF('Curve Header Data'!B227="","",'Curve Header Data'!B227)</f>
        <v/>
      </c>
      <c r="F226" s="38" t="str">
        <f>IF('Curve Header Data'!K227="","",'Curve Header Data'!K227*$E$2)</f>
        <v/>
      </c>
      <c r="G226" s="38" t="str">
        <f>IF('Curve Header Data'!L227="","",'Curve Header Data'!L227*$E$2)</f>
        <v/>
      </c>
      <c r="H226" s="38">
        <f>IF('Curve Header Data'!N227="","",'Curve Header Data'!N227)</f>
        <v>1</v>
      </c>
      <c r="I226" s="38">
        <f>IF('Curve Header Data'!O227="","",'Curve Header Data'!O227)</f>
        <v>5</v>
      </c>
      <c r="J226" s="27">
        <f>IF('Curve Header Data'!M227="","",'Curve Header Data'!M227)</f>
        <v>217</v>
      </c>
      <c r="K226" s="27" t="str">
        <f>IF('Curve Header Data'!G227="","",'Curve Header Data'!G227)</f>
        <v/>
      </c>
      <c r="L226" s="27" t="str">
        <f>IF('Curve Header Data'!H227="","",'Curve Header Data'!H227)</f>
        <v/>
      </c>
      <c r="M226" s="27" t="str">
        <f>IF('Curve Header Data'!I227="","",'Curve Header Data'!I227)</f>
        <v/>
      </c>
      <c r="N226" s="27" t="str">
        <f>IF('Curve Header Data'!J227="","",'Curve Header Data'!J227*$E$3)</f>
        <v/>
      </c>
      <c r="O226" s="27" t="str">
        <f>IF('Curve Header Data'!S227="","",'Curve Header Data'!S227*$J$2)</f>
        <v/>
      </c>
      <c r="P226" s="27" t="str">
        <f>IF('Curve Header Data'!T227="","",'Curve Header Data'!T227*$J$3)</f>
        <v/>
      </c>
      <c r="Q226" s="27" t="str">
        <f>IF('Curve Header Data'!U227="","",'Curve Header Data'!U227)</f>
        <v/>
      </c>
      <c r="R226" s="27" t="str">
        <f>IF('Curve Header Data'!V227="","",'Curve Header Data'!V227)</f>
        <v/>
      </c>
      <c r="S226" s="27" t="str">
        <f>IF('Curve Header Data'!W227="","",'Curve Header Data'!W227)</f>
        <v/>
      </c>
    </row>
    <row r="227" spans="1:19" x14ac:dyDescent="0.2">
      <c r="A227" s="38" t="str">
        <f>IF('Curve Header Data'!A228="","",'Curve Header Data'!A228)</f>
        <v/>
      </c>
      <c r="B227" s="38" t="str">
        <f>IF('Curve Header Data'!C228="","",'Curve Header Data'!C228)</f>
        <v/>
      </c>
      <c r="C227" s="38" t="str">
        <f>IF('Curve Header Data'!D228="","",'Curve Header Data'!D228)</f>
        <v/>
      </c>
      <c r="D227" s="38" t="str">
        <f>IF('Curve Header Data'!E228="","",'Curve Header Data'!E228)</f>
        <v/>
      </c>
      <c r="E227" s="38" t="str">
        <f>IF('Curve Header Data'!B228="","",'Curve Header Data'!B228)</f>
        <v/>
      </c>
      <c r="F227" s="38" t="str">
        <f>IF('Curve Header Data'!K228="","",'Curve Header Data'!K228*$E$2)</f>
        <v/>
      </c>
      <c r="G227" s="38" t="str">
        <f>IF('Curve Header Data'!L228="","",'Curve Header Data'!L228*$E$2)</f>
        <v/>
      </c>
      <c r="H227" s="38">
        <f>IF('Curve Header Data'!N228="","",'Curve Header Data'!N228)</f>
        <v>1</v>
      </c>
      <c r="I227" s="38">
        <f>IF('Curve Header Data'!O228="","",'Curve Header Data'!O228)</f>
        <v>5</v>
      </c>
      <c r="J227" s="27">
        <f>IF('Curve Header Data'!M228="","",'Curve Header Data'!M228)</f>
        <v>218</v>
      </c>
      <c r="K227" s="27" t="str">
        <f>IF('Curve Header Data'!G228="","",'Curve Header Data'!G228)</f>
        <v/>
      </c>
      <c r="L227" s="27" t="str">
        <f>IF('Curve Header Data'!H228="","",'Curve Header Data'!H228)</f>
        <v/>
      </c>
      <c r="M227" s="27" t="str">
        <f>IF('Curve Header Data'!I228="","",'Curve Header Data'!I228)</f>
        <v/>
      </c>
      <c r="N227" s="27" t="str">
        <f>IF('Curve Header Data'!J228="","",'Curve Header Data'!J228*$E$3)</f>
        <v/>
      </c>
      <c r="O227" s="27" t="str">
        <f>IF('Curve Header Data'!S228="","",'Curve Header Data'!S228*$J$2)</f>
        <v/>
      </c>
      <c r="P227" s="27" t="str">
        <f>IF('Curve Header Data'!T228="","",'Curve Header Data'!T228*$J$3)</f>
        <v/>
      </c>
      <c r="Q227" s="27" t="str">
        <f>IF('Curve Header Data'!U228="","",'Curve Header Data'!U228)</f>
        <v/>
      </c>
      <c r="R227" s="27" t="str">
        <f>IF('Curve Header Data'!V228="","",'Curve Header Data'!V228)</f>
        <v/>
      </c>
      <c r="S227" s="27" t="str">
        <f>IF('Curve Header Data'!W228="","",'Curve Header Data'!W228)</f>
        <v/>
      </c>
    </row>
    <row r="228" spans="1:19" x14ac:dyDescent="0.2">
      <c r="A228" s="38" t="str">
        <f>IF('Curve Header Data'!A229="","",'Curve Header Data'!A229)</f>
        <v/>
      </c>
      <c r="B228" s="38" t="str">
        <f>IF('Curve Header Data'!C229="","",'Curve Header Data'!C229)</f>
        <v/>
      </c>
      <c r="C228" s="38" t="str">
        <f>IF('Curve Header Data'!D229="","",'Curve Header Data'!D229)</f>
        <v/>
      </c>
      <c r="D228" s="38" t="str">
        <f>IF('Curve Header Data'!E229="","",'Curve Header Data'!E229)</f>
        <v/>
      </c>
      <c r="E228" s="38" t="str">
        <f>IF('Curve Header Data'!B229="","",'Curve Header Data'!B229)</f>
        <v/>
      </c>
      <c r="F228" s="38" t="str">
        <f>IF('Curve Header Data'!K229="","",'Curve Header Data'!K229*$E$2)</f>
        <v/>
      </c>
      <c r="G228" s="38" t="str">
        <f>IF('Curve Header Data'!L229="","",'Curve Header Data'!L229*$E$2)</f>
        <v/>
      </c>
      <c r="H228" s="38">
        <f>IF('Curve Header Data'!N229="","",'Curve Header Data'!N229)</f>
        <v>1</v>
      </c>
      <c r="I228" s="38">
        <f>IF('Curve Header Data'!O229="","",'Curve Header Data'!O229)</f>
        <v>5</v>
      </c>
      <c r="J228" s="27">
        <f>IF('Curve Header Data'!M229="","",'Curve Header Data'!M229)</f>
        <v>219</v>
      </c>
      <c r="K228" s="27" t="str">
        <f>IF('Curve Header Data'!G229="","",'Curve Header Data'!G229)</f>
        <v/>
      </c>
      <c r="L228" s="27" t="str">
        <f>IF('Curve Header Data'!H229="","",'Curve Header Data'!H229)</f>
        <v/>
      </c>
      <c r="M228" s="27" t="str">
        <f>IF('Curve Header Data'!I229="","",'Curve Header Data'!I229)</f>
        <v/>
      </c>
      <c r="N228" s="27" t="str">
        <f>IF('Curve Header Data'!J229="","",'Curve Header Data'!J229*$E$3)</f>
        <v/>
      </c>
      <c r="O228" s="27" t="str">
        <f>IF('Curve Header Data'!S229="","",'Curve Header Data'!S229*$J$2)</f>
        <v/>
      </c>
      <c r="P228" s="27" t="str">
        <f>IF('Curve Header Data'!T229="","",'Curve Header Data'!T229*$J$3)</f>
        <v/>
      </c>
      <c r="Q228" s="27" t="str">
        <f>IF('Curve Header Data'!U229="","",'Curve Header Data'!U229)</f>
        <v/>
      </c>
      <c r="R228" s="27" t="str">
        <f>IF('Curve Header Data'!V229="","",'Curve Header Data'!V229)</f>
        <v/>
      </c>
      <c r="S228" s="27" t="str">
        <f>IF('Curve Header Data'!W229="","",'Curve Header Data'!W229)</f>
        <v/>
      </c>
    </row>
    <row r="229" spans="1:19" x14ac:dyDescent="0.2">
      <c r="A229" s="38" t="str">
        <f>IF('Curve Header Data'!A230="","",'Curve Header Data'!A230)</f>
        <v/>
      </c>
      <c r="B229" s="38" t="str">
        <f>IF('Curve Header Data'!C230="","",'Curve Header Data'!C230)</f>
        <v/>
      </c>
      <c r="C229" s="38" t="str">
        <f>IF('Curve Header Data'!D230="","",'Curve Header Data'!D230)</f>
        <v/>
      </c>
      <c r="D229" s="38" t="str">
        <f>IF('Curve Header Data'!E230="","",'Curve Header Data'!E230)</f>
        <v/>
      </c>
      <c r="E229" s="38" t="str">
        <f>IF('Curve Header Data'!B230="","",'Curve Header Data'!B230)</f>
        <v/>
      </c>
      <c r="F229" s="38" t="str">
        <f>IF('Curve Header Data'!K230="","",'Curve Header Data'!K230*$E$2)</f>
        <v/>
      </c>
      <c r="G229" s="38" t="str">
        <f>IF('Curve Header Data'!L230="","",'Curve Header Data'!L230*$E$2)</f>
        <v/>
      </c>
      <c r="H229" s="38">
        <f>IF('Curve Header Data'!N230="","",'Curve Header Data'!N230)</f>
        <v>1</v>
      </c>
      <c r="I229" s="38">
        <f>IF('Curve Header Data'!O230="","",'Curve Header Data'!O230)</f>
        <v>5</v>
      </c>
      <c r="J229" s="27">
        <f>IF('Curve Header Data'!M230="","",'Curve Header Data'!M230)</f>
        <v>220</v>
      </c>
      <c r="K229" s="27" t="str">
        <f>IF('Curve Header Data'!G230="","",'Curve Header Data'!G230)</f>
        <v/>
      </c>
      <c r="L229" s="27" t="str">
        <f>IF('Curve Header Data'!H230="","",'Curve Header Data'!H230)</f>
        <v/>
      </c>
      <c r="M229" s="27" t="str">
        <f>IF('Curve Header Data'!I230="","",'Curve Header Data'!I230)</f>
        <v/>
      </c>
      <c r="N229" s="27" t="str">
        <f>IF('Curve Header Data'!J230="","",'Curve Header Data'!J230*$E$3)</f>
        <v/>
      </c>
      <c r="O229" s="27" t="str">
        <f>IF('Curve Header Data'!S230="","",'Curve Header Data'!S230*$J$2)</f>
        <v/>
      </c>
      <c r="P229" s="27" t="str">
        <f>IF('Curve Header Data'!T230="","",'Curve Header Data'!T230*$J$3)</f>
        <v/>
      </c>
      <c r="Q229" s="27" t="str">
        <f>IF('Curve Header Data'!U230="","",'Curve Header Data'!U230)</f>
        <v/>
      </c>
      <c r="R229" s="27" t="str">
        <f>IF('Curve Header Data'!V230="","",'Curve Header Data'!V230)</f>
        <v/>
      </c>
      <c r="S229" s="27" t="str">
        <f>IF('Curve Header Data'!W230="","",'Curve Header Data'!W230)</f>
        <v/>
      </c>
    </row>
    <row r="230" spans="1:19" x14ac:dyDescent="0.2">
      <c r="A230" s="38" t="str">
        <f>IF('Curve Header Data'!A231="","",'Curve Header Data'!A231)</f>
        <v/>
      </c>
      <c r="B230" s="38" t="str">
        <f>IF('Curve Header Data'!C231="","",'Curve Header Data'!C231)</f>
        <v/>
      </c>
      <c r="C230" s="38" t="str">
        <f>IF('Curve Header Data'!D231="","",'Curve Header Data'!D231)</f>
        <v/>
      </c>
      <c r="D230" s="38" t="str">
        <f>IF('Curve Header Data'!E231="","",'Curve Header Data'!E231)</f>
        <v/>
      </c>
      <c r="E230" s="38" t="str">
        <f>IF('Curve Header Data'!B231="","",'Curve Header Data'!B231)</f>
        <v/>
      </c>
      <c r="F230" s="38" t="str">
        <f>IF('Curve Header Data'!K231="","",'Curve Header Data'!K231*$E$2)</f>
        <v/>
      </c>
      <c r="G230" s="38" t="str">
        <f>IF('Curve Header Data'!L231="","",'Curve Header Data'!L231*$E$2)</f>
        <v/>
      </c>
      <c r="H230" s="38">
        <f>IF('Curve Header Data'!N231="","",'Curve Header Data'!N231)</f>
        <v>1</v>
      </c>
      <c r="I230" s="38">
        <f>IF('Curve Header Data'!O231="","",'Curve Header Data'!O231)</f>
        <v>5</v>
      </c>
      <c r="J230" s="27">
        <f>IF('Curve Header Data'!M231="","",'Curve Header Data'!M231)</f>
        <v>221</v>
      </c>
      <c r="K230" s="27" t="str">
        <f>IF('Curve Header Data'!G231="","",'Curve Header Data'!G231)</f>
        <v/>
      </c>
      <c r="L230" s="27" t="str">
        <f>IF('Curve Header Data'!H231="","",'Curve Header Data'!H231)</f>
        <v/>
      </c>
      <c r="M230" s="27" t="str">
        <f>IF('Curve Header Data'!I231="","",'Curve Header Data'!I231)</f>
        <v/>
      </c>
      <c r="N230" s="27" t="str">
        <f>IF('Curve Header Data'!J231="","",'Curve Header Data'!J231*$E$3)</f>
        <v/>
      </c>
      <c r="O230" s="27" t="str">
        <f>IF('Curve Header Data'!S231="","",'Curve Header Data'!S231*$J$2)</f>
        <v/>
      </c>
      <c r="P230" s="27" t="str">
        <f>IF('Curve Header Data'!T231="","",'Curve Header Data'!T231*$J$3)</f>
        <v/>
      </c>
      <c r="Q230" s="27" t="str">
        <f>IF('Curve Header Data'!U231="","",'Curve Header Data'!U231)</f>
        <v/>
      </c>
      <c r="R230" s="27" t="str">
        <f>IF('Curve Header Data'!V231="","",'Curve Header Data'!V231)</f>
        <v/>
      </c>
      <c r="S230" s="27" t="str">
        <f>IF('Curve Header Data'!W231="","",'Curve Header Data'!W231)</f>
        <v/>
      </c>
    </row>
    <row r="231" spans="1:19" x14ac:dyDescent="0.2">
      <c r="A231" s="38" t="str">
        <f>IF('Curve Header Data'!A232="","",'Curve Header Data'!A232)</f>
        <v/>
      </c>
      <c r="B231" s="38" t="str">
        <f>IF('Curve Header Data'!C232="","",'Curve Header Data'!C232)</f>
        <v/>
      </c>
      <c r="C231" s="38" t="str">
        <f>IF('Curve Header Data'!D232="","",'Curve Header Data'!D232)</f>
        <v/>
      </c>
      <c r="D231" s="38" t="str">
        <f>IF('Curve Header Data'!E232="","",'Curve Header Data'!E232)</f>
        <v/>
      </c>
      <c r="E231" s="38" t="str">
        <f>IF('Curve Header Data'!B232="","",'Curve Header Data'!B232)</f>
        <v/>
      </c>
      <c r="F231" s="38" t="str">
        <f>IF('Curve Header Data'!K232="","",'Curve Header Data'!K232*$E$2)</f>
        <v/>
      </c>
      <c r="G231" s="38" t="str">
        <f>IF('Curve Header Data'!L232="","",'Curve Header Data'!L232*$E$2)</f>
        <v/>
      </c>
      <c r="H231" s="38">
        <f>IF('Curve Header Data'!N232="","",'Curve Header Data'!N232)</f>
        <v>1</v>
      </c>
      <c r="I231" s="38">
        <f>IF('Curve Header Data'!O232="","",'Curve Header Data'!O232)</f>
        <v>5</v>
      </c>
      <c r="J231" s="27">
        <f>IF('Curve Header Data'!M232="","",'Curve Header Data'!M232)</f>
        <v>222</v>
      </c>
      <c r="K231" s="27" t="str">
        <f>IF('Curve Header Data'!G232="","",'Curve Header Data'!G232)</f>
        <v/>
      </c>
      <c r="L231" s="27" t="str">
        <f>IF('Curve Header Data'!H232="","",'Curve Header Data'!H232)</f>
        <v/>
      </c>
      <c r="M231" s="27" t="str">
        <f>IF('Curve Header Data'!I232="","",'Curve Header Data'!I232)</f>
        <v/>
      </c>
      <c r="N231" s="27" t="str">
        <f>IF('Curve Header Data'!J232="","",'Curve Header Data'!J232*$E$3)</f>
        <v/>
      </c>
      <c r="O231" s="27" t="str">
        <f>IF('Curve Header Data'!S232="","",'Curve Header Data'!S232*$J$2)</f>
        <v/>
      </c>
      <c r="P231" s="27" t="str">
        <f>IF('Curve Header Data'!T232="","",'Curve Header Data'!T232*$J$3)</f>
        <v/>
      </c>
      <c r="Q231" s="27" t="str">
        <f>IF('Curve Header Data'!U232="","",'Curve Header Data'!U232)</f>
        <v/>
      </c>
      <c r="R231" s="27" t="str">
        <f>IF('Curve Header Data'!V232="","",'Curve Header Data'!V232)</f>
        <v/>
      </c>
      <c r="S231" s="27" t="str">
        <f>IF('Curve Header Data'!W232="","",'Curve Header Data'!W232)</f>
        <v/>
      </c>
    </row>
    <row r="232" spans="1:19" x14ac:dyDescent="0.2">
      <c r="A232" s="38" t="str">
        <f>IF('Curve Header Data'!A233="","",'Curve Header Data'!A233)</f>
        <v/>
      </c>
      <c r="B232" s="38" t="str">
        <f>IF('Curve Header Data'!C233="","",'Curve Header Data'!C233)</f>
        <v/>
      </c>
      <c r="C232" s="38" t="str">
        <f>IF('Curve Header Data'!D233="","",'Curve Header Data'!D233)</f>
        <v/>
      </c>
      <c r="D232" s="38" t="str">
        <f>IF('Curve Header Data'!E233="","",'Curve Header Data'!E233)</f>
        <v/>
      </c>
      <c r="E232" s="38" t="str">
        <f>IF('Curve Header Data'!B233="","",'Curve Header Data'!B233)</f>
        <v/>
      </c>
      <c r="F232" s="38" t="str">
        <f>IF('Curve Header Data'!K233="","",'Curve Header Data'!K233*$E$2)</f>
        <v/>
      </c>
      <c r="G232" s="38" t="str">
        <f>IF('Curve Header Data'!L233="","",'Curve Header Data'!L233*$E$2)</f>
        <v/>
      </c>
      <c r="H232" s="38">
        <f>IF('Curve Header Data'!N233="","",'Curve Header Data'!N233)</f>
        <v>1</v>
      </c>
      <c r="I232" s="38">
        <f>IF('Curve Header Data'!O233="","",'Curve Header Data'!O233)</f>
        <v>5</v>
      </c>
      <c r="J232" s="27">
        <f>IF('Curve Header Data'!M233="","",'Curve Header Data'!M233)</f>
        <v>223</v>
      </c>
      <c r="K232" s="27" t="str">
        <f>IF('Curve Header Data'!G233="","",'Curve Header Data'!G233)</f>
        <v/>
      </c>
      <c r="L232" s="27" t="str">
        <f>IF('Curve Header Data'!H233="","",'Curve Header Data'!H233)</f>
        <v/>
      </c>
      <c r="M232" s="27" t="str">
        <f>IF('Curve Header Data'!I233="","",'Curve Header Data'!I233)</f>
        <v/>
      </c>
      <c r="N232" s="27" t="str">
        <f>IF('Curve Header Data'!J233="","",'Curve Header Data'!J233*$E$3)</f>
        <v/>
      </c>
      <c r="O232" s="27" t="str">
        <f>IF('Curve Header Data'!S233="","",'Curve Header Data'!S233*$J$2)</f>
        <v/>
      </c>
      <c r="P232" s="27" t="str">
        <f>IF('Curve Header Data'!T233="","",'Curve Header Data'!T233*$J$3)</f>
        <v/>
      </c>
      <c r="Q232" s="27" t="str">
        <f>IF('Curve Header Data'!U233="","",'Curve Header Data'!U233)</f>
        <v/>
      </c>
      <c r="R232" s="27" t="str">
        <f>IF('Curve Header Data'!V233="","",'Curve Header Data'!V233)</f>
        <v/>
      </c>
      <c r="S232" s="27" t="str">
        <f>IF('Curve Header Data'!W233="","",'Curve Header Data'!W233)</f>
        <v/>
      </c>
    </row>
    <row r="233" spans="1:19" x14ac:dyDescent="0.2">
      <c r="A233" s="38" t="str">
        <f>IF('Curve Header Data'!A234="","",'Curve Header Data'!A234)</f>
        <v/>
      </c>
      <c r="B233" s="38" t="str">
        <f>IF('Curve Header Data'!C234="","",'Curve Header Data'!C234)</f>
        <v/>
      </c>
      <c r="C233" s="38" t="str">
        <f>IF('Curve Header Data'!D234="","",'Curve Header Data'!D234)</f>
        <v/>
      </c>
      <c r="D233" s="38" t="str">
        <f>IF('Curve Header Data'!E234="","",'Curve Header Data'!E234)</f>
        <v/>
      </c>
      <c r="E233" s="38" t="str">
        <f>IF('Curve Header Data'!B234="","",'Curve Header Data'!B234)</f>
        <v/>
      </c>
      <c r="F233" s="38" t="str">
        <f>IF('Curve Header Data'!K234="","",'Curve Header Data'!K234*$E$2)</f>
        <v/>
      </c>
      <c r="G233" s="38" t="str">
        <f>IF('Curve Header Data'!L234="","",'Curve Header Data'!L234*$E$2)</f>
        <v/>
      </c>
      <c r="H233" s="38">
        <f>IF('Curve Header Data'!N234="","",'Curve Header Data'!N234)</f>
        <v>1</v>
      </c>
      <c r="I233" s="38">
        <f>IF('Curve Header Data'!O234="","",'Curve Header Data'!O234)</f>
        <v>5</v>
      </c>
      <c r="J233" s="27">
        <f>IF('Curve Header Data'!M234="","",'Curve Header Data'!M234)</f>
        <v>224</v>
      </c>
      <c r="K233" s="27" t="str">
        <f>IF('Curve Header Data'!G234="","",'Curve Header Data'!G234)</f>
        <v/>
      </c>
      <c r="L233" s="27" t="str">
        <f>IF('Curve Header Data'!H234="","",'Curve Header Data'!H234)</f>
        <v/>
      </c>
      <c r="M233" s="27" t="str">
        <f>IF('Curve Header Data'!I234="","",'Curve Header Data'!I234)</f>
        <v/>
      </c>
      <c r="N233" s="27" t="str">
        <f>IF('Curve Header Data'!J234="","",'Curve Header Data'!J234*$E$3)</f>
        <v/>
      </c>
      <c r="O233" s="27" t="str">
        <f>IF('Curve Header Data'!S234="","",'Curve Header Data'!S234*$J$2)</f>
        <v/>
      </c>
      <c r="P233" s="27" t="str">
        <f>IF('Curve Header Data'!T234="","",'Curve Header Data'!T234*$J$3)</f>
        <v/>
      </c>
      <c r="Q233" s="27" t="str">
        <f>IF('Curve Header Data'!U234="","",'Curve Header Data'!U234)</f>
        <v/>
      </c>
      <c r="R233" s="27" t="str">
        <f>IF('Curve Header Data'!V234="","",'Curve Header Data'!V234)</f>
        <v/>
      </c>
      <c r="S233" s="27" t="str">
        <f>IF('Curve Header Data'!W234="","",'Curve Header Data'!W234)</f>
        <v/>
      </c>
    </row>
    <row r="234" spans="1:19" x14ac:dyDescent="0.2">
      <c r="A234" s="38" t="str">
        <f>IF('Curve Header Data'!A235="","",'Curve Header Data'!A235)</f>
        <v/>
      </c>
      <c r="B234" s="38" t="str">
        <f>IF('Curve Header Data'!C235="","",'Curve Header Data'!C235)</f>
        <v/>
      </c>
      <c r="C234" s="38" t="str">
        <f>IF('Curve Header Data'!D235="","",'Curve Header Data'!D235)</f>
        <v/>
      </c>
      <c r="D234" s="38" t="str">
        <f>IF('Curve Header Data'!E235="","",'Curve Header Data'!E235)</f>
        <v/>
      </c>
      <c r="E234" s="38" t="str">
        <f>IF('Curve Header Data'!B235="","",'Curve Header Data'!B235)</f>
        <v/>
      </c>
      <c r="F234" s="38" t="str">
        <f>IF('Curve Header Data'!K235="","",'Curve Header Data'!K235*$E$2)</f>
        <v/>
      </c>
      <c r="G234" s="38" t="str">
        <f>IF('Curve Header Data'!L235="","",'Curve Header Data'!L235*$E$2)</f>
        <v/>
      </c>
      <c r="H234" s="38">
        <f>IF('Curve Header Data'!N235="","",'Curve Header Data'!N235)</f>
        <v>1</v>
      </c>
      <c r="I234" s="38">
        <f>IF('Curve Header Data'!O235="","",'Curve Header Data'!O235)</f>
        <v>5</v>
      </c>
      <c r="J234" s="27">
        <f>IF('Curve Header Data'!M235="","",'Curve Header Data'!M235)</f>
        <v>225</v>
      </c>
      <c r="K234" s="27" t="str">
        <f>IF('Curve Header Data'!G235="","",'Curve Header Data'!G235)</f>
        <v/>
      </c>
      <c r="L234" s="27" t="str">
        <f>IF('Curve Header Data'!H235="","",'Curve Header Data'!H235)</f>
        <v/>
      </c>
      <c r="M234" s="27" t="str">
        <f>IF('Curve Header Data'!I235="","",'Curve Header Data'!I235)</f>
        <v/>
      </c>
      <c r="N234" s="27" t="str">
        <f>IF('Curve Header Data'!J235="","",'Curve Header Data'!J235*$E$3)</f>
        <v/>
      </c>
      <c r="O234" s="27" t="str">
        <f>IF('Curve Header Data'!S235="","",'Curve Header Data'!S235*$J$2)</f>
        <v/>
      </c>
      <c r="P234" s="27" t="str">
        <f>IF('Curve Header Data'!T235="","",'Curve Header Data'!T235*$J$3)</f>
        <v/>
      </c>
      <c r="Q234" s="27" t="str">
        <f>IF('Curve Header Data'!U235="","",'Curve Header Data'!U235)</f>
        <v/>
      </c>
      <c r="R234" s="27" t="str">
        <f>IF('Curve Header Data'!V235="","",'Curve Header Data'!V235)</f>
        <v/>
      </c>
      <c r="S234" s="27" t="str">
        <f>IF('Curve Header Data'!W235="","",'Curve Header Data'!W235)</f>
        <v/>
      </c>
    </row>
    <row r="235" spans="1:19" x14ac:dyDescent="0.2">
      <c r="A235" s="38" t="str">
        <f>IF('Curve Header Data'!A236="","",'Curve Header Data'!A236)</f>
        <v/>
      </c>
      <c r="B235" s="38" t="str">
        <f>IF('Curve Header Data'!C236="","",'Curve Header Data'!C236)</f>
        <v/>
      </c>
      <c r="C235" s="38" t="str">
        <f>IF('Curve Header Data'!D236="","",'Curve Header Data'!D236)</f>
        <v/>
      </c>
      <c r="D235" s="38" t="str">
        <f>IF('Curve Header Data'!E236="","",'Curve Header Data'!E236)</f>
        <v/>
      </c>
      <c r="E235" s="38" t="str">
        <f>IF('Curve Header Data'!B236="","",'Curve Header Data'!B236)</f>
        <v/>
      </c>
      <c r="F235" s="38" t="str">
        <f>IF('Curve Header Data'!K236="","",'Curve Header Data'!K236*$E$2)</f>
        <v/>
      </c>
      <c r="G235" s="38" t="str">
        <f>IF('Curve Header Data'!L236="","",'Curve Header Data'!L236*$E$2)</f>
        <v/>
      </c>
      <c r="H235" s="38">
        <f>IF('Curve Header Data'!N236="","",'Curve Header Data'!N236)</f>
        <v>1</v>
      </c>
      <c r="I235" s="38">
        <f>IF('Curve Header Data'!O236="","",'Curve Header Data'!O236)</f>
        <v>5</v>
      </c>
      <c r="J235" s="27">
        <f>IF('Curve Header Data'!M236="","",'Curve Header Data'!M236)</f>
        <v>226</v>
      </c>
      <c r="K235" s="27" t="str">
        <f>IF('Curve Header Data'!G236="","",'Curve Header Data'!G236)</f>
        <v/>
      </c>
      <c r="L235" s="27" t="str">
        <f>IF('Curve Header Data'!H236="","",'Curve Header Data'!H236)</f>
        <v/>
      </c>
      <c r="M235" s="27" t="str">
        <f>IF('Curve Header Data'!I236="","",'Curve Header Data'!I236)</f>
        <v/>
      </c>
      <c r="N235" s="27" t="str">
        <f>IF('Curve Header Data'!J236="","",'Curve Header Data'!J236*$E$3)</f>
        <v/>
      </c>
      <c r="O235" s="27" t="str">
        <f>IF('Curve Header Data'!S236="","",'Curve Header Data'!S236*$J$2)</f>
        <v/>
      </c>
      <c r="P235" s="27" t="str">
        <f>IF('Curve Header Data'!T236="","",'Curve Header Data'!T236*$J$3)</f>
        <v/>
      </c>
      <c r="Q235" s="27" t="str">
        <f>IF('Curve Header Data'!U236="","",'Curve Header Data'!U236)</f>
        <v/>
      </c>
      <c r="R235" s="27" t="str">
        <f>IF('Curve Header Data'!V236="","",'Curve Header Data'!V236)</f>
        <v/>
      </c>
      <c r="S235" s="27" t="str">
        <f>IF('Curve Header Data'!W236="","",'Curve Header Data'!W236)</f>
        <v/>
      </c>
    </row>
    <row r="236" spans="1:19" x14ac:dyDescent="0.2">
      <c r="A236" s="38" t="str">
        <f>IF('Curve Header Data'!A237="","",'Curve Header Data'!A237)</f>
        <v/>
      </c>
      <c r="B236" s="38" t="str">
        <f>IF('Curve Header Data'!C237="","",'Curve Header Data'!C237)</f>
        <v/>
      </c>
      <c r="C236" s="38" t="str">
        <f>IF('Curve Header Data'!D237="","",'Curve Header Data'!D237)</f>
        <v/>
      </c>
      <c r="D236" s="38" t="str">
        <f>IF('Curve Header Data'!E237="","",'Curve Header Data'!E237)</f>
        <v/>
      </c>
      <c r="E236" s="38" t="str">
        <f>IF('Curve Header Data'!B237="","",'Curve Header Data'!B237)</f>
        <v/>
      </c>
      <c r="F236" s="38" t="str">
        <f>IF('Curve Header Data'!K237="","",'Curve Header Data'!K237*$E$2)</f>
        <v/>
      </c>
      <c r="G236" s="38" t="str">
        <f>IF('Curve Header Data'!L237="","",'Curve Header Data'!L237*$E$2)</f>
        <v/>
      </c>
      <c r="H236" s="38">
        <f>IF('Curve Header Data'!N237="","",'Curve Header Data'!N237)</f>
        <v>1</v>
      </c>
      <c r="I236" s="38">
        <f>IF('Curve Header Data'!O237="","",'Curve Header Data'!O237)</f>
        <v>5</v>
      </c>
      <c r="J236" s="27">
        <f>IF('Curve Header Data'!M237="","",'Curve Header Data'!M237)</f>
        <v>227</v>
      </c>
      <c r="K236" s="27" t="str">
        <f>IF('Curve Header Data'!G237="","",'Curve Header Data'!G237)</f>
        <v/>
      </c>
      <c r="L236" s="27" t="str">
        <f>IF('Curve Header Data'!H237="","",'Curve Header Data'!H237)</f>
        <v/>
      </c>
      <c r="M236" s="27" t="str">
        <f>IF('Curve Header Data'!I237="","",'Curve Header Data'!I237)</f>
        <v/>
      </c>
      <c r="N236" s="27" t="str">
        <f>IF('Curve Header Data'!J237="","",'Curve Header Data'!J237*$E$3)</f>
        <v/>
      </c>
      <c r="O236" s="27" t="str">
        <f>IF('Curve Header Data'!S237="","",'Curve Header Data'!S237*$J$2)</f>
        <v/>
      </c>
      <c r="P236" s="27" t="str">
        <f>IF('Curve Header Data'!T237="","",'Curve Header Data'!T237*$J$3)</f>
        <v/>
      </c>
      <c r="Q236" s="27" t="str">
        <f>IF('Curve Header Data'!U237="","",'Curve Header Data'!U237)</f>
        <v/>
      </c>
      <c r="R236" s="27" t="str">
        <f>IF('Curve Header Data'!V237="","",'Curve Header Data'!V237)</f>
        <v/>
      </c>
      <c r="S236" s="27" t="str">
        <f>IF('Curve Header Data'!W237="","",'Curve Header Data'!W237)</f>
        <v/>
      </c>
    </row>
    <row r="237" spans="1:19" x14ac:dyDescent="0.2">
      <c r="A237" s="38" t="str">
        <f>IF('Curve Header Data'!A238="","",'Curve Header Data'!A238)</f>
        <v/>
      </c>
      <c r="B237" s="38" t="str">
        <f>IF('Curve Header Data'!C238="","",'Curve Header Data'!C238)</f>
        <v/>
      </c>
      <c r="C237" s="38" t="str">
        <f>IF('Curve Header Data'!D238="","",'Curve Header Data'!D238)</f>
        <v/>
      </c>
      <c r="D237" s="38" t="str">
        <f>IF('Curve Header Data'!E238="","",'Curve Header Data'!E238)</f>
        <v/>
      </c>
      <c r="E237" s="38" t="str">
        <f>IF('Curve Header Data'!B238="","",'Curve Header Data'!B238)</f>
        <v/>
      </c>
      <c r="F237" s="38" t="str">
        <f>IF('Curve Header Data'!K238="","",'Curve Header Data'!K238*$E$2)</f>
        <v/>
      </c>
      <c r="G237" s="38" t="str">
        <f>IF('Curve Header Data'!L238="","",'Curve Header Data'!L238*$E$2)</f>
        <v/>
      </c>
      <c r="H237" s="38">
        <f>IF('Curve Header Data'!N238="","",'Curve Header Data'!N238)</f>
        <v>1</v>
      </c>
      <c r="I237" s="38">
        <f>IF('Curve Header Data'!O238="","",'Curve Header Data'!O238)</f>
        <v>5</v>
      </c>
      <c r="J237" s="27">
        <f>IF('Curve Header Data'!M238="","",'Curve Header Data'!M238)</f>
        <v>228</v>
      </c>
      <c r="K237" s="27" t="str">
        <f>IF('Curve Header Data'!G238="","",'Curve Header Data'!G238)</f>
        <v/>
      </c>
      <c r="L237" s="27" t="str">
        <f>IF('Curve Header Data'!H238="","",'Curve Header Data'!H238)</f>
        <v/>
      </c>
      <c r="M237" s="27" t="str">
        <f>IF('Curve Header Data'!I238="","",'Curve Header Data'!I238)</f>
        <v/>
      </c>
      <c r="N237" s="27" t="str">
        <f>IF('Curve Header Data'!J238="","",'Curve Header Data'!J238*$E$3)</f>
        <v/>
      </c>
      <c r="O237" s="27" t="str">
        <f>IF('Curve Header Data'!S238="","",'Curve Header Data'!S238*$J$2)</f>
        <v/>
      </c>
      <c r="P237" s="27" t="str">
        <f>IF('Curve Header Data'!T238="","",'Curve Header Data'!T238*$J$3)</f>
        <v/>
      </c>
      <c r="Q237" s="27" t="str">
        <f>IF('Curve Header Data'!U238="","",'Curve Header Data'!U238)</f>
        <v/>
      </c>
      <c r="R237" s="27" t="str">
        <f>IF('Curve Header Data'!V238="","",'Curve Header Data'!V238)</f>
        <v/>
      </c>
      <c r="S237" s="27" t="str">
        <f>IF('Curve Header Data'!W238="","",'Curve Header Data'!W238)</f>
        <v/>
      </c>
    </row>
    <row r="238" spans="1:19" x14ac:dyDescent="0.2">
      <c r="A238" s="38" t="str">
        <f>IF('Curve Header Data'!A239="","",'Curve Header Data'!A239)</f>
        <v/>
      </c>
      <c r="B238" s="38" t="str">
        <f>IF('Curve Header Data'!C239="","",'Curve Header Data'!C239)</f>
        <v/>
      </c>
      <c r="C238" s="38" t="str">
        <f>IF('Curve Header Data'!D239="","",'Curve Header Data'!D239)</f>
        <v/>
      </c>
      <c r="D238" s="38" t="str">
        <f>IF('Curve Header Data'!E239="","",'Curve Header Data'!E239)</f>
        <v/>
      </c>
      <c r="E238" s="38" t="str">
        <f>IF('Curve Header Data'!B239="","",'Curve Header Data'!B239)</f>
        <v/>
      </c>
      <c r="F238" s="38" t="str">
        <f>IF('Curve Header Data'!K239="","",'Curve Header Data'!K239*$E$2)</f>
        <v/>
      </c>
      <c r="G238" s="38" t="str">
        <f>IF('Curve Header Data'!L239="","",'Curve Header Data'!L239*$E$2)</f>
        <v/>
      </c>
      <c r="H238" s="38">
        <f>IF('Curve Header Data'!N239="","",'Curve Header Data'!N239)</f>
        <v>1</v>
      </c>
      <c r="I238" s="38">
        <f>IF('Curve Header Data'!O239="","",'Curve Header Data'!O239)</f>
        <v>5</v>
      </c>
      <c r="J238" s="27">
        <f>IF('Curve Header Data'!M239="","",'Curve Header Data'!M239)</f>
        <v>229</v>
      </c>
      <c r="K238" s="27" t="str">
        <f>IF('Curve Header Data'!G239="","",'Curve Header Data'!G239)</f>
        <v/>
      </c>
      <c r="L238" s="27" t="str">
        <f>IF('Curve Header Data'!H239="","",'Curve Header Data'!H239)</f>
        <v/>
      </c>
      <c r="M238" s="27" t="str">
        <f>IF('Curve Header Data'!I239="","",'Curve Header Data'!I239)</f>
        <v/>
      </c>
      <c r="N238" s="27" t="str">
        <f>IF('Curve Header Data'!J239="","",'Curve Header Data'!J239*$E$3)</f>
        <v/>
      </c>
      <c r="O238" s="27" t="str">
        <f>IF('Curve Header Data'!S239="","",'Curve Header Data'!S239*$J$2)</f>
        <v/>
      </c>
      <c r="P238" s="27" t="str">
        <f>IF('Curve Header Data'!T239="","",'Curve Header Data'!T239*$J$3)</f>
        <v/>
      </c>
      <c r="Q238" s="27" t="str">
        <f>IF('Curve Header Data'!U239="","",'Curve Header Data'!U239)</f>
        <v/>
      </c>
      <c r="R238" s="27" t="str">
        <f>IF('Curve Header Data'!V239="","",'Curve Header Data'!V239)</f>
        <v/>
      </c>
      <c r="S238" s="27" t="str">
        <f>IF('Curve Header Data'!W239="","",'Curve Header Data'!W239)</f>
        <v/>
      </c>
    </row>
    <row r="239" spans="1:19" x14ac:dyDescent="0.2">
      <c r="A239" s="38" t="str">
        <f>IF('Curve Header Data'!A240="","",'Curve Header Data'!A240)</f>
        <v/>
      </c>
      <c r="B239" s="38" t="str">
        <f>IF('Curve Header Data'!C240="","",'Curve Header Data'!C240)</f>
        <v/>
      </c>
      <c r="C239" s="38" t="str">
        <f>IF('Curve Header Data'!D240="","",'Curve Header Data'!D240)</f>
        <v/>
      </c>
      <c r="D239" s="38" t="str">
        <f>IF('Curve Header Data'!E240="","",'Curve Header Data'!E240)</f>
        <v/>
      </c>
      <c r="E239" s="38" t="str">
        <f>IF('Curve Header Data'!B240="","",'Curve Header Data'!B240)</f>
        <v/>
      </c>
      <c r="F239" s="38" t="str">
        <f>IF('Curve Header Data'!K240="","",'Curve Header Data'!K240*$E$2)</f>
        <v/>
      </c>
      <c r="G239" s="38" t="str">
        <f>IF('Curve Header Data'!L240="","",'Curve Header Data'!L240*$E$2)</f>
        <v/>
      </c>
      <c r="H239" s="38">
        <f>IF('Curve Header Data'!N240="","",'Curve Header Data'!N240)</f>
        <v>1</v>
      </c>
      <c r="I239" s="38">
        <f>IF('Curve Header Data'!O240="","",'Curve Header Data'!O240)</f>
        <v>5</v>
      </c>
      <c r="J239" s="27">
        <f>IF('Curve Header Data'!M240="","",'Curve Header Data'!M240)</f>
        <v>230</v>
      </c>
      <c r="K239" s="27" t="str">
        <f>IF('Curve Header Data'!G240="","",'Curve Header Data'!G240)</f>
        <v/>
      </c>
      <c r="L239" s="27" t="str">
        <f>IF('Curve Header Data'!H240="","",'Curve Header Data'!H240)</f>
        <v/>
      </c>
      <c r="M239" s="27" t="str">
        <f>IF('Curve Header Data'!I240="","",'Curve Header Data'!I240)</f>
        <v/>
      </c>
      <c r="N239" s="27" t="str">
        <f>IF('Curve Header Data'!J240="","",'Curve Header Data'!J240*$E$3)</f>
        <v/>
      </c>
      <c r="O239" s="27" t="str">
        <f>IF('Curve Header Data'!S240="","",'Curve Header Data'!S240*$J$2)</f>
        <v/>
      </c>
      <c r="P239" s="27" t="str">
        <f>IF('Curve Header Data'!T240="","",'Curve Header Data'!T240*$J$3)</f>
        <v/>
      </c>
      <c r="Q239" s="27" t="str">
        <f>IF('Curve Header Data'!U240="","",'Curve Header Data'!U240)</f>
        <v/>
      </c>
      <c r="R239" s="27" t="str">
        <f>IF('Curve Header Data'!V240="","",'Curve Header Data'!V240)</f>
        <v/>
      </c>
      <c r="S239" s="27" t="str">
        <f>IF('Curve Header Data'!W240="","",'Curve Header Data'!W240)</f>
        <v/>
      </c>
    </row>
    <row r="240" spans="1:19" x14ac:dyDescent="0.2">
      <c r="A240" s="38" t="str">
        <f>IF('Curve Header Data'!A241="","",'Curve Header Data'!A241)</f>
        <v/>
      </c>
      <c r="B240" s="38" t="str">
        <f>IF('Curve Header Data'!C241="","",'Curve Header Data'!C241)</f>
        <v/>
      </c>
      <c r="C240" s="38" t="str">
        <f>IF('Curve Header Data'!D241="","",'Curve Header Data'!D241)</f>
        <v/>
      </c>
      <c r="D240" s="38" t="str">
        <f>IF('Curve Header Data'!E241="","",'Curve Header Data'!E241)</f>
        <v/>
      </c>
      <c r="E240" s="38" t="str">
        <f>IF('Curve Header Data'!B241="","",'Curve Header Data'!B241)</f>
        <v/>
      </c>
      <c r="F240" s="38" t="str">
        <f>IF('Curve Header Data'!K241="","",'Curve Header Data'!K241*$E$2)</f>
        <v/>
      </c>
      <c r="G240" s="38" t="str">
        <f>IF('Curve Header Data'!L241="","",'Curve Header Data'!L241*$E$2)</f>
        <v/>
      </c>
      <c r="H240" s="38">
        <f>IF('Curve Header Data'!N241="","",'Curve Header Data'!N241)</f>
        <v>1</v>
      </c>
      <c r="I240" s="38">
        <f>IF('Curve Header Data'!O241="","",'Curve Header Data'!O241)</f>
        <v>5</v>
      </c>
      <c r="J240" s="27">
        <f>IF('Curve Header Data'!M241="","",'Curve Header Data'!M241)</f>
        <v>231</v>
      </c>
      <c r="K240" s="27" t="str">
        <f>IF('Curve Header Data'!G241="","",'Curve Header Data'!G241)</f>
        <v/>
      </c>
      <c r="L240" s="27" t="str">
        <f>IF('Curve Header Data'!H241="","",'Curve Header Data'!H241)</f>
        <v/>
      </c>
      <c r="M240" s="27" t="str">
        <f>IF('Curve Header Data'!I241="","",'Curve Header Data'!I241)</f>
        <v/>
      </c>
      <c r="N240" s="27" t="str">
        <f>IF('Curve Header Data'!J241="","",'Curve Header Data'!J241*$E$3)</f>
        <v/>
      </c>
      <c r="O240" s="27" t="str">
        <f>IF('Curve Header Data'!S241="","",'Curve Header Data'!S241*$J$2)</f>
        <v/>
      </c>
      <c r="P240" s="27" t="str">
        <f>IF('Curve Header Data'!T241="","",'Curve Header Data'!T241*$J$3)</f>
        <v/>
      </c>
      <c r="Q240" s="27" t="str">
        <f>IF('Curve Header Data'!U241="","",'Curve Header Data'!U241)</f>
        <v/>
      </c>
      <c r="R240" s="27" t="str">
        <f>IF('Curve Header Data'!V241="","",'Curve Header Data'!V241)</f>
        <v/>
      </c>
      <c r="S240" s="27" t="str">
        <f>IF('Curve Header Data'!W241="","",'Curve Header Data'!W241)</f>
        <v/>
      </c>
    </row>
    <row r="241" spans="1:19" x14ac:dyDescent="0.2">
      <c r="A241" s="38" t="str">
        <f>IF('Curve Header Data'!A242="","",'Curve Header Data'!A242)</f>
        <v/>
      </c>
      <c r="B241" s="38" t="str">
        <f>IF('Curve Header Data'!C242="","",'Curve Header Data'!C242)</f>
        <v/>
      </c>
      <c r="C241" s="38" t="str">
        <f>IF('Curve Header Data'!D242="","",'Curve Header Data'!D242)</f>
        <v/>
      </c>
      <c r="D241" s="38" t="str">
        <f>IF('Curve Header Data'!E242="","",'Curve Header Data'!E242)</f>
        <v/>
      </c>
      <c r="E241" s="38" t="str">
        <f>IF('Curve Header Data'!B242="","",'Curve Header Data'!B242)</f>
        <v/>
      </c>
      <c r="F241" s="38" t="str">
        <f>IF('Curve Header Data'!K242="","",'Curve Header Data'!K242*$E$2)</f>
        <v/>
      </c>
      <c r="G241" s="38" t="str">
        <f>IF('Curve Header Data'!L242="","",'Curve Header Data'!L242*$E$2)</f>
        <v/>
      </c>
      <c r="H241" s="38">
        <f>IF('Curve Header Data'!N242="","",'Curve Header Data'!N242)</f>
        <v>1</v>
      </c>
      <c r="I241" s="38">
        <f>IF('Curve Header Data'!O242="","",'Curve Header Data'!O242)</f>
        <v>5</v>
      </c>
      <c r="J241" s="27">
        <f>IF('Curve Header Data'!M242="","",'Curve Header Data'!M242)</f>
        <v>232</v>
      </c>
      <c r="K241" s="27" t="str">
        <f>IF('Curve Header Data'!G242="","",'Curve Header Data'!G242)</f>
        <v/>
      </c>
      <c r="L241" s="27" t="str">
        <f>IF('Curve Header Data'!H242="","",'Curve Header Data'!H242)</f>
        <v/>
      </c>
      <c r="M241" s="27" t="str">
        <f>IF('Curve Header Data'!I242="","",'Curve Header Data'!I242)</f>
        <v/>
      </c>
      <c r="N241" s="27" t="str">
        <f>IF('Curve Header Data'!J242="","",'Curve Header Data'!J242*$E$3)</f>
        <v/>
      </c>
      <c r="O241" s="27" t="str">
        <f>IF('Curve Header Data'!S242="","",'Curve Header Data'!S242*$J$2)</f>
        <v/>
      </c>
      <c r="P241" s="27" t="str">
        <f>IF('Curve Header Data'!T242="","",'Curve Header Data'!T242*$J$3)</f>
        <v/>
      </c>
      <c r="Q241" s="27" t="str">
        <f>IF('Curve Header Data'!U242="","",'Curve Header Data'!U242)</f>
        <v/>
      </c>
      <c r="R241" s="27" t="str">
        <f>IF('Curve Header Data'!V242="","",'Curve Header Data'!V242)</f>
        <v/>
      </c>
      <c r="S241" s="27" t="str">
        <f>IF('Curve Header Data'!W242="","",'Curve Header Data'!W242)</f>
        <v/>
      </c>
    </row>
    <row r="242" spans="1:19" x14ac:dyDescent="0.2">
      <c r="A242" s="38" t="str">
        <f>IF('Curve Header Data'!A243="","",'Curve Header Data'!A243)</f>
        <v/>
      </c>
      <c r="B242" s="38" t="str">
        <f>IF('Curve Header Data'!C243="","",'Curve Header Data'!C243)</f>
        <v/>
      </c>
      <c r="C242" s="38" t="str">
        <f>IF('Curve Header Data'!D243="","",'Curve Header Data'!D243)</f>
        <v/>
      </c>
      <c r="D242" s="38" t="str">
        <f>IF('Curve Header Data'!E243="","",'Curve Header Data'!E243)</f>
        <v/>
      </c>
      <c r="E242" s="38" t="str">
        <f>IF('Curve Header Data'!B243="","",'Curve Header Data'!B243)</f>
        <v/>
      </c>
      <c r="F242" s="38" t="str">
        <f>IF('Curve Header Data'!K243="","",'Curve Header Data'!K243*$E$2)</f>
        <v/>
      </c>
      <c r="G242" s="38" t="str">
        <f>IF('Curve Header Data'!L243="","",'Curve Header Data'!L243*$E$2)</f>
        <v/>
      </c>
      <c r="H242" s="38">
        <f>IF('Curve Header Data'!N243="","",'Curve Header Data'!N243)</f>
        <v>1</v>
      </c>
      <c r="I242" s="38">
        <f>IF('Curve Header Data'!O243="","",'Curve Header Data'!O243)</f>
        <v>5</v>
      </c>
      <c r="J242" s="27">
        <f>IF('Curve Header Data'!M243="","",'Curve Header Data'!M243)</f>
        <v>233</v>
      </c>
      <c r="K242" s="27" t="str">
        <f>IF('Curve Header Data'!G243="","",'Curve Header Data'!G243)</f>
        <v/>
      </c>
      <c r="L242" s="27" t="str">
        <f>IF('Curve Header Data'!H243="","",'Curve Header Data'!H243)</f>
        <v/>
      </c>
      <c r="M242" s="27" t="str">
        <f>IF('Curve Header Data'!I243="","",'Curve Header Data'!I243)</f>
        <v/>
      </c>
      <c r="N242" s="27" t="str">
        <f>IF('Curve Header Data'!J243="","",'Curve Header Data'!J243*$E$3)</f>
        <v/>
      </c>
      <c r="O242" s="27" t="str">
        <f>IF('Curve Header Data'!S243="","",'Curve Header Data'!S243*$J$2)</f>
        <v/>
      </c>
      <c r="P242" s="27" t="str">
        <f>IF('Curve Header Data'!T243="","",'Curve Header Data'!T243*$J$3)</f>
        <v/>
      </c>
      <c r="Q242" s="27" t="str">
        <f>IF('Curve Header Data'!U243="","",'Curve Header Data'!U243)</f>
        <v/>
      </c>
      <c r="R242" s="27" t="str">
        <f>IF('Curve Header Data'!V243="","",'Curve Header Data'!V243)</f>
        <v/>
      </c>
      <c r="S242" s="27" t="str">
        <f>IF('Curve Header Data'!W243="","",'Curve Header Data'!W243)</f>
        <v/>
      </c>
    </row>
    <row r="243" spans="1:19" x14ac:dyDescent="0.2">
      <c r="A243" s="38" t="str">
        <f>IF('Curve Header Data'!A244="","",'Curve Header Data'!A244)</f>
        <v/>
      </c>
      <c r="B243" s="38" t="str">
        <f>IF('Curve Header Data'!C244="","",'Curve Header Data'!C244)</f>
        <v/>
      </c>
      <c r="C243" s="38" t="str">
        <f>IF('Curve Header Data'!D244="","",'Curve Header Data'!D244)</f>
        <v/>
      </c>
      <c r="D243" s="38" t="str">
        <f>IF('Curve Header Data'!E244="","",'Curve Header Data'!E244)</f>
        <v/>
      </c>
      <c r="E243" s="38" t="str">
        <f>IF('Curve Header Data'!B244="","",'Curve Header Data'!B244)</f>
        <v/>
      </c>
      <c r="F243" s="38" t="str">
        <f>IF('Curve Header Data'!K244="","",'Curve Header Data'!K244*$E$2)</f>
        <v/>
      </c>
      <c r="G243" s="38" t="str">
        <f>IF('Curve Header Data'!L244="","",'Curve Header Data'!L244*$E$2)</f>
        <v/>
      </c>
      <c r="H243" s="38">
        <f>IF('Curve Header Data'!N244="","",'Curve Header Data'!N244)</f>
        <v>1</v>
      </c>
      <c r="I243" s="38">
        <f>IF('Curve Header Data'!O244="","",'Curve Header Data'!O244)</f>
        <v>5</v>
      </c>
      <c r="J243" s="27">
        <f>IF('Curve Header Data'!M244="","",'Curve Header Data'!M244)</f>
        <v>234</v>
      </c>
      <c r="K243" s="27" t="str">
        <f>IF('Curve Header Data'!G244="","",'Curve Header Data'!G244)</f>
        <v/>
      </c>
      <c r="L243" s="27" t="str">
        <f>IF('Curve Header Data'!H244="","",'Curve Header Data'!H244)</f>
        <v/>
      </c>
      <c r="M243" s="27" t="str">
        <f>IF('Curve Header Data'!I244="","",'Curve Header Data'!I244)</f>
        <v/>
      </c>
      <c r="N243" s="27" t="str">
        <f>IF('Curve Header Data'!J244="","",'Curve Header Data'!J244*$E$3)</f>
        <v/>
      </c>
      <c r="O243" s="27" t="str">
        <f>IF('Curve Header Data'!S244="","",'Curve Header Data'!S244*$J$2)</f>
        <v/>
      </c>
      <c r="P243" s="27" t="str">
        <f>IF('Curve Header Data'!T244="","",'Curve Header Data'!T244*$J$3)</f>
        <v/>
      </c>
      <c r="Q243" s="27" t="str">
        <f>IF('Curve Header Data'!U244="","",'Curve Header Data'!U244)</f>
        <v/>
      </c>
      <c r="R243" s="27" t="str">
        <f>IF('Curve Header Data'!V244="","",'Curve Header Data'!V244)</f>
        <v/>
      </c>
      <c r="S243" s="27" t="str">
        <f>IF('Curve Header Data'!W244="","",'Curve Header Data'!W244)</f>
        <v/>
      </c>
    </row>
    <row r="244" spans="1:19" x14ac:dyDescent="0.2">
      <c r="A244" s="38" t="str">
        <f>IF('Curve Header Data'!A245="","",'Curve Header Data'!A245)</f>
        <v/>
      </c>
      <c r="B244" s="38" t="str">
        <f>IF('Curve Header Data'!C245="","",'Curve Header Data'!C245)</f>
        <v/>
      </c>
      <c r="C244" s="38" t="str">
        <f>IF('Curve Header Data'!D245="","",'Curve Header Data'!D245)</f>
        <v/>
      </c>
      <c r="D244" s="38" t="str">
        <f>IF('Curve Header Data'!E245="","",'Curve Header Data'!E245)</f>
        <v/>
      </c>
      <c r="E244" s="38" t="str">
        <f>IF('Curve Header Data'!B245="","",'Curve Header Data'!B245)</f>
        <v/>
      </c>
      <c r="F244" s="38" t="str">
        <f>IF('Curve Header Data'!K245="","",'Curve Header Data'!K245*$E$2)</f>
        <v/>
      </c>
      <c r="G244" s="38" t="str">
        <f>IF('Curve Header Data'!L245="","",'Curve Header Data'!L245*$E$2)</f>
        <v/>
      </c>
      <c r="H244" s="38">
        <f>IF('Curve Header Data'!N245="","",'Curve Header Data'!N245)</f>
        <v>1</v>
      </c>
      <c r="I244" s="38">
        <f>IF('Curve Header Data'!O245="","",'Curve Header Data'!O245)</f>
        <v>5</v>
      </c>
      <c r="J244" s="27">
        <f>IF('Curve Header Data'!M245="","",'Curve Header Data'!M245)</f>
        <v>235</v>
      </c>
      <c r="K244" s="27" t="str">
        <f>IF('Curve Header Data'!G245="","",'Curve Header Data'!G245)</f>
        <v/>
      </c>
      <c r="L244" s="27" t="str">
        <f>IF('Curve Header Data'!H245="","",'Curve Header Data'!H245)</f>
        <v/>
      </c>
      <c r="M244" s="27" t="str">
        <f>IF('Curve Header Data'!I245="","",'Curve Header Data'!I245)</f>
        <v/>
      </c>
      <c r="N244" s="27" t="str">
        <f>IF('Curve Header Data'!J245="","",'Curve Header Data'!J245*$E$3)</f>
        <v/>
      </c>
      <c r="O244" s="27" t="str">
        <f>IF('Curve Header Data'!S245="","",'Curve Header Data'!S245*$J$2)</f>
        <v/>
      </c>
      <c r="P244" s="27" t="str">
        <f>IF('Curve Header Data'!T245="","",'Curve Header Data'!T245*$J$3)</f>
        <v/>
      </c>
      <c r="Q244" s="27" t="str">
        <f>IF('Curve Header Data'!U245="","",'Curve Header Data'!U245)</f>
        <v/>
      </c>
      <c r="R244" s="27" t="str">
        <f>IF('Curve Header Data'!V245="","",'Curve Header Data'!V245)</f>
        <v/>
      </c>
      <c r="S244" s="27" t="str">
        <f>IF('Curve Header Data'!W245="","",'Curve Header Data'!W245)</f>
        <v/>
      </c>
    </row>
    <row r="245" spans="1:19" x14ac:dyDescent="0.2">
      <c r="A245" s="38" t="str">
        <f>IF('Curve Header Data'!A246="","",'Curve Header Data'!A246)</f>
        <v/>
      </c>
      <c r="B245" s="38" t="str">
        <f>IF('Curve Header Data'!C246="","",'Curve Header Data'!C246)</f>
        <v/>
      </c>
      <c r="C245" s="38" t="str">
        <f>IF('Curve Header Data'!D246="","",'Curve Header Data'!D246)</f>
        <v/>
      </c>
      <c r="D245" s="38" t="str">
        <f>IF('Curve Header Data'!E246="","",'Curve Header Data'!E246)</f>
        <v/>
      </c>
      <c r="E245" s="38" t="str">
        <f>IF('Curve Header Data'!B246="","",'Curve Header Data'!B246)</f>
        <v/>
      </c>
      <c r="F245" s="38" t="str">
        <f>IF('Curve Header Data'!K246="","",'Curve Header Data'!K246*$E$2)</f>
        <v/>
      </c>
      <c r="G245" s="38" t="str">
        <f>IF('Curve Header Data'!L246="","",'Curve Header Data'!L246*$E$2)</f>
        <v/>
      </c>
      <c r="H245" s="38">
        <f>IF('Curve Header Data'!N246="","",'Curve Header Data'!N246)</f>
        <v>1</v>
      </c>
      <c r="I245" s="38">
        <f>IF('Curve Header Data'!O246="","",'Curve Header Data'!O246)</f>
        <v>5</v>
      </c>
      <c r="J245" s="27">
        <f>IF('Curve Header Data'!M246="","",'Curve Header Data'!M246)</f>
        <v>236</v>
      </c>
      <c r="K245" s="27" t="str">
        <f>IF('Curve Header Data'!G246="","",'Curve Header Data'!G246)</f>
        <v/>
      </c>
      <c r="L245" s="27" t="str">
        <f>IF('Curve Header Data'!H246="","",'Curve Header Data'!H246)</f>
        <v/>
      </c>
      <c r="M245" s="27" t="str">
        <f>IF('Curve Header Data'!I246="","",'Curve Header Data'!I246)</f>
        <v/>
      </c>
      <c r="N245" s="27" t="str">
        <f>IF('Curve Header Data'!J246="","",'Curve Header Data'!J246*$E$3)</f>
        <v/>
      </c>
      <c r="O245" s="27" t="str">
        <f>IF('Curve Header Data'!S246="","",'Curve Header Data'!S246*$J$2)</f>
        <v/>
      </c>
      <c r="P245" s="27" t="str">
        <f>IF('Curve Header Data'!T246="","",'Curve Header Data'!T246*$J$3)</f>
        <v/>
      </c>
      <c r="Q245" s="27" t="str">
        <f>IF('Curve Header Data'!U246="","",'Curve Header Data'!U246)</f>
        <v/>
      </c>
      <c r="R245" s="27" t="str">
        <f>IF('Curve Header Data'!V246="","",'Curve Header Data'!V246)</f>
        <v/>
      </c>
      <c r="S245" s="27" t="str">
        <f>IF('Curve Header Data'!W246="","",'Curve Header Data'!W246)</f>
        <v/>
      </c>
    </row>
    <row r="246" spans="1:19" x14ac:dyDescent="0.2">
      <c r="A246" s="38" t="str">
        <f>IF('Curve Header Data'!A247="","",'Curve Header Data'!A247)</f>
        <v/>
      </c>
      <c r="B246" s="38" t="str">
        <f>IF('Curve Header Data'!C247="","",'Curve Header Data'!C247)</f>
        <v/>
      </c>
      <c r="C246" s="38" t="str">
        <f>IF('Curve Header Data'!D247="","",'Curve Header Data'!D247)</f>
        <v/>
      </c>
      <c r="D246" s="38" t="str">
        <f>IF('Curve Header Data'!E247="","",'Curve Header Data'!E247)</f>
        <v/>
      </c>
      <c r="E246" s="38" t="str">
        <f>IF('Curve Header Data'!B247="","",'Curve Header Data'!B247)</f>
        <v/>
      </c>
      <c r="F246" s="38" t="str">
        <f>IF('Curve Header Data'!K247="","",'Curve Header Data'!K247*$E$2)</f>
        <v/>
      </c>
      <c r="G246" s="38" t="str">
        <f>IF('Curve Header Data'!L247="","",'Curve Header Data'!L247*$E$2)</f>
        <v/>
      </c>
      <c r="H246" s="38">
        <f>IF('Curve Header Data'!N247="","",'Curve Header Data'!N247)</f>
        <v>1</v>
      </c>
      <c r="I246" s="38">
        <f>IF('Curve Header Data'!O247="","",'Curve Header Data'!O247)</f>
        <v>5</v>
      </c>
      <c r="J246" s="27">
        <f>IF('Curve Header Data'!M247="","",'Curve Header Data'!M247)</f>
        <v>237</v>
      </c>
      <c r="K246" s="27" t="str">
        <f>IF('Curve Header Data'!G247="","",'Curve Header Data'!G247)</f>
        <v/>
      </c>
      <c r="L246" s="27" t="str">
        <f>IF('Curve Header Data'!H247="","",'Curve Header Data'!H247)</f>
        <v/>
      </c>
      <c r="M246" s="27" t="str">
        <f>IF('Curve Header Data'!I247="","",'Curve Header Data'!I247)</f>
        <v/>
      </c>
      <c r="N246" s="27" t="str">
        <f>IF('Curve Header Data'!J247="","",'Curve Header Data'!J247*$E$3)</f>
        <v/>
      </c>
      <c r="O246" s="27" t="str">
        <f>IF('Curve Header Data'!S247="","",'Curve Header Data'!S247*$J$2)</f>
        <v/>
      </c>
      <c r="P246" s="27" t="str">
        <f>IF('Curve Header Data'!T247="","",'Curve Header Data'!T247*$J$3)</f>
        <v/>
      </c>
      <c r="Q246" s="27" t="str">
        <f>IF('Curve Header Data'!U247="","",'Curve Header Data'!U247)</f>
        <v/>
      </c>
      <c r="R246" s="27" t="str">
        <f>IF('Curve Header Data'!V247="","",'Curve Header Data'!V247)</f>
        <v/>
      </c>
      <c r="S246" s="27" t="str">
        <f>IF('Curve Header Data'!W247="","",'Curve Header Data'!W247)</f>
        <v/>
      </c>
    </row>
    <row r="247" spans="1:19" x14ac:dyDescent="0.2">
      <c r="A247" s="38" t="str">
        <f>IF('Curve Header Data'!A248="","",'Curve Header Data'!A248)</f>
        <v/>
      </c>
      <c r="B247" s="38" t="str">
        <f>IF('Curve Header Data'!C248="","",'Curve Header Data'!C248)</f>
        <v/>
      </c>
      <c r="C247" s="38" t="str">
        <f>IF('Curve Header Data'!D248="","",'Curve Header Data'!D248)</f>
        <v/>
      </c>
      <c r="D247" s="38" t="str">
        <f>IF('Curve Header Data'!E248="","",'Curve Header Data'!E248)</f>
        <v/>
      </c>
      <c r="E247" s="38" t="str">
        <f>IF('Curve Header Data'!B248="","",'Curve Header Data'!B248)</f>
        <v/>
      </c>
      <c r="F247" s="38" t="str">
        <f>IF('Curve Header Data'!K248="","",'Curve Header Data'!K248*$E$2)</f>
        <v/>
      </c>
      <c r="G247" s="38" t="str">
        <f>IF('Curve Header Data'!L248="","",'Curve Header Data'!L248*$E$2)</f>
        <v/>
      </c>
      <c r="H247" s="38">
        <f>IF('Curve Header Data'!N248="","",'Curve Header Data'!N248)</f>
        <v>1</v>
      </c>
      <c r="I247" s="38">
        <f>IF('Curve Header Data'!O248="","",'Curve Header Data'!O248)</f>
        <v>5</v>
      </c>
      <c r="J247" s="27">
        <f>IF('Curve Header Data'!M248="","",'Curve Header Data'!M248)</f>
        <v>238</v>
      </c>
      <c r="K247" s="27" t="str">
        <f>IF('Curve Header Data'!G248="","",'Curve Header Data'!G248)</f>
        <v/>
      </c>
      <c r="L247" s="27" t="str">
        <f>IF('Curve Header Data'!H248="","",'Curve Header Data'!H248)</f>
        <v/>
      </c>
      <c r="M247" s="27" t="str">
        <f>IF('Curve Header Data'!I248="","",'Curve Header Data'!I248)</f>
        <v/>
      </c>
      <c r="N247" s="27" t="str">
        <f>IF('Curve Header Data'!J248="","",'Curve Header Data'!J248*$E$3)</f>
        <v/>
      </c>
      <c r="O247" s="27" t="str">
        <f>IF('Curve Header Data'!S248="","",'Curve Header Data'!S248*$J$2)</f>
        <v/>
      </c>
      <c r="P247" s="27" t="str">
        <f>IF('Curve Header Data'!T248="","",'Curve Header Data'!T248*$J$3)</f>
        <v/>
      </c>
      <c r="Q247" s="27" t="str">
        <f>IF('Curve Header Data'!U248="","",'Curve Header Data'!U248)</f>
        <v/>
      </c>
      <c r="R247" s="27" t="str">
        <f>IF('Curve Header Data'!V248="","",'Curve Header Data'!V248)</f>
        <v/>
      </c>
      <c r="S247" s="27" t="str">
        <f>IF('Curve Header Data'!W248="","",'Curve Header Data'!W248)</f>
        <v/>
      </c>
    </row>
    <row r="248" spans="1:19" x14ac:dyDescent="0.2">
      <c r="A248" s="38" t="str">
        <f>IF('Curve Header Data'!A249="","",'Curve Header Data'!A249)</f>
        <v/>
      </c>
      <c r="B248" s="38" t="str">
        <f>IF('Curve Header Data'!C249="","",'Curve Header Data'!C249)</f>
        <v/>
      </c>
      <c r="C248" s="38" t="str">
        <f>IF('Curve Header Data'!D249="","",'Curve Header Data'!D249)</f>
        <v/>
      </c>
      <c r="D248" s="38" t="str">
        <f>IF('Curve Header Data'!E249="","",'Curve Header Data'!E249)</f>
        <v/>
      </c>
      <c r="E248" s="38" t="str">
        <f>IF('Curve Header Data'!B249="","",'Curve Header Data'!B249)</f>
        <v/>
      </c>
      <c r="F248" s="38" t="str">
        <f>IF('Curve Header Data'!K249="","",'Curve Header Data'!K249*$E$2)</f>
        <v/>
      </c>
      <c r="G248" s="38" t="str">
        <f>IF('Curve Header Data'!L249="","",'Curve Header Data'!L249*$E$2)</f>
        <v/>
      </c>
      <c r="H248" s="38">
        <f>IF('Curve Header Data'!N249="","",'Curve Header Data'!N249)</f>
        <v>1</v>
      </c>
      <c r="I248" s="38">
        <f>IF('Curve Header Data'!O249="","",'Curve Header Data'!O249)</f>
        <v>5</v>
      </c>
      <c r="J248" s="27">
        <f>IF('Curve Header Data'!M249="","",'Curve Header Data'!M249)</f>
        <v>239</v>
      </c>
      <c r="K248" s="27" t="str">
        <f>IF('Curve Header Data'!G249="","",'Curve Header Data'!G249)</f>
        <v/>
      </c>
      <c r="L248" s="27" t="str">
        <f>IF('Curve Header Data'!H249="","",'Curve Header Data'!H249)</f>
        <v/>
      </c>
      <c r="M248" s="27" t="str">
        <f>IF('Curve Header Data'!I249="","",'Curve Header Data'!I249)</f>
        <v/>
      </c>
      <c r="N248" s="27" t="str">
        <f>IF('Curve Header Data'!J249="","",'Curve Header Data'!J249*$E$3)</f>
        <v/>
      </c>
      <c r="O248" s="27" t="str">
        <f>IF('Curve Header Data'!S249="","",'Curve Header Data'!S249*$J$2)</f>
        <v/>
      </c>
      <c r="P248" s="27" t="str">
        <f>IF('Curve Header Data'!T249="","",'Curve Header Data'!T249*$J$3)</f>
        <v/>
      </c>
      <c r="Q248" s="27" t="str">
        <f>IF('Curve Header Data'!U249="","",'Curve Header Data'!U249)</f>
        <v/>
      </c>
      <c r="R248" s="27" t="str">
        <f>IF('Curve Header Data'!V249="","",'Curve Header Data'!V249)</f>
        <v/>
      </c>
      <c r="S248" s="27" t="str">
        <f>IF('Curve Header Data'!W249="","",'Curve Header Data'!W249)</f>
        <v/>
      </c>
    </row>
    <row r="249" spans="1:19" x14ac:dyDescent="0.2">
      <c r="A249" s="38" t="str">
        <f>IF('Curve Header Data'!A250="","",'Curve Header Data'!A250)</f>
        <v/>
      </c>
      <c r="B249" s="38" t="str">
        <f>IF('Curve Header Data'!C250="","",'Curve Header Data'!C250)</f>
        <v/>
      </c>
      <c r="C249" s="38" t="str">
        <f>IF('Curve Header Data'!D250="","",'Curve Header Data'!D250)</f>
        <v/>
      </c>
      <c r="D249" s="38" t="str">
        <f>IF('Curve Header Data'!E250="","",'Curve Header Data'!E250)</f>
        <v/>
      </c>
      <c r="E249" s="38" t="str">
        <f>IF('Curve Header Data'!B250="","",'Curve Header Data'!B250)</f>
        <v/>
      </c>
      <c r="F249" s="38" t="str">
        <f>IF('Curve Header Data'!K250="","",'Curve Header Data'!K250*$E$2)</f>
        <v/>
      </c>
      <c r="G249" s="38" t="str">
        <f>IF('Curve Header Data'!L250="","",'Curve Header Data'!L250*$E$2)</f>
        <v/>
      </c>
      <c r="H249" s="38">
        <f>IF('Curve Header Data'!N250="","",'Curve Header Data'!N250)</f>
        <v>1</v>
      </c>
      <c r="I249" s="38">
        <f>IF('Curve Header Data'!O250="","",'Curve Header Data'!O250)</f>
        <v>5</v>
      </c>
      <c r="J249" s="27">
        <f>IF('Curve Header Data'!M250="","",'Curve Header Data'!M250)</f>
        <v>240</v>
      </c>
      <c r="K249" s="27" t="str">
        <f>IF('Curve Header Data'!G250="","",'Curve Header Data'!G250)</f>
        <v/>
      </c>
      <c r="L249" s="27" t="str">
        <f>IF('Curve Header Data'!H250="","",'Curve Header Data'!H250)</f>
        <v/>
      </c>
      <c r="M249" s="27" t="str">
        <f>IF('Curve Header Data'!I250="","",'Curve Header Data'!I250)</f>
        <v/>
      </c>
      <c r="N249" s="27" t="str">
        <f>IF('Curve Header Data'!J250="","",'Curve Header Data'!J250*$E$3)</f>
        <v/>
      </c>
      <c r="O249" s="27" t="str">
        <f>IF('Curve Header Data'!S250="","",'Curve Header Data'!S250*$J$2)</f>
        <v/>
      </c>
      <c r="P249" s="27" t="str">
        <f>IF('Curve Header Data'!T250="","",'Curve Header Data'!T250*$J$3)</f>
        <v/>
      </c>
      <c r="Q249" s="27" t="str">
        <f>IF('Curve Header Data'!U250="","",'Curve Header Data'!U250)</f>
        <v/>
      </c>
      <c r="R249" s="27" t="str">
        <f>IF('Curve Header Data'!V250="","",'Curve Header Data'!V250)</f>
        <v/>
      </c>
      <c r="S249" s="27" t="str">
        <f>IF('Curve Header Data'!W250="","",'Curve Header Data'!W250)</f>
        <v/>
      </c>
    </row>
    <row r="250" spans="1:19" x14ac:dyDescent="0.2">
      <c r="A250" s="38" t="str">
        <f>IF('Curve Header Data'!A251="","",'Curve Header Data'!A251)</f>
        <v/>
      </c>
      <c r="B250" s="38" t="str">
        <f>IF('Curve Header Data'!C251="","",'Curve Header Data'!C251)</f>
        <v/>
      </c>
      <c r="C250" s="38" t="str">
        <f>IF('Curve Header Data'!D251="","",'Curve Header Data'!D251)</f>
        <v/>
      </c>
      <c r="D250" s="38" t="str">
        <f>IF('Curve Header Data'!E251="","",'Curve Header Data'!E251)</f>
        <v/>
      </c>
      <c r="E250" s="38" t="str">
        <f>IF('Curve Header Data'!B251="","",'Curve Header Data'!B251)</f>
        <v/>
      </c>
      <c r="F250" s="38" t="str">
        <f>IF('Curve Header Data'!K251="","",'Curve Header Data'!K251*$E$2)</f>
        <v/>
      </c>
      <c r="G250" s="38" t="str">
        <f>IF('Curve Header Data'!L251="","",'Curve Header Data'!L251*$E$2)</f>
        <v/>
      </c>
      <c r="H250" s="38">
        <f>IF('Curve Header Data'!N251="","",'Curve Header Data'!N251)</f>
        <v>1</v>
      </c>
      <c r="I250" s="38">
        <f>IF('Curve Header Data'!O251="","",'Curve Header Data'!O251)</f>
        <v>5</v>
      </c>
      <c r="J250" s="27">
        <f>IF('Curve Header Data'!M251="","",'Curve Header Data'!M251)</f>
        <v>241</v>
      </c>
      <c r="K250" s="27" t="str">
        <f>IF('Curve Header Data'!G251="","",'Curve Header Data'!G251)</f>
        <v/>
      </c>
      <c r="L250" s="27" t="str">
        <f>IF('Curve Header Data'!H251="","",'Curve Header Data'!H251)</f>
        <v/>
      </c>
      <c r="M250" s="27" t="str">
        <f>IF('Curve Header Data'!I251="","",'Curve Header Data'!I251)</f>
        <v/>
      </c>
      <c r="N250" s="27" t="str">
        <f>IF('Curve Header Data'!J251="","",'Curve Header Data'!J251*$E$3)</f>
        <v/>
      </c>
      <c r="O250" s="27" t="str">
        <f>IF('Curve Header Data'!S251="","",'Curve Header Data'!S251*$J$2)</f>
        <v/>
      </c>
      <c r="P250" s="27" t="str">
        <f>IF('Curve Header Data'!T251="","",'Curve Header Data'!T251*$J$3)</f>
        <v/>
      </c>
      <c r="Q250" s="27" t="str">
        <f>IF('Curve Header Data'!U251="","",'Curve Header Data'!U251)</f>
        <v/>
      </c>
      <c r="R250" s="27" t="str">
        <f>IF('Curve Header Data'!V251="","",'Curve Header Data'!V251)</f>
        <v/>
      </c>
      <c r="S250" s="27" t="str">
        <f>IF('Curve Header Data'!W251="","",'Curve Header Data'!W251)</f>
        <v/>
      </c>
    </row>
    <row r="251" spans="1:19" x14ac:dyDescent="0.2">
      <c r="A251" s="38" t="str">
        <f>IF('Curve Header Data'!A252="","",'Curve Header Data'!A252)</f>
        <v/>
      </c>
      <c r="B251" s="38" t="str">
        <f>IF('Curve Header Data'!C252="","",'Curve Header Data'!C252)</f>
        <v/>
      </c>
      <c r="C251" s="38" t="str">
        <f>IF('Curve Header Data'!D252="","",'Curve Header Data'!D252)</f>
        <v/>
      </c>
      <c r="D251" s="38" t="str">
        <f>IF('Curve Header Data'!E252="","",'Curve Header Data'!E252)</f>
        <v/>
      </c>
      <c r="E251" s="38" t="str">
        <f>IF('Curve Header Data'!B252="","",'Curve Header Data'!B252)</f>
        <v/>
      </c>
      <c r="F251" s="38" t="str">
        <f>IF('Curve Header Data'!K252="","",'Curve Header Data'!K252*$E$2)</f>
        <v/>
      </c>
      <c r="G251" s="38" t="str">
        <f>IF('Curve Header Data'!L252="","",'Curve Header Data'!L252*$E$2)</f>
        <v/>
      </c>
      <c r="H251" s="38">
        <f>IF('Curve Header Data'!N252="","",'Curve Header Data'!N252)</f>
        <v>1</v>
      </c>
      <c r="I251" s="38">
        <f>IF('Curve Header Data'!O252="","",'Curve Header Data'!O252)</f>
        <v>5</v>
      </c>
      <c r="J251" s="27">
        <f>IF('Curve Header Data'!M252="","",'Curve Header Data'!M252)</f>
        <v>242</v>
      </c>
      <c r="K251" s="27" t="str">
        <f>IF('Curve Header Data'!G252="","",'Curve Header Data'!G252)</f>
        <v/>
      </c>
      <c r="L251" s="27" t="str">
        <f>IF('Curve Header Data'!H252="","",'Curve Header Data'!H252)</f>
        <v/>
      </c>
      <c r="M251" s="27" t="str">
        <f>IF('Curve Header Data'!I252="","",'Curve Header Data'!I252)</f>
        <v/>
      </c>
      <c r="N251" s="27" t="str">
        <f>IF('Curve Header Data'!J252="","",'Curve Header Data'!J252*$E$3)</f>
        <v/>
      </c>
      <c r="O251" s="27" t="str">
        <f>IF('Curve Header Data'!S252="","",'Curve Header Data'!S252*$J$2)</f>
        <v/>
      </c>
      <c r="P251" s="27" t="str">
        <f>IF('Curve Header Data'!T252="","",'Curve Header Data'!T252*$J$3)</f>
        <v/>
      </c>
      <c r="Q251" s="27" t="str">
        <f>IF('Curve Header Data'!U252="","",'Curve Header Data'!U252)</f>
        <v/>
      </c>
      <c r="R251" s="27" t="str">
        <f>IF('Curve Header Data'!V252="","",'Curve Header Data'!V252)</f>
        <v/>
      </c>
      <c r="S251" s="27" t="str">
        <f>IF('Curve Header Data'!W252="","",'Curve Header Data'!W252)</f>
        <v/>
      </c>
    </row>
    <row r="252" spans="1:19" x14ac:dyDescent="0.2">
      <c r="A252" s="38" t="str">
        <f>IF('Curve Header Data'!A253="","",'Curve Header Data'!A253)</f>
        <v/>
      </c>
      <c r="B252" s="38" t="str">
        <f>IF('Curve Header Data'!C253="","",'Curve Header Data'!C253)</f>
        <v/>
      </c>
      <c r="C252" s="38" t="str">
        <f>IF('Curve Header Data'!D253="","",'Curve Header Data'!D253)</f>
        <v/>
      </c>
      <c r="D252" s="38" t="str">
        <f>IF('Curve Header Data'!E253="","",'Curve Header Data'!E253)</f>
        <v/>
      </c>
      <c r="E252" s="38" t="str">
        <f>IF('Curve Header Data'!B253="","",'Curve Header Data'!B253)</f>
        <v/>
      </c>
      <c r="F252" s="38" t="str">
        <f>IF('Curve Header Data'!K253="","",'Curve Header Data'!K253*$E$2)</f>
        <v/>
      </c>
      <c r="G252" s="38" t="str">
        <f>IF('Curve Header Data'!L253="","",'Curve Header Data'!L253*$E$2)</f>
        <v/>
      </c>
      <c r="H252" s="38">
        <f>IF('Curve Header Data'!N253="","",'Curve Header Data'!N253)</f>
        <v>1</v>
      </c>
      <c r="I252" s="38">
        <f>IF('Curve Header Data'!O253="","",'Curve Header Data'!O253)</f>
        <v>5</v>
      </c>
      <c r="J252" s="27">
        <f>IF('Curve Header Data'!M253="","",'Curve Header Data'!M253)</f>
        <v>243</v>
      </c>
      <c r="K252" s="27" t="str">
        <f>IF('Curve Header Data'!G253="","",'Curve Header Data'!G253)</f>
        <v/>
      </c>
      <c r="L252" s="27" t="str">
        <f>IF('Curve Header Data'!H253="","",'Curve Header Data'!H253)</f>
        <v/>
      </c>
      <c r="M252" s="27" t="str">
        <f>IF('Curve Header Data'!I253="","",'Curve Header Data'!I253)</f>
        <v/>
      </c>
      <c r="N252" s="27" t="str">
        <f>IF('Curve Header Data'!J253="","",'Curve Header Data'!J253*$E$3)</f>
        <v/>
      </c>
      <c r="O252" s="27" t="str">
        <f>IF('Curve Header Data'!S253="","",'Curve Header Data'!S253*$J$2)</f>
        <v/>
      </c>
      <c r="P252" s="27" t="str">
        <f>IF('Curve Header Data'!T253="","",'Curve Header Data'!T253*$J$3)</f>
        <v/>
      </c>
      <c r="Q252" s="27" t="str">
        <f>IF('Curve Header Data'!U253="","",'Curve Header Data'!U253)</f>
        <v/>
      </c>
      <c r="R252" s="27" t="str">
        <f>IF('Curve Header Data'!V253="","",'Curve Header Data'!V253)</f>
        <v/>
      </c>
      <c r="S252" s="27" t="str">
        <f>IF('Curve Header Data'!W253="","",'Curve Header Data'!W253)</f>
        <v/>
      </c>
    </row>
    <row r="253" spans="1:19" x14ac:dyDescent="0.2">
      <c r="A253" s="38" t="str">
        <f>IF('Curve Header Data'!A254="","",'Curve Header Data'!A254)</f>
        <v/>
      </c>
      <c r="B253" s="38" t="str">
        <f>IF('Curve Header Data'!C254="","",'Curve Header Data'!C254)</f>
        <v/>
      </c>
      <c r="C253" s="38" t="str">
        <f>IF('Curve Header Data'!D254="","",'Curve Header Data'!D254)</f>
        <v/>
      </c>
      <c r="D253" s="38" t="str">
        <f>IF('Curve Header Data'!E254="","",'Curve Header Data'!E254)</f>
        <v/>
      </c>
      <c r="E253" s="38" t="str">
        <f>IF('Curve Header Data'!B254="","",'Curve Header Data'!B254)</f>
        <v/>
      </c>
      <c r="F253" s="38" t="str">
        <f>IF('Curve Header Data'!K254="","",'Curve Header Data'!K254*$E$2)</f>
        <v/>
      </c>
      <c r="G253" s="38" t="str">
        <f>IF('Curve Header Data'!L254="","",'Curve Header Data'!L254*$E$2)</f>
        <v/>
      </c>
      <c r="H253" s="38">
        <f>IF('Curve Header Data'!N254="","",'Curve Header Data'!N254)</f>
        <v>1</v>
      </c>
      <c r="I253" s="38">
        <f>IF('Curve Header Data'!O254="","",'Curve Header Data'!O254)</f>
        <v>5</v>
      </c>
      <c r="J253" s="27">
        <f>IF('Curve Header Data'!M254="","",'Curve Header Data'!M254)</f>
        <v>244</v>
      </c>
      <c r="K253" s="27" t="str">
        <f>IF('Curve Header Data'!G254="","",'Curve Header Data'!G254)</f>
        <v/>
      </c>
      <c r="L253" s="27" t="str">
        <f>IF('Curve Header Data'!H254="","",'Curve Header Data'!H254)</f>
        <v/>
      </c>
      <c r="M253" s="27" t="str">
        <f>IF('Curve Header Data'!I254="","",'Curve Header Data'!I254)</f>
        <v/>
      </c>
      <c r="N253" s="27" t="str">
        <f>IF('Curve Header Data'!J254="","",'Curve Header Data'!J254*$E$3)</f>
        <v/>
      </c>
      <c r="O253" s="27" t="str">
        <f>IF('Curve Header Data'!S254="","",'Curve Header Data'!S254*$J$2)</f>
        <v/>
      </c>
      <c r="P253" s="27" t="str">
        <f>IF('Curve Header Data'!T254="","",'Curve Header Data'!T254*$J$3)</f>
        <v/>
      </c>
      <c r="Q253" s="27" t="str">
        <f>IF('Curve Header Data'!U254="","",'Curve Header Data'!U254)</f>
        <v/>
      </c>
      <c r="R253" s="27" t="str">
        <f>IF('Curve Header Data'!V254="","",'Curve Header Data'!V254)</f>
        <v/>
      </c>
      <c r="S253" s="27" t="str">
        <f>IF('Curve Header Data'!W254="","",'Curve Header Data'!W254)</f>
        <v/>
      </c>
    </row>
    <row r="254" spans="1:19" x14ac:dyDescent="0.2">
      <c r="A254" s="38" t="str">
        <f>IF('Curve Header Data'!A255="","",'Curve Header Data'!A255)</f>
        <v/>
      </c>
      <c r="B254" s="38" t="str">
        <f>IF('Curve Header Data'!C255="","",'Curve Header Data'!C255)</f>
        <v/>
      </c>
      <c r="C254" s="38" t="str">
        <f>IF('Curve Header Data'!D255="","",'Curve Header Data'!D255)</f>
        <v/>
      </c>
      <c r="D254" s="38" t="str">
        <f>IF('Curve Header Data'!E255="","",'Curve Header Data'!E255)</f>
        <v/>
      </c>
      <c r="E254" s="38" t="str">
        <f>IF('Curve Header Data'!B255="","",'Curve Header Data'!B255)</f>
        <v/>
      </c>
      <c r="F254" s="38" t="str">
        <f>IF('Curve Header Data'!K255="","",'Curve Header Data'!K255*$E$2)</f>
        <v/>
      </c>
      <c r="G254" s="38" t="str">
        <f>IF('Curve Header Data'!L255="","",'Curve Header Data'!L255*$E$2)</f>
        <v/>
      </c>
      <c r="H254" s="38">
        <f>IF('Curve Header Data'!N255="","",'Curve Header Data'!N255)</f>
        <v>1</v>
      </c>
      <c r="I254" s="38">
        <f>IF('Curve Header Data'!O255="","",'Curve Header Data'!O255)</f>
        <v>5</v>
      </c>
      <c r="J254" s="27">
        <f>IF('Curve Header Data'!M255="","",'Curve Header Data'!M255)</f>
        <v>245</v>
      </c>
      <c r="K254" s="27" t="str">
        <f>IF('Curve Header Data'!G255="","",'Curve Header Data'!G255)</f>
        <v/>
      </c>
      <c r="L254" s="27" t="str">
        <f>IF('Curve Header Data'!H255="","",'Curve Header Data'!H255)</f>
        <v/>
      </c>
      <c r="M254" s="27" t="str">
        <f>IF('Curve Header Data'!I255="","",'Curve Header Data'!I255)</f>
        <v/>
      </c>
      <c r="N254" s="27" t="str">
        <f>IF('Curve Header Data'!J255="","",'Curve Header Data'!J255*$E$3)</f>
        <v/>
      </c>
      <c r="O254" s="27" t="str">
        <f>IF('Curve Header Data'!S255="","",'Curve Header Data'!S255*$J$2)</f>
        <v/>
      </c>
      <c r="P254" s="27" t="str">
        <f>IF('Curve Header Data'!T255="","",'Curve Header Data'!T255*$J$3)</f>
        <v/>
      </c>
      <c r="Q254" s="27" t="str">
        <f>IF('Curve Header Data'!U255="","",'Curve Header Data'!U255)</f>
        <v/>
      </c>
      <c r="R254" s="27" t="str">
        <f>IF('Curve Header Data'!V255="","",'Curve Header Data'!V255)</f>
        <v/>
      </c>
      <c r="S254" s="27" t="str">
        <f>IF('Curve Header Data'!W255="","",'Curve Header Data'!W255)</f>
        <v/>
      </c>
    </row>
    <row r="255" spans="1:19" x14ac:dyDescent="0.2">
      <c r="A255" s="38" t="str">
        <f>IF('Curve Header Data'!A256="","",'Curve Header Data'!A256)</f>
        <v/>
      </c>
      <c r="B255" s="38" t="str">
        <f>IF('Curve Header Data'!C256="","",'Curve Header Data'!C256)</f>
        <v/>
      </c>
      <c r="C255" s="38" t="str">
        <f>IF('Curve Header Data'!D256="","",'Curve Header Data'!D256)</f>
        <v/>
      </c>
      <c r="D255" s="38" t="str">
        <f>IF('Curve Header Data'!E256="","",'Curve Header Data'!E256)</f>
        <v/>
      </c>
      <c r="E255" s="38" t="str">
        <f>IF('Curve Header Data'!B256="","",'Curve Header Data'!B256)</f>
        <v/>
      </c>
      <c r="F255" s="38" t="str">
        <f>IF('Curve Header Data'!K256="","",'Curve Header Data'!K256*$E$2)</f>
        <v/>
      </c>
      <c r="G255" s="38" t="str">
        <f>IF('Curve Header Data'!L256="","",'Curve Header Data'!L256*$E$2)</f>
        <v/>
      </c>
      <c r="H255" s="38">
        <f>IF('Curve Header Data'!N256="","",'Curve Header Data'!N256)</f>
        <v>1</v>
      </c>
      <c r="I255" s="38">
        <f>IF('Curve Header Data'!O256="","",'Curve Header Data'!O256)</f>
        <v>5</v>
      </c>
      <c r="J255" s="27">
        <f>IF('Curve Header Data'!M256="","",'Curve Header Data'!M256)</f>
        <v>246</v>
      </c>
      <c r="K255" s="27" t="str">
        <f>IF('Curve Header Data'!G256="","",'Curve Header Data'!G256)</f>
        <v/>
      </c>
      <c r="L255" s="27" t="str">
        <f>IF('Curve Header Data'!H256="","",'Curve Header Data'!H256)</f>
        <v/>
      </c>
      <c r="M255" s="27" t="str">
        <f>IF('Curve Header Data'!I256="","",'Curve Header Data'!I256)</f>
        <v/>
      </c>
      <c r="N255" s="27" t="str">
        <f>IF('Curve Header Data'!J256="","",'Curve Header Data'!J256*$E$3)</f>
        <v/>
      </c>
      <c r="O255" s="27" t="str">
        <f>IF('Curve Header Data'!S256="","",'Curve Header Data'!S256*$J$2)</f>
        <v/>
      </c>
      <c r="P255" s="27" t="str">
        <f>IF('Curve Header Data'!T256="","",'Curve Header Data'!T256*$J$3)</f>
        <v/>
      </c>
      <c r="Q255" s="27" t="str">
        <f>IF('Curve Header Data'!U256="","",'Curve Header Data'!U256)</f>
        <v/>
      </c>
      <c r="R255" s="27" t="str">
        <f>IF('Curve Header Data'!V256="","",'Curve Header Data'!V256)</f>
        <v/>
      </c>
      <c r="S255" s="27" t="str">
        <f>IF('Curve Header Data'!W256="","",'Curve Header Data'!W256)</f>
        <v/>
      </c>
    </row>
    <row r="256" spans="1:19" x14ac:dyDescent="0.2">
      <c r="A256" s="38" t="str">
        <f>IF('Curve Header Data'!A257="","",'Curve Header Data'!A257)</f>
        <v/>
      </c>
      <c r="B256" s="38" t="str">
        <f>IF('Curve Header Data'!C257="","",'Curve Header Data'!C257)</f>
        <v/>
      </c>
      <c r="C256" s="38" t="str">
        <f>IF('Curve Header Data'!D257="","",'Curve Header Data'!D257)</f>
        <v/>
      </c>
      <c r="D256" s="38" t="str">
        <f>IF('Curve Header Data'!E257="","",'Curve Header Data'!E257)</f>
        <v/>
      </c>
      <c r="E256" s="38" t="str">
        <f>IF('Curve Header Data'!B257="","",'Curve Header Data'!B257)</f>
        <v/>
      </c>
      <c r="F256" s="38" t="str">
        <f>IF('Curve Header Data'!K257="","",'Curve Header Data'!K257*$E$2)</f>
        <v/>
      </c>
      <c r="G256" s="38" t="str">
        <f>IF('Curve Header Data'!L257="","",'Curve Header Data'!L257*$E$2)</f>
        <v/>
      </c>
      <c r="H256" s="38">
        <f>IF('Curve Header Data'!N257="","",'Curve Header Data'!N257)</f>
        <v>1</v>
      </c>
      <c r="I256" s="38">
        <f>IF('Curve Header Data'!O257="","",'Curve Header Data'!O257)</f>
        <v>5</v>
      </c>
      <c r="J256" s="27">
        <f>IF('Curve Header Data'!M257="","",'Curve Header Data'!M257)</f>
        <v>247</v>
      </c>
      <c r="K256" s="27" t="str">
        <f>IF('Curve Header Data'!G257="","",'Curve Header Data'!G257)</f>
        <v/>
      </c>
      <c r="L256" s="27" t="str">
        <f>IF('Curve Header Data'!H257="","",'Curve Header Data'!H257)</f>
        <v/>
      </c>
      <c r="M256" s="27" t="str">
        <f>IF('Curve Header Data'!I257="","",'Curve Header Data'!I257)</f>
        <v/>
      </c>
      <c r="N256" s="27" t="str">
        <f>IF('Curve Header Data'!J257="","",'Curve Header Data'!J257*$E$3)</f>
        <v/>
      </c>
      <c r="O256" s="27" t="str">
        <f>IF('Curve Header Data'!S257="","",'Curve Header Data'!S257*$J$2)</f>
        <v/>
      </c>
      <c r="P256" s="27" t="str">
        <f>IF('Curve Header Data'!T257="","",'Curve Header Data'!T257*$J$3)</f>
        <v/>
      </c>
      <c r="Q256" s="27" t="str">
        <f>IF('Curve Header Data'!U257="","",'Curve Header Data'!U257)</f>
        <v/>
      </c>
      <c r="R256" s="27" t="str">
        <f>IF('Curve Header Data'!V257="","",'Curve Header Data'!V257)</f>
        <v/>
      </c>
      <c r="S256" s="27" t="str">
        <f>IF('Curve Header Data'!W257="","",'Curve Header Data'!W257)</f>
        <v/>
      </c>
    </row>
    <row r="257" spans="1:19" x14ac:dyDescent="0.2">
      <c r="A257" s="38" t="str">
        <f>IF('Curve Header Data'!A258="","",'Curve Header Data'!A258)</f>
        <v/>
      </c>
      <c r="B257" s="38" t="str">
        <f>IF('Curve Header Data'!C258="","",'Curve Header Data'!C258)</f>
        <v/>
      </c>
      <c r="C257" s="38" t="str">
        <f>IF('Curve Header Data'!D258="","",'Curve Header Data'!D258)</f>
        <v/>
      </c>
      <c r="D257" s="38" t="str">
        <f>IF('Curve Header Data'!E258="","",'Curve Header Data'!E258)</f>
        <v/>
      </c>
      <c r="E257" s="38" t="str">
        <f>IF('Curve Header Data'!B258="","",'Curve Header Data'!B258)</f>
        <v/>
      </c>
      <c r="F257" s="38" t="str">
        <f>IF('Curve Header Data'!K258="","",'Curve Header Data'!K258*$E$2)</f>
        <v/>
      </c>
      <c r="G257" s="38" t="str">
        <f>IF('Curve Header Data'!L258="","",'Curve Header Data'!L258*$E$2)</f>
        <v/>
      </c>
      <c r="H257" s="38">
        <f>IF('Curve Header Data'!N258="","",'Curve Header Data'!N258)</f>
        <v>1</v>
      </c>
      <c r="I257" s="38">
        <f>IF('Curve Header Data'!O258="","",'Curve Header Data'!O258)</f>
        <v>5</v>
      </c>
      <c r="J257" s="27">
        <f>IF('Curve Header Data'!M258="","",'Curve Header Data'!M258)</f>
        <v>248</v>
      </c>
      <c r="K257" s="27" t="str">
        <f>IF('Curve Header Data'!G258="","",'Curve Header Data'!G258)</f>
        <v/>
      </c>
      <c r="L257" s="27" t="str">
        <f>IF('Curve Header Data'!H258="","",'Curve Header Data'!H258)</f>
        <v/>
      </c>
      <c r="M257" s="27" t="str">
        <f>IF('Curve Header Data'!I258="","",'Curve Header Data'!I258)</f>
        <v/>
      </c>
      <c r="N257" s="27" t="str">
        <f>IF('Curve Header Data'!J258="","",'Curve Header Data'!J258*$E$3)</f>
        <v/>
      </c>
      <c r="O257" s="27" t="str">
        <f>IF('Curve Header Data'!S258="","",'Curve Header Data'!S258*$J$2)</f>
        <v/>
      </c>
      <c r="P257" s="27" t="str">
        <f>IF('Curve Header Data'!T258="","",'Curve Header Data'!T258*$J$3)</f>
        <v/>
      </c>
      <c r="Q257" s="27" t="str">
        <f>IF('Curve Header Data'!U258="","",'Curve Header Data'!U258)</f>
        <v/>
      </c>
      <c r="R257" s="27" t="str">
        <f>IF('Curve Header Data'!V258="","",'Curve Header Data'!V258)</f>
        <v/>
      </c>
      <c r="S257" s="27" t="str">
        <f>IF('Curve Header Data'!W258="","",'Curve Header Data'!W258)</f>
        <v/>
      </c>
    </row>
    <row r="258" spans="1:19" x14ac:dyDescent="0.2">
      <c r="A258" s="38" t="str">
        <f>IF('Curve Header Data'!A259="","",'Curve Header Data'!A259)</f>
        <v/>
      </c>
      <c r="B258" s="38" t="str">
        <f>IF('Curve Header Data'!C259="","",'Curve Header Data'!C259)</f>
        <v/>
      </c>
      <c r="C258" s="38" t="str">
        <f>IF('Curve Header Data'!D259="","",'Curve Header Data'!D259)</f>
        <v/>
      </c>
      <c r="D258" s="38" t="str">
        <f>IF('Curve Header Data'!E259="","",'Curve Header Data'!E259)</f>
        <v/>
      </c>
      <c r="E258" s="38" t="str">
        <f>IF('Curve Header Data'!B259="","",'Curve Header Data'!B259)</f>
        <v/>
      </c>
      <c r="F258" s="38" t="str">
        <f>IF('Curve Header Data'!K259="","",'Curve Header Data'!K259*$E$2)</f>
        <v/>
      </c>
      <c r="G258" s="38" t="str">
        <f>IF('Curve Header Data'!L259="","",'Curve Header Data'!L259*$E$2)</f>
        <v/>
      </c>
      <c r="H258" s="38">
        <f>IF('Curve Header Data'!N259="","",'Curve Header Data'!N259)</f>
        <v>1</v>
      </c>
      <c r="I258" s="38">
        <f>IF('Curve Header Data'!O259="","",'Curve Header Data'!O259)</f>
        <v>5</v>
      </c>
      <c r="J258" s="27">
        <f>IF('Curve Header Data'!M259="","",'Curve Header Data'!M259)</f>
        <v>249</v>
      </c>
      <c r="K258" s="27" t="str">
        <f>IF('Curve Header Data'!G259="","",'Curve Header Data'!G259)</f>
        <v/>
      </c>
      <c r="L258" s="27" t="str">
        <f>IF('Curve Header Data'!H259="","",'Curve Header Data'!H259)</f>
        <v/>
      </c>
      <c r="M258" s="27" t="str">
        <f>IF('Curve Header Data'!I259="","",'Curve Header Data'!I259)</f>
        <v/>
      </c>
      <c r="N258" s="27" t="str">
        <f>IF('Curve Header Data'!J259="","",'Curve Header Data'!J259*$E$3)</f>
        <v/>
      </c>
      <c r="O258" s="27" t="str">
        <f>IF('Curve Header Data'!S259="","",'Curve Header Data'!S259*$J$2)</f>
        <v/>
      </c>
      <c r="P258" s="27" t="str">
        <f>IF('Curve Header Data'!T259="","",'Curve Header Data'!T259*$J$3)</f>
        <v/>
      </c>
      <c r="Q258" s="27" t="str">
        <f>IF('Curve Header Data'!U259="","",'Curve Header Data'!U259)</f>
        <v/>
      </c>
      <c r="R258" s="27" t="str">
        <f>IF('Curve Header Data'!V259="","",'Curve Header Data'!V259)</f>
        <v/>
      </c>
      <c r="S258" s="27" t="str">
        <f>IF('Curve Header Data'!W259="","",'Curve Header Data'!W259)</f>
        <v/>
      </c>
    </row>
    <row r="259" spans="1:19" x14ac:dyDescent="0.2">
      <c r="A259" s="38" t="str">
        <f>IF('Curve Header Data'!A260="","",'Curve Header Data'!A260)</f>
        <v/>
      </c>
      <c r="B259" s="38" t="str">
        <f>IF('Curve Header Data'!C260="","",'Curve Header Data'!C260)</f>
        <v/>
      </c>
      <c r="C259" s="38" t="str">
        <f>IF('Curve Header Data'!D260="","",'Curve Header Data'!D260)</f>
        <v/>
      </c>
      <c r="D259" s="38" t="str">
        <f>IF('Curve Header Data'!E260="","",'Curve Header Data'!E260)</f>
        <v/>
      </c>
      <c r="E259" s="38" t="str">
        <f>IF('Curve Header Data'!B260="","",'Curve Header Data'!B260)</f>
        <v/>
      </c>
      <c r="F259" s="38" t="str">
        <f>IF('Curve Header Data'!K260="","",'Curve Header Data'!K260*$E$2)</f>
        <v/>
      </c>
      <c r="G259" s="38" t="str">
        <f>IF('Curve Header Data'!L260="","",'Curve Header Data'!L260*$E$2)</f>
        <v/>
      </c>
      <c r="H259" s="38">
        <f>IF('Curve Header Data'!N260="","",'Curve Header Data'!N260)</f>
        <v>1</v>
      </c>
      <c r="I259" s="38">
        <f>IF('Curve Header Data'!O260="","",'Curve Header Data'!O260)</f>
        <v>5</v>
      </c>
      <c r="J259" s="27">
        <f>IF('Curve Header Data'!M260="","",'Curve Header Data'!M260)</f>
        <v>250</v>
      </c>
      <c r="K259" s="27" t="str">
        <f>IF('Curve Header Data'!G260="","",'Curve Header Data'!G260)</f>
        <v/>
      </c>
      <c r="L259" s="27" t="str">
        <f>IF('Curve Header Data'!H260="","",'Curve Header Data'!H260)</f>
        <v/>
      </c>
      <c r="M259" s="27" t="str">
        <f>IF('Curve Header Data'!I260="","",'Curve Header Data'!I260)</f>
        <v/>
      </c>
      <c r="N259" s="27" t="str">
        <f>IF('Curve Header Data'!J260="","",'Curve Header Data'!J260*$E$3)</f>
        <v/>
      </c>
      <c r="O259" s="27" t="str">
        <f>IF('Curve Header Data'!S260="","",'Curve Header Data'!S260*$J$2)</f>
        <v/>
      </c>
      <c r="P259" s="27" t="str">
        <f>IF('Curve Header Data'!T260="","",'Curve Header Data'!T260*$J$3)</f>
        <v/>
      </c>
      <c r="Q259" s="27" t="str">
        <f>IF('Curve Header Data'!U260="","",'Curve Header Data'!U260)</f>
        <v/>
      </c>
      <c r="R259" s="27" t="str">
        <f>IF('Curve Header Data'!V260="","",'Curve Header Data'!V260)</f>
        <v/>
      </c>
      <c r="S259" s="27" t="str">
        <f>IF('Curve Header Data'!W260="","",'Curve Header Data'!W260)</f>
        <v/>
      </c>
    </row>
    <row r="260" spans="1:19" x14ac:dyDescent="0.2">
      <c r="A260" s="38" t="str">
        <f>IF('Curve Header Data'!A261="","",'Curve Header Data'!A261)</f>
        <v/>
      </c>
      <c r="B260" s="38" t="str">
        <f>IF('Curve Header Data'!C261="","",'Curve Header Data'!C261)</f>
        <v/>
      </c>
      <c r="C260" s="38" t="str">
        <f>IF('Curve Header Data'!D261="","",'Curve Header Data'!D261)</f>
        <v/>
      </c>
      <c r="D260" s="38" t="str">
        <f>IF('Curve Header Data'!E261="","",'Curve Header Data'!E261)</f>
        <v/>
      </c>
      <c r="E260" s="38" t="str">
        <f>IF('Curve Header Data'!B261="","",'Curve Header Data'!B261)</f>
        <v/>
      </c>
      <c r="F260" s="38" t="str">
        <f>IF('Curve Header Data'!K261="","",'Curve Header Data'!K261*$E$2)</f>
        <v/>
      </c>
      <c r="G260" s="38" t="str">
        <f>IF('Curve Header Data'!L261="","",'Curve Header Data'!L261*$E$2)</f>
        <v/>
      </c>
      <c r="H260" s="38">
        <f>IF('Curve Header Data'!N261="","",'Curve Header Data'!N261)</f>
        <v>1</v>
      </c>
      <c r="I260" s="38">
        <f>IF('Curve Header Data'!O261="","",'Curve Header Data'!O261)</f>
        <v>5</v>
      </c>
      <c r="J260" s="27">
        <f>IF('Curve Header Data'!M261="","",'Curve Header Data'!M261)</f>
        <v>251</v>
      </c>
      <c r="K260" s="27" t="str">
        <f>IF('Curve Header Data'!G261="","",'Curve Header Data'!G261)</f>
        <v/>
      </c>
      <c r="L260" s="27" t="str">
        <f>IF('Curve Header Data'!H261="","",'Curve Header Data'!H261)</f>
        <v/>
      </c>
      <c r="M260" s="27" t="str">
        <f>IF('Curve Header Data'!I261="","",'Curve Header Data'!I261)</f>
        <v/>
      </c>
      <c r="N260" s="27" t="str">
        <f>IF('Curve Header Data'!J261="","",'Curve Header Data'!J261*$E$3)</f>
        <v/>
      </c>
      <c r="O260" s="27" t="str">
        <f>IF('Curve Header Data'!S261="","",'Curve Header Data'!S261*$J$2)</f>
        <v/>
      </c>
      <c r="P260" s="27" t="str">
        <f>IF('Curve Header Data'!T261="","",'Curve Header Data'!T261*$J$3)</f>
        <v/>
      </c>
      <c r="Q260" s="27" t="str">
        <f>IF('Curve Header Data'!U261="","",'Curve Header Data'!U261)</f>
        <v/>
      </c>
      <c r="R260" s="27" t="str">
        <f>IF('Curve Header Data'!V261="","",'Curve Header Data'!V261)</f>
        <v/>
      </c>
      <c r="S260" s="27" t="str">
        <f>IF('Curve Header Data'!W261="","",'Curve Header Data'!W261)</f>
        <v/>
      </c>
    </row>
    <row r="261" spans="1:19" x14ac:dyDescent="0.2">
      <c r="A261" s="38" t="str">
        <f>IF('Curve Header Data'!A262="","",'Curve Header Data'!A262)</f>
        <v/>
      </c>
      <c r="B261" s="38" t="str">
        <f>IF('Curve Header Data'!C262="","",'Curve Header Data'!C262)</f>
        <v/>
      </c>
      <c r="C261" s="38" t="str">
        <f>IF('Curve Header Data'!D262="","",'Curve Header Data'!D262)</f>
        <v/>
      </c>
      <c r="D261" s="38" t="str">
        <f>IF('Curve Header Data'!E262="","",'Curve Header Data'!E262)</f>
        <v/>
      </c>
      <c r="E261" s="38" t="str">
        <f>IF('Curve Header Data'!B262="","",'Curve Header Data'!B262)</f>
        <v/>
      </c>
      <c r="F261" s="38" t="str">
        <f>IF('Curve Header Data'!K262="","",'Curve Header Data'!K262*$E$2)</f>
        <v/>
      </c>
      <c r="G261" s="38" t="str">
        <f>IF('Curve Header Data'!L262="","",'Curve Header Data'!L262*$E$2)</f>
        <v/>
      </c>
      <c r="H261" s="38">
        <f>IF('Curve Header Data'!N262="","",'Curve Header Data'!N262)</f>
        <v>1</v>
      </c>
      <c r="I261" s="38">
        <f>IF('Curve Header Data'!O262="","",'Curve Header Data'!O262)</f>
        <v>5</v>
      </c>
      <c r="J261" s="27">
        <f>IF('Curve Header Data'!M262="","",'Curve Header Data'!M262)</f>
        <v>252</v>
      </c>
      <c r="K261" s="27" t="str">
        <f>IF('Curve Header Data'!G262="","",'Curve Header Data'!G262)</f>
        <v/>
      </c>
      <c r="L261" s="27" t="str">
        <f>IF('Curve Header Data'!H262="","",'Curve Header Data'!H262)</f>
        <v/>
      </c>
      <c r="M261" s="27" t="str">
        <f>IF('Curve Header Data'!I262="","",'Curve Header Data'!I262)</f>
        <v/>
      </c>
      <c r="N261" s="27" t="str">
        <f>IF('Curve Header Data'!J262="","",'Curve Header Data'!J262*$E$3)</f>
        <v/>
      </c>
      <c r="O261" s="27" t="str">
        <f>IF('Curve Header Data'!S262="","",'Curve Header Data'!S262*$J$2)</f>
        <v/>
      </c>
      <c r="P261" s="27" t="str">
        <f>IF('Curve Header Data'!T262="","",'Curve Header Data'!T262*$J$3)</f>
        <v/>
      </c>
      <c r="Q261" s="27" t="str">
        <f>IF('Curve Header Data'!U262="","",'Curve Header Data'!U262)</f>
        <v/>
      </c>
      <c r="R261" s="27" t="str">
        <f>IF('Curve Header Data'!V262="","",'Curve Header Data'!V262)</f>
        <v/>
      </c>
      <c r="S261" s="27" t="str">
        <f>IF('Curve Header Data'!W262="","",'Curve Header Data'!W262)</f>
        <v/>
      </c>
    </row>
    <row r="262" spans="1:19" x14ac:dyDescent="0.2">
      <c r="A262" s="38" t="str">
        <f>IF('Curve Header Data'!A263="","",'Curve Header Data'!A263)</f>
        <v/>
      </c>
      <c r="B262" s="38" t="str">
        <f>IF('Curve Header Data'!C263="","",'Curve Header Data'!C263)</f>
        <v/>
      </c>
      <c r="C262" s="38" t="str">
        <f>IF('Curve Header Data'!D263="","",'Curve Header Data'!D263)</f>
        <v/>
      </c>
      <c r="D262" s="38" t="str">
        <f>IF('Curve Header Data'!E263="","",'Curve Header Data'!E263)</f>
        <v/>
      </c>
      <c r="E262" s="38" t="str">
        <f>IF('Curve Header Data'!B263="","",'Curve Header Data'!B263)</f>
        <v/>
      </c>
      <c r="F262" s="38" t="str">
        <f>IF('Curve Header Data'!K263="","",'Curve Header Data'!K263*$E$2)</f>
        <v/>
      </c>
      <c r="G262" s="38" t="str">
        <f>IF('Curve Header Data'!L263="","",'Curve Header Data'!L263*$E$2)</f>
        <v/>
      </c>
      <c r="H262" s="38">
        <f>IF('Curve Header Data'!N263="","",'Curve Header Data'!N263)</f>
        <v>1</v>
      </c>
      <c r="I262" s="38">
        <f>IF('Curve Header Data'!O263="","",'Curve Header Data'!O263)</f>
        <v>5</v>
      </c>
      <c r="J262" s="27">
        <f>IF('Curve Header Data'!M263="","",'Curve Header Data'!M263)</f>
        <v>253</v>
      </c>
      <c r="K262" s="27" t="str">
        <f>IF('Curve Header Data'!G263="","",'Curve Header Data'!G263)</f>
        <v/>
      </c>
      <c r="L262" s="27" t="str">
        <f>IF('Curve Header Data'!H263="","",'Curve Header Data'!H263)</f>
        <v/>
      </c>
      <c r="M262" s="27" t="str">
        <f>IF('Curve Header Data'!I263="","",'Curve Header Data'!I263)</f>
        <v/>
      </c>
      <c r="N262" s="27" t="str">
        <f>IF('Curve Header Data'!J263="","",'Curve Header Data'!J263*$E$3)</f>
        <v/>
      </c>
      <c r="O262" s="27" t="str">
        <f>IF('Curve Header Data'!S263="","",'Curve Header Data'!S263*$J$2)</f>
        <v/>
      </c>
      <c r="P262" s="27" t="str">
        <f>IF('Curve Header Data'!T263="","",'Curve Header Data'!T263*$J$3)</f>
        <v/>
      </c>
      <c r="Q262" s="27" t="str">
        <f>IF('Curve Header Data'!U263="","",'Curve Header Data'!U263)</f>
        <v/>
      </c>
      <c r="R262" s="27" t="str">
        <f>IF('Curve Header Data'!V263="","",'Curve Header Data'!V263)</f>
        <v/>
      </c>
      <c r="S262" s="27" t="str">
        <f>IF('Curve Header Data'!W263="","",'Curve Header Data'!W263)</f>
        <v/>
      </c>
    </row>
    <row r="263" spans="1:19" x14ac:dyDescent="0.2">
      <c r="A263" s="38" t="str">
        <f>IF('Curve Header Data'!A264="","",'Curve Header Data'!A264)</f>
        <v/>
      </c>
      <c r="B263" s="38" t="str">
        <f>IF('Curve Header Data'!C264="","",'Curve Header Data'!C264)</f>
        <v/>
      </c>
      <c r="C263" s="38" t="str">
        <f>IF('Curve Header Data'!D264="","",'Curve Header Data'!D264)</f>
        <v/>
      </c>
      <c r="D263" s="38" t="str">
        <f>IF('Curve Header Data'!E264="","",'Curve Header Data'!E264)</f>
        <v/>
      </c>
      <c r="E263" s="38" t="str">
        <f>IF('Curve Header Data'!B264="","",'Curve Header Data'!B264)</f>
        <v/>
      </c>
      <c r="F263" s="38" t="str">
        <f>IF('Curve Header Data'!K264="","",'Curve Header Data'!K264*$E$2)</f>
        <v/>
      </c>
      <c r="G263" s="38" t="str">
        <f>IF('Curve Header Data'!L264="","",'Curve Header Data'!L264*$E$2)</f>
        <v/>
      </c>
      <c r="H263" s="38">
        <f>IF('Curve Header Data'!N264="","",'Curve Header Data'!N264)</f>
        <v>1</v>
      </c>
      <c r="I263" s="38">
        <f>IF('Curve Header Data'!O264="","",'Curve Header Data'!O264)</f>
        <v>5</v>
      </c>
      <c r="J263" s="27">
        <f>IF('Curve Header Data'!M264="","",'Curve Header Data'!M264)</f>
        <v>254</v>
      </c>
      <c r="K263" s="27" t="str">
        <f>IF('Curve Header Data'!G264="","",'Curve Header Data'!G264)</f>
        <v/>
      </c>
      <c r="L263" s="27" t="str">
        <f>IF('Curve Header Data'!H264="","",'Curve Header Data'!H264)</f>
        <v/>
      </c>
      <c r="M263" s="27" t="str">
        <f>IF('Curve Header Data'!I264="","",'Curve Header Data'!I264)</f>
        <v/>
      </c>
      <c r="N263" s="27" t="str">
        <f>IF('Curve Header Data'!J264="","",'Curve Header Data'!J264*$E$3)</f>
        <v/>
      </c>
      <c r="O263" s="27" t="str">
        <f>IF('Curve Header Data'!S264="","",'Curve Header Data'!S264*$J$2)</f>
        <v/>
      </c>
      <c r="P263" s="27" t="str">
        <f>IF('Curve Header Data'!T264="","",'Curve Header Data'!T264*$J$3)</f>
        <v/>
      </c>
      <c r="Q263" s="27" t="str">
        <f>IF('Curve Header Data'!U264="","",'Curve Header Data'!U264)</f>
        <v/>
      </c>
      <c r="R263" s="27" t="str">
        <f>IF('Curve Header Data'!V264="","",'Curve Header Data'!V264)</f>
        <v/>
      </c>
      <c r="S263" s="27" t="str">
        <f>IF('Curve Header Data'!W264="","",'Curve Header Data'!W264)</f>
        <v/>
      </c>
    </row>
    <row r="264" spans="1:19" x14ac:dyDescent="0.2">
      <c r="A264" s="38" t="str">
        <f>IF('Curve Header Data'!A265="","",'Curve Header Data'!A265)</f>
        <v/>
      </c>
      <c r="B264" s="38" t="str">
        <f>IF('Curve Header Data'!C265="","",'Curve Header Data'!C265)</f>
        <v/>
      </c>
      <c r="C264" s="38" t="str">
        <f>IF('Curve Header Data'!D265="","",'Curve Header Data'!D265)</f>
        <v/>
      </c>
      <c r="D264" s="38" t="str">
        <f>IF('Curve Header Data'!E265="","",'Curve Header Data'!E265)</f>
        <v/>
      </c>
      <c r="E264" s="38" t="str">
        <f>IF('Curve Header Data'!B265="","",'Curve Header Data'!B265)</f>
        <v/>
      </c>
      <c r="F264" s="38" t="str">
        <f>IF('Curve Header Data'!K265="","",'Curve Header Data'!K265*$E$2)</f>
        <v/>
      </c>
      <c r="G264" s="38" t="str">
        <f>IF('Curve Header Data'!L265="","",'Curve Header Data'!L265*$E$2)</f>
        <v/>
      </c>
      <c r="H264" s="38">
        <f>IF('Curve Header Data'!N265="","",'Curve Header Data'!N265)</f>
        <v>1</v>
      </c>
      <c r="I264" s="38">
        <f>IF('Curve Header Data'!O265="","",'Curve Header Data'!O265)</f>
        <v>5</v>
      </c>
      <c r="J264" s="27">
        <f>IF('Curve Header Data'!M265="","",'Curve Header Data'!M265)</f>
        <v>255</v>
      </c>
      <c r="K264" s="27" t="str">
        <f>IF('Curve Header Data'!G265="","",'Curve Header Data'!G265)</f>
        <v/>
      </c>
      <c r="L264" s="27" t="str">
        <f>IF('Curve Header Data'!H265="","",'Curve Header Data'!H265)</f>
        <v/>
      </c>
      <c r="M264" s="27" t="str">
        <f>IF('Curve Header Data'!I265="","",'Curve Header Data'!I265)</f>
        <v/>
      </c>
      <c r="N264" s="27" t="str">
        <f>IF('Curve Header Data'!J265="","",'Curve Header Data'!J265*$E$3)</f>
        <v/>
      </c>
      <c r="O264" s="27" t="str">
        <f>IF('Curve Header Data'!S265="","",'Curve Header Data'!S265*$J$2)</f>
        <v/>
      </c>
      <c r="P264" s="27" t="str">
        <f>IF('Curve Header Data'!T265="","",'Curve Header Data'!T265*$J$3)</f>
        <v/>
      </c>
      <c r="Q264" s="27" t="str">
        <f>IF('Curve Header Data'!U265="","",'Curve Header Data'!U265)</f>
        <v/>
      </c>
      <c r="R264" s="27" t="str">
        <f>IF('Curve Header Data'!V265="","",'Curve Header Data'!V265)</f>
        <v/>
      </c>
      <c r="S264" s="27" t="str">
        <f>IF('Curve Header Data'!W265="","",'Curve Header Data'!W265)</f>
        <v/>
      </c>
    </row>
    <row r="265" spans="1:19" x14ac:dyDescent="0.2">
      <c r="A265" s="38" t="str">
        <f>IF('Curve Header Data'!A266="","",'Curve Header Data'!A266)</f>
        <v/>
      </c>
      <c r="B265" s="38" t="str">
        <f>IF('Curve Header Data'!C266="","",'Curve Header Data'!C266)</f>
        <v/>
      </c>
      <c r="C265" s="38" t="str">
        <f>IF('Curve Header Data'!D266="","",'Curve Header Data'!D266)</f>
        <v/>
      </c>
      <c r="D265" s="38" t="str">
        <f>IF('Curve Header Data'!E266="","",'Curve Header Data'!E266)</f>
        <v/>
      </c>
      <c r="E265" s="38" t="str">
        <f>IF('Curve Header Data'!B266="","",'Curve Header Data'!B266)</f>
        <v/>
      </c>
      <c r="F265" s="38" t="str">
        <f>IF('Curve Header Data'!K266="","",'Curve Header Data'!K266*$E$2)</f>
        <v/>
      </c>
      <c r="G265" s="38" t="str">
        <f>IF('Curve Header Data'!L266="","",'Curve Header Data'!L266*$E$2)</f>
        <v/>
      </c>
      <c r="H265" s="38">
        <f>IF('Curve Header Data'!N266="","",'Curve Header Data'!N266)</f>
        <v>1</v>
      </c>
      <c r="I265" s="38">
        <f>IF('Curve Header Data'!O266="","",'Curve Header Data'!O266)</f>
        <v>5</v>
      </c>
      <c r="J265" s="27">
        <f>IF('Curve Header Data'!M266="","",'Curve Header Data'!M266)</f>
        <v>256</v>
      </c>
      <c r="K265" s="27" t="str">
        <f>IF('Curve Header Data'!G266="","",'Curve Header Data'!G266)</f>
        <v/>
      </c>
      <c r="L265" s="27" t="str">
        <f>IF('Curve Header Data'!H266="","",'Curve Header Data'!H266)</f>
        <v/>
      </c>
      <c r="M265" s="27" t="str">
        <f>IF('Curve Header Data'!I266="","",'Curve Header Data'!I266)</f>
        <v/>
      </c>
      <c r="N265" s="27" t="str">
        <f>IF('Curve Header Data'!J266="","",'Curve Header Data'!J266*$E$3)</f>
        <v/>
      </c>
      <c r="O265" s="27" t="str">
        <f>IF('Curve Header Data'!S266="","",'Curve Header Data'!S266*$J$2)</f>
        <v/>
      </c>
      <c r="P265" s="27" t="str">
        <f>IF('Curve Header Data'!T266="","",'Curve Header Data'!T266*$J$3)</f>
        <v/>
      </c>
      <c r="Q265" s="27" t="str">
        <f>IF('Curve Header Data'!U266="","",'Curve Header Data'!U266)</f>
        <v/>
      </c>
      <c r="R265" s="27" t="str">
        <f>IF('Curve Header Data'!V266="","",'Curve Header Data'!V266)</f>
        <v/>
      </c>
      <c r="S265" s="27" t="str">
        <f>IF('Curve Header Data'!W266="","",'Curve Header Data'!W266)</f>
        <v/>
      </c>
    </row>
    <row r="266" spans="1:19" x14ac:dyDescent="0.2">
      <c r="A266" s="38" t="str">
        <f>IF('Curve Header Data'!A267="","",'Curve Header Data'!A267)</f>
        <v/>
      </c>
      <c r="B266" s="38" t="str">
        <f>IF('Curve Header Data'!C267="","",'Curve Header Data'!C267)</f>
        <v/>
      </c>
      <c r="C266" s="38" t="str">
        <f>IF('Curve Header Data'!D267="","",'Curve Header Data'!D267)</f>
        <v/>
      </c>
      <c r="D266" s="38" t="str">
        <f>IF('Curve Header Data'!E267="","",'Curve Header Data'!E267)</f>
        <v/>
      </c>
      <c r="E266" s="38" t="str">
        <f>IF('Curve Header Data'!B267="","",'Curve Header Data'!B267)</f>
        <v/>
      </c>
      <c r="F266" s="38" t="str">
        <f>IF('Curve Header Data'!K267="","",'Curve Header Data'!K267*$E$2)</f>
        <v/>
      </c>
      <c r="G266" s="38" t="str">
        <f>IF('Curve Header Data'!L267="","",'Curve Header Data'!L267*$E$2)</f>
        <v/>
      </c>
      <c r="H266" s="38">
        <f>IF('Curve Header Data'!N267="","",'Curve Header Data'!N267)</f>
        <v>1</v>
      </c>
      <c r="I266" s="38">
        <f>IF('Curve Header Data'!O267="","",'Curve Header Data'!O267)</f>
        <v>5</v>
      </c>
      <c r="J266" s="27">
        <f>IF('Curve Header Data'!M267="","",'Curve Header Data'!M267)</f>
        <v>257</v>
      </c>
      <c r="K266" s="27" t="str">
        <f>IF('Curve Header Data'!G267="","",'Curve Header Data'!G267)</f>
        <v/>
      </c>
      <c r="L266" s="27" t="str">
        <f>IF('Curve Header Data'!H267="","",'Curve Header Data'!H267)</f>
        <v/>
      </c>
      <c r="M266" s="27" t="str">
        <f>IF('Curve Header Data'!I267="","",'Curve Header Data'!I267)</f>
        <v/>
      </c>
      <c r="N266" s="27" t="str">
        <f>IF('Curve Header Data'!J267="","",'Curve Header Data'!J267*$E$3)</f>
        <v/>
      </c>
      <c r="O266" s="27" t="str">
        <f>IF('Curve Header Data'!S267="","",'Curve Header Data'!S267*$J$2)</f>
        <v/>
      </c>
      <c r="P266" s="27" t="str">
        <f>IF('Curve Header Data'!T267="","",'Curve Header Data'!T267*$J$3)</f>
        <v/>
      </c>
      <c r="Q266" s="27" t="str">
        <f>IF('Curve Header Data'!U267="","",'Curve Header Data'!U267)</f>
        <v/>
      </c>
      <c r="R266" s="27" t="str">
        <f>IF('Curve Header Data'!V267="","",'Curve Header Data'!V267)</f>
        <v/>
      </c>
      <c r="S266" s="27" t="str">
        <f>IF('Curve Header Data'!W267="","",'Curve Header Data'!W267)</f>
        <v/>
      </c>
    </row>
    <row r="267" spans="1:19" x14ac:dyDescent="0.2">
      <c r="A267" s="38" t="str">
        <f>IF('Curve Header Data'!A268="","",'Curve Header Data'!A268)</f>
        <v/>
      </c>
      <c r="B267" s="38" t="str">
        <f>IF('Curve Header Data'!C268="","",'Curve Header Data'!C268)</f>
        <v/>
      </c>
      <c r="C267" s="38" t="str">
        <f>IF('Curve Header Data'!D268="","",'Curve Header Data'!D268)</f>
        <v/>
      </c>
      <c r="D267" s="38" t="str">
        <f>IF('Curve Header Data'!E268="","",'Curve Header Data'!E268)</f>
        <v/>
      </c>
      <c r="E267" s="38" t="str">
        <f>IF('Curve Header Data'!B268="","",'Curve Header Data'!B268)</f>
        <v/>
      </c>
      <c r="F267" s="38" t="str">
        <f>IF('Curve Header Data'!K268="","",'Curve Header Data'!K268*$E$2)</f>
        <v/>
      </c>
      <c r="G267" s="38" t="str">
        <f>IF('Curve Header Data'!L268="","",'Curve Header Data'!L268*$E$2)</f>
        <v/>
      </c>
      <c r="H267" s="38">
        <f>IF('Curve Header Data'!N268="","",'Curve Header Data'!N268)</f>
        <v>1</v>
      </c>
      <c r="I267" s="38">
        <f>IF('Curve Header Data'!O268="","",'Curve Header Data'!O268)</f>
        <v>5</v>
      </c>
      <c r="J267" s="27">
        <f>IF('Curve Header Data'!M268="","",'Curve Header Data'!M268)</f>
        <v>258</v>
      </c>
      <c r="K267" s="27" t="str">
        <f>IF('Curve Header Data'!G268="","",'Curve Header Data'!G268)</f>
        <v/>
      </c>
      <c r="L267" s="27" t="str">
        <f>IF('Curve Header Data'!H268="","",'Curve Header Data'!H268)</f>
        <v/>
      </c>
      <c r="M267" s="27" t="str">
        <f>IF('Curve Header Data'!I268="","",'Curve Header Data'!I268)</f>
        <v/>
      </c>
      <c r="N267" s="27" t="str">
        <f>IF('Curve Header Data'!J268="","",'Curve Header Data'!J268*$E$3)</f>
        <v/>
      </c>
      <c r="O267" s="27" t="str">
        <f>IF('Curve Header Data'!S268="","",'Curve Header Data'!S268*$J$2)</f>
        <v/>
      </c>
      <c r="P267" s="27" t="str">
        <f>IF('Curve Header Data'!T268="","",'Curve Header Data'!T268*$J$3)</f>
        <v/>
      </c>
      <c r="Q267" s="27" t="str">
        <f>IF('Curve Header Data'!U268="","",'Curve Header Data'!U268)</f>
        <v/>
      </c>
      <c r="R267" s="27" t="str">
        <f>IF('Curve Header Data'!V268="","",'Curve Header Data'!V268)</f>
        <v/>
      </c>
      <c r="S267" s="27" t="str">
        <f>IF('Curve Header Data'!W268="","",'Curve Header Data'!W268)</f>
        <v/>
      </c>
    </row>
    <row r="268" spans="1:19" x14ac:dyDescent="0.2">
      <c r="A268" s="38" t="str">
        <f>IF('Curve Header Data'!A269="","",'Curve Header Data'!A269)</f>
        <v/>
      </c>
      <c r="B268" s="38" t="str">
        <f>IF('Curve Header Data'!C269="","",'Curve Header Data'!C269)</f>
        <v/>
      </c>
      <c r="C268" s="38" t="str">
        <f>IF('Curve Header Data'!D269="","",'Curve Header Data'!D269)</f>
        <v/>
      </c>
      <c r="D268" s="38" t="str">
        <f>IF('Curve Header Data'!E269="","",'Curve Header Data'!E269)</f>
        <v/>
      </c>
      <c r="E268" s="38" t="str">
        <f>IF('Curve Header Data'!B269="","",'Curve Header Data'!B269)</f>
        <v/>
      </c>
      <c r="F268" s="38" t="str">
        <f>IF('Curve Header Data'!K269="","",'Curve Header Data'!K269*$E$2)</f>
        <v/>
      </c>
      <c r="G268" s="38" t="str">
        <f>IF('Curve Header Data'!L269="","",'Curve Header Data'!L269*$E$2)</f>
        <v/>
      </c>
      <c r="H268" s="38">
        <f>IF('Curve Header Data'!N269="","",'Curve Header Data'!N269)</f>
        <v>1</v>
      </c>
      <c r="I268" s="38">
        <f>IF('Curve Header Data'!O269="","",'Curve Header Data'!O269)</f>
        <v>5</v>
      </c>
      <c r="J268" s="27">
        <f>IF('Curve Header Data'!M269="","",'Curve Header Data'!M269)</f>
        <v>259</v>
      </c>
      <c r="K268" s="27" t="str">
        <f>IF('Curve Header Data'!G269="","",'Curve Header Data'!G269)</f>
        <v/>
      </c>
      <c r="L268" s="27" t="str">
        <f>IF('Curve Header Data'!H269="","",'Curve Header Data'!H269)</f>
        <v/>
      </c>
      <c r="M268" s="27" t="str">
        <f>IF('Curve Header Data'!I269="","",'Curve Header Data'!I269)</f>
        <v/>
      </c>
      <c r="N268" s="27" t="str">
        <f>IF('Curve Header Data'!J269="","",'Curve Header Data'!J269*$E$3)</f>
        <v/>
      </c>
      <c r="O268" s="27" t="str">
        <f>IF('Curve Header Data'!S269="","",'Curve Header Data'!S269*$J$2)</f>
        <v/>
      </c>
      <c r="P268" s="27" t="str">
        <f>IF('Curve Header Data'!T269="","",'Curve Header Data'!T269*$J$3)</f>
        <v/>
      </c>
      <c r="Q268" s="27" t="str">
        <f>IF('Curve Header Data'!U269="","",'Curve Header Data'!U269)</f>
        <v/>
      </c>
      <c r="R268" s="27" t="str">
        <f>IF('Curve Header Data'!V269="","",'Curve Header Data'!V269)</f>
        <v/>
      </c>
      <c r="S268" s="27" t="str">
        <f>IF('Curve Header Data'!W269="","",'Curve Header Data'!W269)</f>
        <v/>
      </c>
    </row>
    <row r="269" spans="1:19" x14ac:dyDescent="0.2">
      <c r="A269" s="38" t="str">
        <f>IF('Curve Header Data'!A270="","",'Curve Header Data'!A270)</f>
        <v/>
      </c>
      <c r="B269" s="38" t="str">
        <f>IF('Curve Header Data'!C270="","",'Curve Header Data'!C270)</f>
        <v/>
      </c>
      <c r="C269" s="38" t="str">
        <f>IF('Curve Header Data'!D270="","",'Curve Header Data'!D270)</f>
        <v/>
      </c>
      <c r="D269" s="38" t="str">
        <f>IF('Curve Header Data'!E270="","",'Curve Header Data'!E270)</f>
        <v/>
      </c>
      <c r="E269" s="38" t="str">
        <f>IF('Curve Header Data'!B270="","",'Curve Header Data'!B270)</f>
        <v/>
      </c>
      <c r="F269" s="38" t="str">
        <f>IF('Curve Header Data'!K270="","",'Curve Header Data'!K270*$E$2)</f>
        <v/>
      </c>
      <c r="G269" s="38" t="str">
        <f>IF('Curve Header Data'!L270="","",'Curve Header Data'!L270*$E$2)</f>
        <v/>
      </c>
      <c r="H269" s="38">
        <f>IF('Curve Header Data'!N270="","",'Curve Header Data'!N270)</f>
        <v>1</v>
      </c>
      <c r="I269" s="38">
        <f>IF('Curve Header Data'!O270="","",'Curve Header Data'!O270)</f>
        <v>5</v>
      </c>
      <c r="J269" s="27">
        <f>IF('Curve Header Data'!M270="","",'Curve Header Data'!M270)</f>
        <v>260</v>
      </c>
      <c r="K269" s="27" t="str">
        <f>IF('Curve Header Data'!G270="","",'Curve Header Data'!G270)</f>
        <v/>
      </c>
      <c r="L269" s="27" t="str">
        <f>IF('Curve Header Data'!H270="","",'Curve Header Data'!H270)</f>
        <v/>
      </c>
      <c r="M269" s="27" t="str">
        <f>IF('Curve Header Data'!I270="","",'Curve Header Data'!I270)</f>
        <v/>
      </c>
      <c r="N269" s="27" t="str">
        <f>IF('Curve Header Data'!J270="","",'Curve Header Data'!J270*$E$3)</f>
        <v/>
      </c>
      <c r="O269" s="27" t="str">
        <f>IF('Curve Header Data'!S270="","",'Curve Header Data'!S270*$J$2)</f>
        <v/>
      </c>
      <c r="P269" s="27" t="str">
        <f>IF('Curve Header Data'!T270="","",'Curve Header Data'!T270*$J$3)</f>
        <v/>
      </c>
      <c r="Q269" s="27" t="str">
        <f>IF('Curve Header Data'!U270="","",'Curve Header Data'!U270)</f>
        <v/>
      </c>
      <c r="R269" s="27" t="str">
        <f>IF('Curve Header Data'!V270="","",'Curve Header Data'!V270)</f>
        <v/>
      </c>
      <c r="S269" s="27" t="str">
        <f>IF('Curve Header Data'!W270="","",'Curve Header Data'!W270)</f>
        <v/>
      </c>
    </row>
    <row r="270" spans="1:19" x14ac:dyDescent="0.2">
      <c r="A270" s="38" t="str">
        <f>IF('Curve Header Data'!A271="","",'Curve Header Data'!A271)</f>
        <v/>
      </c>
      <c r="B270" s="38" t="str">
        <f>IF('Curve Header Data'!C271="","",'Curve Header Data'!C271)</f>
        <v/>
      </c>
      <c r="C270" s="38" t="str">
        <f>IF('Curve Header Data'!D271="","",'Curve Header Data'!D271)</f>
        <v/>
      </c>
      <c r="D270" s="38" t="str">
        <f>IF('Curve Header Data'!E271="","",'Curve Header Data'!E271)</f>
        <v/>
      </c>
      <c r="E270" s="38" t="str">
        <f>IF('Curve Header Data'!B271="","",'Curve Header Data'!B271)</f>
        <v/>
      </c>
      <c r="F270" s="38" t="str">
        <f>IF('Curve Header Data'!K271="","",'Curve Header Data'!K271*$E$2)</f>
        <v/>
      </c>
      <c r="G270" s="38" t="str">
        <f>IF('Curve Header Data'!L271="","",'Curve Header Data'!L271*$E$2)</f>
        <v/>
      </c>
      <c r="H270" s="38">
        <f>IF('Curve Header Data'!N271="","",'Curve Header Data'!N271)</f>
        <v>1</v>
      </c>
      <c r="I270" s="38">
        <f>IF('Curve Header Data'!O271="","",'Curve Header Data'!O271)</f>
        <v>5</v>
      </c>
      <c r="J270" s="27">
        <f>IF('Curve Header Data'!M271="","",'Curve Header Data'!M271)</f>
        <v>261</v>
      </c>
      <c r="K270" s="27" t="str">
        <f>IF('Curve Header Data'!G271="","",'Curve Header Data'!G271)</f>
        <v/>
      </c>
      <c r="L270" s="27" t="str">
        <f>IF('Curve Header Data'!H271="","",'Curve Header Data'!H271)</f>
        <v/>
      </c>
      <c r="M270" s="27" t="str">
        <f>IF('Curve Header Data'!I271="","",'Curve Header Data'!I271)</f>
        <v/>
      </c>
      <c r="N270" s="27" t="str">
        <f>IF('Curve Header Data'!J271="","",'Curve Header Data'!J271*$E$3)</f>
        <v/>
      </c>
      <c r="O270" s="27" t="str">
        <f>IF('Curve Header Data'!S271="","",'Curve Header Data'!S271*$J$2)</f>
        <v/>
      </c>
      <c r="P270" s="27" t="str">
        <f>IF('Curve Header Data'!T271="","",'Curve Header Data'!T271*$J$3)</f>
        <v/>
      </c>
      <c r="Q270" s="27" t="str">
        <f>IF('Curve Header Data'!U271="","",'Curve Header Data'!U271)</f>
        <v/>
      </c>
      <c r="R270" s="27" t="str">
        <f>IF('Curve Header Data'!V271="","",'Curve Header Data'!V271)</f>
        <v/>
      </c>
      <c r="S270" s="27" t="str">
        <f>IF('Curve Header Data'!W271="","",'Curve Header Data'!W271)</f>
        <v/>
      </c>
    </row>
    <row r="271" spans="1:19" x14ac:dyDescent="0.2">
      <c r="A271" s="38" t="str">
        <f>IF('Curve Header Data'!A272="","",'Curve Header Data'!A272)</f>
        <v/>
      </c>
      <c r="B271" s="38" t="str">
        <f>IF('Curve Header Data'!C272="","",'Curve Header Data'!C272)</f>
        <v/>
      </c>
      <c r="C271" s="38" t="str">
        <f>IF('Curve Header Data'!D272="","",'Curve Header Data'!D272)</f>
        <v/>
      </c>
      <c r="D271" s="38" t="str">
        <f>IF('Curve Header Data'!E272="","",'Curve Header Data'!E272)</f>
        <v/>
      </c>
      <c r="E271" s="38" t="str">
        <f>IF('Curve Header Data'!B272="","",'Curve Header Data'!B272)</f>
        <v/>
      </c>
      <c r="F271" s="38" t="str">
        <f>IF('Curve Header Data'!K272="","",'Curve Header Data'!K272*$E$2)</f>
        <v/>
      </c>
      <c r="G271" s="38" t="str">
        <f>IF('Curve Header Data'!L272="","",'Curve Header Data'!L272*$E$2)</f>
        <v/>
      </c>
      <c r="H271" s="38">
        <f>IF('Curve Header Data'!N272="","",'Curve Header Data'!N272)</f>
        <v>1</v>
      </c>
      <c r="I271" s="38">
        <f>IF('Curve Header Data'!O272="","",'Curve Header Data'!O272)</f>
        <v>5</v>
      </c>
      <c r="J271" s="27">
        <f>IF('Curve Header Data'!M272="","",'Curve Header Data'!M272)</f>
        <v>262</v>
      </c>
      <c r="K271" s="27" t="str">
        <f>IF('Curve Header Data'!G272="","",'Curve Header Data'!G272)</f>
        <v/>
      </c>
      <c r="L271" s="27" t="str">
        <f>IF('Curve Header Data'!H272="","",'Curve Header Data'!H272)</f>
        <v/>
      </c>
      <c r="M271" s="27" t="str">
        <f>IF('Curve Header Data'!I272="","",'Curve Header Data'!I272)</f>
        <v/>
      </c>
      <c r="N271" s="27" t="str">
        <f>IF('Curve Header Data'!J272="","",'Curve Header Data'!J272*$E$3)</f>
        <v/>
      </c>
      <c r="O271" s="27" t="str">
        <f>IF('Curve Header Data'!S272="","",'Curve Header Data'!S272*$J$2)</f>
        <v/>
      </c>
      <c r="P271" s="27" t="str">
        <f>IF('Curve Header Data'!T272="","",'Curve Header Data'!T272*$J$3)</f>
        <v/>
      </c>
      <c r="Q271" s="27" t="str">
        <f>IF('Curve Header Data'!U272="","",'Curve Header Data'!U272)</f>
        <v/>
      </c>
      <c r="R271" s="27" t="str">
        <f>IF('Curve Header Data'!V272="","",'Curve Header Data'!V272)</f>
        <v/>
      </c>
      <c r="S271" s="27" t="str">
        <f>IF('Curve Header Data'!W272="","",'Curve Header Data'!W272)</f>
        <v/>
      </c>
    </row>
    <row r="272" spans="1:19" x14ac:dyDescent="0.2">
      <c r="A272" s="38" t="str">
        <f>IF('Curve Header Data'!A273="","",'Curve Header Data'!A273)</f>
        <v/>
      </c>
      <c r="B272" s="38" t="str">
        <f>IF('Curve Header Data'!C273="","",'Curve Header Data'!C273)</f>
        <v/>
      </c>
      <c r="C272" s="38" t="str">
        <f>IF('Curve Header Data'!D273="","",'Curve Header Data'!D273)</f>
        <v/>
      </c>
      <c r="D272" s="38" t="str">
        <f>IF('Curve Header Data'!E273="","",'Curve Header Data'!E273)</f>
        <v/>
      </c>
      <c r="E272" s="38" t="str">
        <f>IF('Curve Header Data'!B273="","",'Curve Header Data'!B273)</f>
        <v/>
      </c>
      <c r="F272" s="38" t="str">
        <f>IF('Curve Header Data'!K273="","",'Curve Header Data'!K273*$E$2)</f>
        <v/>
      </c>
      <c r="G272" s="38" t="str">
        <f>IF('Curve Header Data'!L273="","",'Curve Header Data'!L273*$E$2)</f>
        <v/>
      </c>
      <c r="H272" s="38">
        <f>IF('Curve Header Data'!N273="","",'Curve Header Data'!N273)</f>
        <v>1</v>
      </c>
      <c r="I272" s="38">
        <f>IF('Curve Header Data'!O273="","",'Curve Header Data'!O273)</f>
        <v>5</v>
      </c>
      <c r="J272" s="27">
        <f>IF('Curve Header Data'!M273="","",'Curve Header Data'!M273)</f>
        <v>263</v>
      </c>
      <c r="K272" s="27" t="str">
        <f>IF('Curve Header Data'!G273="","",'Curve Header Data'!G273)</f>
        <v/>
      </c>
      <c r="L272" s="27" t="str">
        <f>IF('Curve Header Data'!H273="","",'Curve Header Data'!H273)</f>
        <v/>
      </c>
      <c r="M272" s="27" t="str">
        <f>IF('Curve Header Data'!I273="","",'Curve Header Data'!I273)</f>
        <v/>
      </c>
      <c r="N272" s="27" t="str">
        <f>IF('Curve Header Data'!J273="","",'Curve Header Data'!J273*$E$3)</f>
        <v/>
      </c>
      <c r="O272" s="27" t="str">
        <f>IF('Curve Header Data'!S273="","",'Curve Header Data'!S273*$J$2)</f>
        <v/>
      </c>
      <c r="P272" s="27" t="str">
        <f>IF('Curve Header Data'!T273="","",'Curve Header Data'!T273*$J$3)</f>
        <v/>
      </c>
      <c r="Q272" s="27" t="str">
        <f>IF('Curve Header Data'!U273="","",'Curve Header Data'!U273)</f>
        <v/>
      </c>
      <c r="R272" s="27" t="str">
        <f>IF('Curve Header Data'!V273="","",'Curve Header Data'!V273)</f>
        <v/>
      </c>
      <c r="S272" s="27" t="str">
        <f>IF('Curve Header Data'!W273="","",'Curve Header Data'!W273)</f>
        <v/>
      </c>
    </row>
    <row r="273" spans="1:19" x14ac:dyDescent="0.2">
      <c r="A273" s="38" t="str">
        <f>IF('Curve Header Data'!A274="","",'Curve Header Data'!A274)</f>
        <v/>
      </c>
      <c r="B273" s="38" t="str">
        <f>IF('Curve Header Data'!C274="","",'Curve Header Data'!C274)</f>
        <v/>
      </c>
      <c r="C273" s="38" t="str">
        <f>IF('Curve Header Data'!D274="","",'Curve Header Data'!D274)</f>
        <v/>
      </c>
      <c r="D273" s="38" t="str">
        <f>IF('Curve Header Data'!E274="","",'Curve Header Data'!E274)</f>
        <v/>
      </c>
      <c r="E273" s="38" t="str">
        <f>IF('Curve Header Data'!B274="","",'Curve Header Data'!B274)</f>
        <v/>
      </c>
      <c r="F273" s="38" t="str">
        <f>IF('Curve Header Data'!K274="","",'Curve Header Data'!K274*$E$2)</f>
        <v/>
      </c>
      <c r="G273" s="38" t="str">
        <f>IF('Curve Header Data'!L274="","",'Curve Header Data'!L274*$E$2)</f>
        <v/>
      </c>
      <c r="H273" s="38">
        <f>IF('Curve Header Data'!N274="","",'Curve Header Data'!N274)</f>
        <v>1</v>
      </c>
      <c r="I273" s="38">
        <f>IF('Curve Header Data'!O274="","",'Curve Header Data'!O274)</f>
        <v>5</v>
      </c>
      <c r="J273" s="27">
        <f>IF('Curve Header Data'!M274="","",'Curve Header Data'!M274)</f>
        <v>264</v>
      </c>
      <c r="K273" s="27" t="str">
        <f>IF('Curve Header Data'!G274="","",'Curve Header Data'!G274)</f>
        <v/>
      </c>
      <c r="L273" s="27" t="str">
        <f>IF('Curve Header Data'!H274="","",'Curve Header Data'!H274)</f>
        <v/>
      </c>
      <c r="M273" s="27" t="str">
        <f>IF('Curve Header Data'!I274="","",'Curve Header Data'!I274)</f>
        <v/>
      </c>
      <c r="N273" s="27" t="str">
        <f>IF('Curve Header Data'!J274="","",'Curve Header Data'!J274*$E$3)</f>
        <v/>
      </c>
      <c r="O273" s="27" t="str">
        <f>IF('Curve Header Data'!S274="","",'Curve Header Data'!S274*$J$2)</f>
        <v/>
      </c>
      <c r="P273" s="27" t="str">
        <f>IF('Curve Header Data'!T274="","",'Curve Header Data'!T274*$J$3)</f>
        <v/>
      </c>
      <c r="Q273" s="27" t="str">
        <f>IF('Curve Header Data'!U274="","",'Curve Header Data'!U274)</f>
        <v/>
      </c>
      <c r="R273" s="27" t="str">
        <f>IF('Curve Header Data'!V274="","",'Curve Header Data'!V274)</f>
        <v/>
      </c>
      <c r="S273" s="27" t="str">
        <f>IF('Curve Header Data'!W274="","",'Curve Header Data'!W274)</f>
        <v/>
      </c>
    </row>
    <row r="274" spans="1:19" x14ac:dyDescent="0.2">
      <c r="A274" s="38" t="str">
        <f>IF('Curve Header Data'!A275="","",'Curve Header Data'!A275)</f>
        <v/>
      </c>
      <c r="B274" s="38" t="str">
        <f>IF('Curve Header Data'!C275="","",'Curve Header Data'!C275)</f>
        <v/>
      </c>
      <c r="C274" s="38" t="str">
        <f>IF('Curve Header Data'!D275="","",'Curve Header Data'!D275)</f>
        <v/>
      </c>
      <c r="D274" s="38" t="str">
        <f>IF('Curve Header Data'!E275="","",'Curve Header Data'!E275)</f>
        <v/>
      </c>
      <c r="E274" s="38" t="str">
        <f>IF('Curve Header Data'!B275="","",'Curve Header Data'!B275)</f>
        <v/>
      </c>
      <c r="F274" s="38" t="str">
        <f>IF('Curve Header Data'!K275="","",'Curve Header Data'!K275*$E$2)</f>
        <v/>
      </c>
      <c r="G274" s="38" t="str">
        <f>IF('Curve Header Data'!L275="","",'Curve Header Data'!L275*$E$2)</f>
        <v/>
      </c>
      <c r="H274" s="38">
        <f>IF('Curve Header Data'!N275="","",'Curve Header Data'!N275)</f>
        <v>1</v>
      </c>
      <c r="I274" s="38">
        <f>IF('Curve Header Data'!O275="","",'Curve Header Data'!O275)</f>
        <v>5</v>
      </c>
      <c r="J274" s="27">
        <f>IF('Curve Header Data'!M275="","",'Curve Header Data'!M275)</f>
        <v>265</v>
      </c>
      <c r="K274" s="27" t="str">
        <f>IF('Curve Header Data'!G275="","",'Curve Header Data'!G275)</f>
        <v/>
      </c>
      <c r="L274" s="27" t="str">
        <f>IF('Curve Header Data'!H275="","",'Curve Header Data'!H275)</f>
        <v/>
      </c>
      <c r="M274" s="27" t="str">
        <f>IF('Curve Header Data'!I275="","",'Curve Header Data'!I275)</f>
        <v/>
      </c>
      <c r="N274" s="27" t="str">
        <f>IF('Curve Header Data'!J275="","",'Curve Header Data'!J275*$E$3)</f>
        <v/>
      </c>
      <c r="O274" s="27" t="str">
        <f>IF('Curve Header Data'!S275="","",'Curve Header Data'!S275*$J$2)</f>
        <v/>
      </c>
      <c r="P274" s="27" t="str">
        <f>IF('Curve Header Data'!T275="","",'Curve Header Data'!T275*$J$3)</f>
        <v/>
      </c>
      <c r="Q274" s="27" t="str">
        <f>IF('Curve Header Data'!U275="","",'Curve Header Data'!U275)</f>
        <v/>
      </c>
      <c r="R274" s="27" t="str">
        <f>IF('Curve Header Data'!V275="","",'Curve Header Data'!V275)</f>
        <v/>
      </c>
      <c r="S274" s="27" t="str">
        <f>IF('Curve Header Data'!W275="","",'Curve Header Data'!W275)</f>
        <v/>
      </c>
    </row>
    <row r="275" spans="1:19" x14ac:dyDescent="0.2">
      <c r="A275" s="38" t="str">
        <f>IF('Curve Header Data'!A276="","",'Curve Header Data'!A276)</f>
        <v/>
      </c>
      <c r="B275" s="38" t="str">
        <f>IF('Curve Header Data'!C276="","",'Curve Header Data'!C276)</f>
        <v/>
      </c>
      <c r="C275" s="38" t="str">
        <f>IF('Curve Header Data'!D276="","",'Curve Header Data'!D276)</f>
        <v/>
      </c>
      <c r="D275" s="38" t="str">
        <f>IF('Curve Header Data'!E276="","",'Curve Header Data'!E276)</f>
        <v/>
      </c>
      <c r="E275" s="38" t="str">
        <f>IF('Curve Header Data'!B276="","",'Curve Header Data'!B276)</f>
        <v/>
      </c>
      <c r="F275" s="38" t="str">
        <f>IF('Curve Header Data'!K276="","",'Curve Header Data'!K276*$E$2)</f>
        <v/>
      </c>
      <c r="G275" s="38" t="str">
        <f>IF('Curve Header Data'!L276="","",'Curve Header Data'!L276*$E$2)</f>
        <v/>
      </c>
      <c r="H275" s="38">
        <f>IF('Curve Header Data'!N276="","",'Curve Header Data'!N276)</f>
        <v>1</v>
      </c>
      <c r="I275" s="38">
        <f>IF('Curve Header Data'!O276="","",'Curve Header Data'!O276)</f>
        <v>5</v>
      </c>
      <c r="J275" s="27">
        <f>IF('Curve Header Data'!M276="","",'Curve Header Data'!M276)</f>
        <v>266</v>
      </c>
      <c r="K275" s="27" t="str">
        <f>IF('Curve Header Data'!G276="","",'Curve Header Data'!G276)</f>
        <v/>
      </c>
      <c r="L275" s="27" t="str">
        <f>IF('Curve Header Data'!H276="","",'Curve Header Data'!H276)</f>
        <v/>
      </c>
      <c r="M275" s="27" t="str">
        <f>IF('Curve Header Data'!I276="","",'Curve Header Data'!I276)</f>
        <v/>
      </c>
      <c r="N275" s="27" t="str">
        <f>IF('Curve Header Data'!J276="","",'Curve Header Data'!J276*$E$3)</f>
        <v/>
      </c>
      <c r="O275" s="27" t="str">
        <f>IF('Curve Header Data'!S276="","",'Curve Header Data'!S276*$J$2)</f>
        <v/>
      </c>
      <c r="P275" s="27" t="str">
        <f>IF('Curve Header Data'!T276="","",'Curve Header Data'!T276*$J$3)</f>
        <v/>
      </c>
      <c r="Q275" s="27" t="str">
        <f>IF('Curve Header Data'!U276="","",'Curve Header Data'!U276)</f>
        <v/>
      </c>
      <c r="R275" s="27" t="str">
        <f>IF('Curve Header Data'!V276="","",'Curve Header Data'!V276)</f>
        <v/>
      </c>
      <c r="S275" s="27" t="str">
        <f>IF('Curve Header Data'!W276="","",'Curve Header Data'!W276)</f>
        <v/>
      </c>
    </row>
    <row r="276" spans="1:19" x14ac:dyDescent="0.2">
      <c r="A276" s="38" t="str">
        <f>IF('Curve Header Data'!A277="","",'Curve Header Data'!A277)</f>
        <v/>
      </c>
      <c r="B276" s="38" t="str">
        <f>IF('Curve Header Data'!C277="","",'Curve Header Data'!C277)</f>
        <v/>
      </c>
      <c r="C276" s="38" t="str">
        <f>IF('Curve Header Data'!D277="","",'Curve Header Data'!D277)</f>
        <v/>
      </c>
      <c r="D276" s="38" t="str">
        <f>IF('Curve Header Data'!E277="","",'Curve Header Data'!E277)</f>
        <v/>
      </c>
      <c r="E276" s="38" t="str">
        <f>IF('Curve Header Data'!B277="","",'Curve Header Data'!B277)</f>
        <v/>
      </c>
      <c r="F276" s="38" t="str">
        <f>IF('Curve Header Data'!K277="","",'Curve Header Data'!K277*$E$2)</f>
        <v/>
      </c>
      <c r="G276" s="38" t="str">
        <f>IF('Curve Header Data'!L277="","",'Curve Header Data'!L277*$E$2)</f>
        <v/>
      </c>
      <c r="H276" s="38">
        <f>IF('Curve Header Data'!N277="","",'Curve Header Data'!N277)</f>
        <v>1</v>
      </c>
      <c r="I276" s="38">
        <f>IF('Curve Header Data'!O277="","",'Curve Header Data'!O277)</f>
        <v>5</v>
      </c>
      <c r="J276" s="27">
        <f>IF('Curve Header Data'!M277="","",'Curve Header Data'!M277)</f>
        <v>267</v>
      </c>
      <c r="K276" s="27" t="str">
        <f>IF('Curve Header Data'!G277="","",'Curve Header Data'!G277)</f>
        <v/>
      </c>
      <c r="L276" s="27" t="str">
        <f>IF('Curve Header Data'!H277="","",'Curve Header Data'!H277)</f>
        <v/>
      </c>
      <c r="M276" s="27" t="str">
        <f>IF('Curve Header Data'!I277="","",'Curve Header Data'!I277)</f>
        <v/>
      </c>
      <c r="N276" s="27" t="str">
        <f>IF('Curve Header Data'!J277="","",'Curve Header Data'!J277*$E$3)</f>
        <v/>
      </c>
      <c r="O276" s="27" t="str">
        <f>IF('Curve Header Data'!S277="","",'Curve Header Data'!S277*$J$2)</f>
        <v/>
      </c>
      <c r="P276" s="27" t="str">
        <f>IF('Curve Header Data'!T277="","",'Curve Header Data'!T277*$J$3)</f>
        <v/>
      </c>
      <c r="Q276" s="27" t="str">
        <f>IF('Curve Header Data'!U277="","",'Curve Header Data'!U277)</f>
        <v/>
      </c>
      <c r="R276" s="27" t="str">
        <f>IF('Curve Header Data'!V277="","",'Curve Header Data'!V277)</f>
        <v/>
      </c>
      <c r="S276" s="27" t="str">
        <f>IF('Curve Header Data'!W277="","",'Curve Header Data'!W277)</f>
        <v/>
      </c>
    </row>
    <row r="277" spans="1:19" x14ac:dyDescent="0.2">
      <c r="A277" s="38" t="str">
        <f>IF('Curve Header Data'!A278="","",'Curve Header Data'!A278)</f>
        <v/>
      </c>
      <c r="B277" s="38" t="str">
        <f>IF('Curve Header Data'!C278="","",'Curve Header Data'!C278)</f>
        <v/>
      </c>
      <c r="C277" s="38" t="str">
        <f>IF('Curve Header Data'!D278="","",'Curve Header Data'!D278)</f>
        <v/>
      </c>
      <c r="D277" s="38" t="str">
        <f>IF('Curve Header Data'!E278="","",'Curve Header Data'!E278)</f>
        <v/>
      </c>
      <c r="E277" s="38" t="str">
        <f>IF('Curve Header Data'!B278="","",'Curve Header Data'!B278)</f>
        <v/>
      </c>
      <c r="F277" s="38" t="str">
        <f>IF('Curve Header Data'!K278="","",'Curve Header Data'!K278*$E$2)</f>
        <v/>
      </c>
      <c r="G277" s="38" t="str">
        <f>IF('Curve Header Data'!L278="","",'Curve Header Data'!L278*$E$2)</f>
        <v/>
      </c>
      <c r="H277" s="38">
        <f>IF('Curve Header Data'!N278="","",'Curve Header Data'!N278)</f>
        <v>1</v>
      </c>
      <c r="I277" s="38">
        <f>IF('Curve Header Data'!O278="","",'Curve Header Data'!O278)</f>
        <v>5</v>
      </c>
      <c r="J277" s="27">
        <f>IF('Curve Header Data'!M278="","",'Curve Header Data'!M278)</f>
        <v>268</v>
      </c>
      <c r="K277" s="27" t="str">
        <f>IF('Curve Header Data'!G278="","",'Curve Header Data'!G278)</f>
        <v/>
      </c>
      <c r="L277" s="27" t="str">
        <f>IF('Curve Header Data'!H278="","",'Curve Header Data'!H278)</f>
        <v/>
      </c>
      <c r="M277" s="27" t="str">
        <f>IF('Curve Header Data'!I278="","",'Curve Header Data'!I278)</f>
        <v/>
      </c>
      <c r="N277" s="27" t="str">
        <f>IF('Curve Header Data'!J278="","",'Curve Header Data'!J278*$E$3)</f>
        <v/>
      </c>
      <c r="O277" s="27" t="str">
        <f>IF('Curve Header Data'!S278="","",'Curve Header Data'!S278*$J$2)</f>
        <v/>
      </c>
      <c r="P277" s="27" t="str">
        <f>IF('Curve Header Data'!T278="","",'Curve Header Data'!T278*$J$3)</f>
        <v/>
      </c>
      <c r="Q277" s="27" t="str">
        <f>IF('Curve Header Data'!U278="","",'Curve Header Data'!U278)</f>
        <v/>
      </c>
      <c r="R277" s="27" t="str">
        <f>IF('Curve Header Data'!V278="","",'Curve Header Data'!V278)</f>
        <v/>
      </c>
      <c r="S277" s="27" t="str">
        <f>IF('Curve Header Data'!W278="","",'Curve Header Data'!W278)</f>
        <v/>
      </c>
    </row>
    <row r="278" spans="1:19" x14ac:dyDescent="0.2">
      <c r="A278" s="38" t="str">
        <f>IF('Curve Header Data'!A279="","",'Curve Header Data'!A279)</f>
        <v/>
      </c>
      <c r="B278" s="38" t="str">
        <f>IF('Curve Header Data'!C279="","",'Curve Header Data'!C279)</f>
        <v/>
      </c>
      <c r="C278" s="38" t="str">
        <f>IF('Curve Header Data'!D279="","",'Curve Header Data'!D279)</f>
        <v/>
      </c>
      <c r="D278" s="38" t="str">
        <f>IF('Curve Header Data'!E279="","",'Curve Header Data'!E279)</f>
        <v/>
      </c>
      <c r="E278" s="38" t="str">
        <f>IF('Curve Header Data'!B279="","",'Curve Header Data'!B279)</f>
        <v/>
      </c>
      <c r="F278" s="38" t="str">
        <f>IF('Curve Header Data'!K279="","",'Curve Header Data'!K279*$E$2)</f>
        <v/>
      </c>
      <c r="G278" s="38" t="str">
        <f>IF('Curve Header Data'!L279="","",'Curve Header Data'!L279*$E$2)</f>
        <v/>
      </c>
      <c r="H278" s="38">
        <f>IF('Curve Header Data'!N279="","",'Curve Header Data'!N279)</f>
        <v>1</v>
      </c>
      <c r="I278" s="38">
        <f>IF('Curve Header Data'!O279="","",'Curve Header Data'!O279)</f>
        <v>5</v>
      </c>
      <c r="J278" s="27">
        <f>IF('Curve Header Data'!M279="","",'Curve Header Data'!M279)</f>
        <v>269</v>
      </c>
      <c r="K278" s="27" t="str">
        <f>IF('Curve Header Data'!G279="","",'Curve Header Data'!G279)</f>
        <v/>
      </c>
      <c r="L278" s="27" t="str">
        <f>IF('Curve Header Data'!H279="","",'Curve Header Data'!H279)</f>
        <v/>
      </c>
      <c r="M278" s="27" t="str">
        <f>IF('Curve Header Data'!I279="","",'Curve Header Data'!I279)</f>
        <v/>
      </c>
      <c r="N278" s="27" t="str">
        <f>IF('Curve Header Data'!J279="","",'Curve Header Data'!J279*$E$3)</f>
        <v/>
      </c>
      <c r="O278" s="27" t="str">
        <f>IF('Curve Header Data'!S279="","",'Curve Header Data'!S279*$J$2)</f>
        <v/>
      </c>
      <c r="P278" s="27" t="str">
        <f>IF('Curve Header Data'!T279="","",'Curve Header Data'!T279*$J$3)</f>
        <v/>
      </c>
      <c r="Q278" s="27" t="str">
        <f>IF('Curve Header Data'!U279="","",'Curve Header Data'!U279)</f>
        <v/>
      </c>
      <c r="R278" s="27" t="str">
        <f>IF('Curve Header Data'!V279="","",'Curve Header Data'!V279)</f>
        <v/>
      </c>
      <c r="S278" s="27" t="str">
        <f>IF('Curve Header Data'!W279="","",'Curve Header Data'!W279)</f>
        <v/>
      </c>
    </row>
    <row r="279" spans="1:19" x14ac:dyDescent="0.2">
      <c r="A279" s="38" t="str">
        <f>IF('Curve Header Data'!A280="","",'Curve Header Data'!A280)</f>
        <v/>
      </c>
      <c r="B279" s="38" t="str">
        <f>IF('Curve Header Data'!C280="","",'Curve Header Data'!C280)</f>
        <v/>
      </c>
      <c r="C279" s="38" t="str">
        <f>IF('Curve Header Data'!D280="","",'Curve Header Data'!D280)</f>
        <v/>
      </c>
      <c r="D279" s="38" t="str">
        <f>IF('Curve Header Data'!E280="","",'Curve Header Data'!E280)</f>
        <v/>
      </c>
      <c r="E279" s="38" t="str">
        <f>IF('Curve Header Data'!B280="","",'Curve Header Data'!B280)</f>
        <v/>
      </c>
      <c r="F279" s="38" t="str">
        <f>IF('Curve Header Data'!K280="","",'Curve Header Data'!K280*$E$2)</f>
        <v/>
      </c>
      <c r="G279" s="38" t="str">
        <f>IF('Curve Header Data'!L280="","",'Curve Header Data'!L280*$E$2)</f>
        <v/>
      </c>
      <c r="H279" s="38">
        <f>IF('Curve Header Data'!N280="","",'Curve Header Data'!N280)</f>
        <v>1</v>
      </c>
      <c r="I279" s="38">
        <f>IF('Curve Header Data'!O280="","",'Curve Header Data'!O280)</f>
        <v>5</v>
      </c>
      <c r="J279" s="27">
        <f>IF('Curve Header Data'!M280="","",'Curve Header Data'!M280)</f>
        <v>270</v>
      </c>
      <c r="K279" s="27" t="str">
        <f>IF('Curve Header Data'!G280="","",'Curve Header Data'!G280)</f>
        <v/>
      </c>
      <c r="L279" s="27" t="str">
        <f>IF('Curve Header Data'!H280="","",'Curve Header Data'!H280)</f>
        <v/>
      </c>
      <c r="M279" s="27" t="str">
        <f>IF('Curve Header Data'!I280="","",'Curve Header Data'!I280)</f>
        <v/>
      </c>
      <c r="N279" s="27" t="str">
        <f>IF('Curve Header Data'!J280="","",'Curve Header Data'!J280*$E$3)</f>
        <v/>
      </c>
      <c r="O279" s="27" t="str">
        <f>IF('Curve Header Data'!S280="","",'Curve Header Data'!S280*$J$2)</f>
        <v/>
      </c>
      <c r="P279" s="27" t="str">
        <f>IF('Curve Header Data'!T280="","",'Curve Header Data'!T280*$J$3)</f>
        <v/>
      </c>
      <c r="Q279" s="27" t="str">
        <f>IF('Curve Header Data'!U280="","",'Curve Header Data'!U280)</f>
        <v/>
      </c>
      <c r="R279" s="27" t="str">
        <f>IF('Curve Header Data'!V280="","",'Curve Header Data'!V280)</f>
        <v/>
      </c>
      <c r="S279" s="27" t="str">
        <f>IF('Curve Header Data'!W280="","",'Curve Header Data'!W280)</f>
        <v/>
      </c>
    </row>
    <row r="280" spans="1:19" x14ac:dyDescent="0.2">
      <c r="A280" s="38" t="str">
        <f>IF('Curve Header Data'!A281="","",'Curve Header Data'!A281)</f>
        <v/>
      </c>
      <c r="B280" s="38" t="str">
        <f>IF('Curve Header Data'!C281="","",'Curve Header Data'!C281)</f>
        <v/>
      </c>
      <c r="C280" s="38" t="str">
        <f>IF('Curve Header Data'!D281="","",'Curve Header Data'!D281)</f>
        <v/>
      </c>
      <c r="D280" s="38" t="str">
        <f>IF('Curve Header Data'!E281="","",'Curve Header Data'!E281)</f>
        <v/>
      </c>
      <c r="E280" s="38" t="str">
        <f>IF('Curve Header Data'!B281="","",'Curve Header Data'!B281)</f>
        <v/>
      </c>
      <c r="F280" s="38" t="str">
        <f>IF('Curve Header Data'!K281="","",'Curve Header Data'!K281*$E$2)</f>
        <v/>
      </c>
      <c r="G280" s="38" t="str">
        <f>IF('Curve Header Data'!L281="","",'Curve Header Data'!L281*$E$2)</f>
        <v/>
      </c>
      <c r="H280" s="38">
        <f>IF('Curve Header Data'!N281="","",'Curve Header Data'!N281)</f>
        <v>1</v>
      </c>
      <c r="I280" s="38">
        <f>IF('Curve Header Data'!O281="","",'Curve Header Data'!O281)</f>
        <v>5</v>
      </c>
      <c r="J280" s="27">
        <f>IF('Curve Header Data'!M281="","",'Curve Header Data'!M281)</f>
        <v>271</v>
      </c>
      <c r="K280" s="27" t="str">
        <f>IF('Curve Header Data'!G281="","",'Curve Header Data'!G281)</f>
        <v/>
      </c>
      <c r="L280" s="27" t="str">
        <f>IF('Curve Header Data'!H281="","",'Curve Header Data'!H281)</f>
        <v/>
      </c>
      <c r="M280" s="27" t="str">
        <f>IF('Curve Header Data'!I281="","",'Curve Header Data'!I281)</f>
        <v/>
      </c>
      <c r="N280" s="27" t="str">
        <f>IF('Curve Header Data'!J281="","",'Curve Header Data'!J281*$E$3)</f>
        <v/>
      </c>
      <c r="O280" s="27" t="str">
        <f>IF('Curve Header Data'!S281="","",'Curve Header Data'!S281*$J$2)</f>
        <v/>
      </c>
      <c r="P280" s="27" t="str">
        <f>IF('Curve Header Data'!T281="","",'Curve Header Data'!T281*$J$3)</f>
        <v/>
      </c>
      <c r="Q280" s="27" t="str">
        <f>IF('Curve Header Data'!U281="","",'Curve Header Data'!U281)</f>
        <v/>
      </c>
      <c r="R280" s="27" t="str">
        <f>IF('Curve Header Data'!V281="","",'Curve Header Data'!V281)</f>
        <v/>
      </c>
      <c r="S280" s="27" t="str">
        <f>IF('Curve Header Data'!W281="","",'Curve Header Data'!W281)</f>
        <v/>
      </c>
    </row>
    <row r="281" spans="1:19" x14ac:dyDescent="0.2">
      <c r="A281" s="38" t="str">
        <f>IF('Curve Header Data'!A282="","",'Curve Header Data'!A282)</f>
        <v/>
      </c>
      <c r="B281" s="38" t="str">
        <f>IF('Curve Header Data'!C282="","",'Curve Header Data'!C282)</f>
        <v/>
      </c>
      <c r="C281" s="38" t="str">
        <f>IF('Curve Header Data'!D282="","",'Curve Header Data'!D282)</f>
        <v/>
      </c>
      <c r="D281" s="38" t="str">
        <f>IF('Curve Header Data'!E282="","",'Curve Header Data'!E282)</f>
        <v/>
      </c>
      <c r="E281" s="38" t="str">
        <f>IF('Curve Header Data'!B282="","",'Curve Header Data'!B282)</f>
        <v/>
      </c>
      <c r="F281" s="38" t="str">
        <f>IF('Curve Header Data'!K282="","",'Curve Header Data'!K282*$E$2)</f>
        <v/>
      </c>
      <c r="G281" s="38" t="str">
        <f>IF('Curve Header Data'!L282="","",'Curve Header Data'!L282*$E$2)</f>
        <v/>
      </c>
      <c r="H281" s="38">
        <f>IF('Curve Header Data'!N282="","",'Curve Header Data'!N282)</f>
        <v>1</v>
      </c>
      <c r="I281" s="38">
        <f>IF('Curve Header Data'!O282="","",'Curve Header Data'!O282)</f>
        <v>5</v>
      </c>
      <c r="J281" s="27">
        <f>IF('Curve Header Data'!M282="","",'Curve Header Data'!M282)</f>
        <v>272</v>
      </c>
      <c r="K281" s="27" t="str">
        <f>IF('Curve Header Data'!G282="","",'Curve Header Data'!G282)</f>
        <v/>
      </c>
      <c r="L281" s="27" t="str">
        <f>IF('Curve Header Data'!H282="","",'Curve Header Data'!H282)</f>
        <v/>
      </c>
      <c r="M281" s="27" t="str">
        <f>IF('Curve Header Data'!I282="","",'Curve Header Data'!I282)</f>
        <v/>
      </c>
      <c r="N281" s="27" t="str">
        <f>IF('Curve Header Data'!J282="","",'Curve Header Data'!J282*$E$3)</f>
        <v/>
      </c>
      <c r="O281" s="27" t="str">
        <f>IF('Curve Header Data'!S282="","",'Curve Header Data'!S282*$J$2)</f>
        <v/>
      </c>
      <c r="P281" s="27" t="str">
        <f>IF('Curve Header Data'!T282="","",'Curve Header Data'!T282*$J$3)</f>
        <v/>
      </c>
      <c r="Q281" s="27" t="str">
        <f>IF('Curve Header Data'!U282="","",'Curve Header Data'!U282)</f>
        <v/>
      </c>
      <c r="R281" s="27" t="str">
        <f>IF('Curve Header Data'!V282="","",'Curve Header Data'!V282)</f>
        <v/>
      </c>
      <c r="S281" s="27" t="str">
        <f>IF('Curve Header Data'!W282="","",'Curve Header Data'!W282)</f>
        <v/>
      </c>
    </row>
    <row r="282" spans="1:19" x14ac:dyDescent="0.2">
      <c r="A282" s="38" t="str">
        <f>IF('Curve Header Data'!A283="","",'Curve Header Data'!A283)</f>
        <v/>
      </c>
      <c r="B282" s="38" t="str">
        <f>IF('Curve Header Data'!C283="","",'Curve Header Data'!C283)</f>
        <v/>
      </c>
      <c r="C282" s="38" t="str">
        <f>IF('Curve Header Data'!D283="","",'Curve Header Data'!D283)</f>
        <v/>
      </c>
      <c r="D282" s="38" t="str">
        <f>IF('Curve Header Data'!E283="","",'Curve Header Data'!E283)</f>
        <v/>
      </c>
      <c r="E282" s="38" t="str">
        <f>IF('Curve Header Data'!B283="","",'Curve Header Data'!B283)</f>
        <v/>
      </c>
      <c r="F282" s="38" t="str">
        <f>IF('Curve Header Data'!K283="","",'Curve Header Data'!K283*$E$2)</f>
        <v/>
      </c>
      <c r="G282" s="38" t="str">
        <f>IF('Curve Header Data'!L283="","",'Curve Header Data'!L283*$E$2)</f>
        <v/>
      </c>
      <c r="H282" s="38">
        <f>IF('Curve Header Data'!N283="","",'Curve Header Data'!N283)</f>
        <v>1</v>
      </c>
      <c r="I282" s="38">
        <f>IF('Curve Header Data'!O283="","",'Curve Header Data'!O283)</f>
        <v>5</v>
      </c>
      <c r="J282" s="27">
        <f>IF('Curve Header Data'!M283="","",'Curve Header Data'!M283)</f>
        <v>273</v>
      </c>
      <c r="K282" s="27" t="str">
        <f>IF('Curve Header Data'!G283="","",'Curve Header Data'!G283)</f>
        <v/>
      </c>
      <c r="L282" s="27" t="str">
        <f>IF('Curve Header Data'!H283="","",'Curve Header Data'!H283)</f>
        <v/>
      </c>
      <c r="M282" s="27" t="str">
        <f>IF('Curve Header Data'!I283="","",'Curve Header Data'!I283)</f>
        <v/>
      </c>
      <c r="N282" s="27" t="str">
        <f>IF('Curve Header Data'!J283="","",'Curve Header Data'!J283*$E$3)</f>
        <v/>
      </c>
      <c r="O282" s="27" t="str">
        <f>IF('Curve Header Data'!S283="","",'Curve Header Data'!S283*$J$2)</f>
        <v/>
      </c>
      <c r="P282" s="27" t="str">
        <f>IF('Curve Header Data'!T283="","",'Curve Header Data'!T283*$J$3)</f>
        <v/>
      </c>
      <c r="Q282" s="27" t="str">
        <f>IF('Curve Header Data'!U283="","",'Curve Header Data'!U283)</f>
        <v/>
      </c>
      <c r="R282" s="27" t="str">
        <f>IF('Curve Header Data'!V283="","",'Curve Header Data'!V283)</f>
        <v/>
      </c>
      <c r="S282" s="27" t="str">
        <f>IF('Curve Header Data'!W283="","",'Curve Header Data'!W283)</f>
        <v/>
      </c>
    </row>
    <row r="283" spans="1:19" x14ac:dyDescent="0.2">
      <c r="A283" s="38" t="str">
        <f>IF('Curve Header Data'!A284="","",'Curve Header Data'!A284)</f>
        <v/>
      </c>
      <c r="B283" s="38" t="str">
        <f>IF('Curve Header Data'!C284="","",'Curve Header Data'!C284)</f>
        <v/>
      </c>
      <c r="C283" s="38" t="str">
        <f>IF('Curve Header Data'!D284="","",'Curve Header Data'!D284)</f>
        <v/>
      </c>
      <c r="D283" s="38" t="str">
        <f>IF('Curve Header Data'!E284="","",'Curve Header Data'!E284)</f>
        <v/>
      </c>
      <c r="E283" s="38" t="str">
        <f>IF('Curve Header Data'!B284="","",'Curve Header Data'!B284)</f>
        <v/>
      </c>
      <c r="F283" s="38" t="str">
        <f>IF('Curve Header Data'!K284="","",'Curve Header Data'!K284*$E$2)</f>
        <v/>
      </c>
      <c r="G283" s="38" t="str">
        <f>IF('Curve Header Data'!L284="","",'Curve Header Data'!L284*$E$2)</f>
        <v/>
      </c>
      <c r="H283" s="38">
        <f>IF('Curve Header Data'!N284="","",'Curve Header Data'!N284)</f>
        <v>1</v>
      </c>
      <c r="I283" s="38">
        <f>IF('Curve Header Data'!O284="","",'Curve Header Data'!O284)</f>
        <v>5</v>
      </c>
      <c r="J283" s="27">
        <f>IF('Curve Header Data'!M284="","",'Curve Header Data'!M284)</f>
        <v>274</v>
      </c>
      <c r="K283" s="27" t="str">
        <f>IF('Curve Header Data'!G284="","",'Curve Header Data'!G284)</f>
        <v/>
      </c>
      <c r="L283" s="27" t="str">
        <f>IF('Curve Header Data'!H284="","",'Curve Header Data'!H284)</f>
        <v/>
      </c>
      <c r="M283" s="27" t="str">
        <f>IF('Curve Header Data'!I284="","",'Curve Header Data'!I284)</f>
        <v/>
      </c>
      <c r="N283" s="27" t="str">
        <f>IF('Curve Header Data'!J284="","",'Curve Header Data'!J284*$E$3)</f>
        <v/>
      </c>
      <c r="O283" s="27" t="str">
        <f>IF('Curve Header Data'!S284="","",'Curve Header Data'!S284*$J$2)</f>
        <v/>
      </c>
      <c r="P283" s="27" t="str">
        <f>IF('Curve Header Data'!T284="","",'Curve Header Data'!T284*$J$3)</f>
        <v/>
      </c>
      <c r="Q283" s="27" t="str">
        <f>IF('Curve Header Data'!U284="","",'Curve Header Data'!U284)</f>
        <v/>
      </c>
      <c r="R283" s="27" t="str">
        <f>IF('Curve Header Data'!V284="","",'Curve Header Data'!V284)</f>
        <v/>
      </c>
      <c r="S283" s="27" t="str">
        <f>IF('Curve Header Data'!W284="","",'Curve Header Data'!W284)</f>
        <v/>
      </c>
    </row>
    <row r="284" spans="1:19" x14ac:dyDescent="0.2">
      <c r="A284" s="38" t="str">
        <f>IF('Curve Header Data'!A285="","",'Curve Header Data'!A285)</f>
        <v/>
      </c>
      <c r="B284" s="38" t="str">
        <f>IF('Curve Header Data'!C285="","",'Curve Header Data'!C285)</f>
        <v/>
      </c>
      <c r="C284" s="38" t="str">
        <f>IF('Curve Header Data'!D285="","",'Curve Header Data'!D285)</f>
        <v/>
      </c>
      <c r="D284" s="38" t="str">
        <f>IF('Curve Header Data'!E285="","",'Curve Header Data'!E285)</f>
        <v/>
      </c>
      <c r="E284" s="38" t="str">
        <f>IF('Curve Header Data'!B285="","",'Curve Header Data'!B285)</f>
        <v/>
      </c>
      <c r="F284" s="38" t="str">
        <f>IF('Curve Header Data'!K285="","",'Curve Header Data'!K285*$E$2)</f>
        <v/>
      </c>
      <c r="G284" s="38" t="str">
        <f>IF('Curve Header Data'!L285="","",'Curve Header Data'!L285*$E$2)</f>
        <v/>
      </c>
      <c r="H284" s="38">
        <f>IF('Curve Header Data'!N285="","",'Curve Header Data'!N285)</f>
        <v>1</v>
      </c>
      <c r="I284" s="38">
        <f>IF('Curve Header Data'!O285="","",'Curve Header Data'!O285)</f>
        <v>5</v>
      </c>
      <c r="J284" s="27">
        <f>IF('Curve Header Data'!M285="","",'Curve Header Data'!M285)</f>
        <v>275</v>
      </c>
      <c r="K284" s="27" t="str">
        <f>IF('Curve Header Data'!G285="","",'Curve Header Data'!G285)</f>
        <v/>
      </c>
      <c r="L284" s="27" t="str">
        <f>IF('Curve Header Data'!H285="","",'Curve Header Data'!H285)</f>
        <v/>
      </c>
      <c r="M284" s="27" t="str">
        <f>IF('Curve Header Data'!I285="","",'Curve Header Data'!I285)</f>
        <v/>
      </c>
      <c r="N284" s="27" t="str">
        <f>IF('Curve Header Data'!J285="","",'Curve Header Data'!J285*$E$3)</f>
        <v/>
      </c>
      <c r="O284" s="27" t="str">
        <f>IF('Curve Header Data'!S285="","",'Curve Header Data'!S285*$J$2)</f>
        <v/>
      </c>
      <c r="P284" s="27" t="str">
        <f>IF('Curve Header Data'!T285="","",'Curve Header Data'!T285*$J$3)</f>
        <v/>
      </c>
      <c r="Q284" s="27" t="str">
        <f>IF('Curve Header Data'!U285="","",'Curve Header Data'!U285)</f>
        <v/>
      </c>
      <c r="R284" s="27" t="str">
        <f>IF('Curve Header Data'!V285="","",'Curve Header Data'!V285)</f>
        <v/>
      </c>
      <c r="S284" s="27" t="str">
        <f>IF('Curve Header Data'!W285="","",'Curve Header Data'!W285)</f>
        <v/>
      </c>
    </row>
    <row r="285" spans="1:19" x14ac:dyDescent="0.2">
      <c r="A285" s="38" t="str">
        <f>IF('Curve Header Data'!A286="","",'Curve Header Data'!A286)</f>
        <v/>
      </c>
      <c r="B285" s="38" t="str">
        <f>IF('Curve Header Data'!C286="","",'Curve Header Data'!C286)</f>
        <v/>
      </c>
      <c r="C285" s="38" t="str">
        <f>IF('Curve Header Data'!D286="","",'Curve Header Data'!D286)</f>
        <v/>
      </c>
      <c r="D285" s="38" t="str">
        <f>IF('Curve Header Data'!E286="","",'Curve Header Data'!E286)</f>
        <v/>
      </c>
      <c r="E285" s="38" t="str">
        <f>IF('Curve Header Data'!B286="","",'Curve Header Data'!B286)</f>
        <v/>
      </c>
      <c r="F285" s="38" t="str">
        <f>IF('Curve Header Data'!K286="","",'Curve Header Data'!K286*$E$2)</f>
        <v/>
      </c>
      <c r="G285" s="38" t="str">
        <f>IF('Curve Header Data'!L286="","",'Curve Header Data'!L286*$E$2)</f>
        <v/>
      </c>
      <c r="H285" s="38">
        <f>IF('Curve Header Data'!N286="","",'Curve Header Data'!N286)</f>
        <v>1</v>
      </c>
      <c r="I285" s="38">
        <f>IF('Curve Header Data'!O286="","",'Curve Header Data'!O286)</f>
        <v>5</v>
      </c>
      <c r="J285" s="27">
        <f>IF('Curve Header Data'!M286="","",'Curve Header Data'!M286)</f>
        <v>276</v>
      </c>
      <c r="K285" s="27" t="str">
        <f>IF('Curve Header Data'!G286="","",'Curve Header Data'!G286)</f>
        <v/>
      </c>
      <c r="L285" s="27" t="str">
        <f>IF('Curve Header Data'!H286="","",'Curve Header Data'!H286)</f>
        <v/>
      </c>
      <c r="M285" s="27" t="str">
        <f>IF('Curve Header Data'!I286="","",'Curve Header Data'!I286)</f>
        <v/>
      </c>
      <c r="N285" s="27" t="str">
        <f>IF('Curve Header Data'!J286="","",'Curve Header Data'!J286*$E$3)</f>
        <v/>
      </c>
      <c r="O285" s="27" t="str">
        <f>IF('Curve Header Data'!S286="","",'Curve Header Data'!S286*$J$2)</f>
        <v/>
      </c>
      <c r="P285" s="27" t="str">
        <f>IF('Curve Header Data'!T286="","",'Curve Header Data'!T286*$J$3)</f>
        <v/>
      </c>
      <c r="Q285" s="27" t="str">
        <f>IF('Curve Header Data'!U286="","",'Curve Header Data'!U286)</f>
        <v/>
      </c>
      <c r="R285" s="27" t="str">
        <f>IF('Curve Header Data'!V286="","",'Curve Header Data'!V286)</f>
        <v/>
      </c>
      <c r="S285" s="27" t="str">
        <f>IF('Curve Header Data'!W286="","",'Curve Header Data'!W286)</f>
        <v/>
      </c>
    </row>
    <row r="286" spans="1:19" x14ac:dyDescent="0.2">
      <c r="A286" s="38" t="str">
        <f>IF('Curve Header Data'!A287="","",'Curve Header Data'!A287)</f>
        <v/>
      </c>
      <c r="B286" s="38" t="str">
        <f>IF('Curve Header Data'!C287="","",'Curve Header Data'!C287)</f>
        <v/>
      </c>
      <c r="C286" s="38" t="str">
        <f>IF('Curve Header Data'!D287="","",'Curve Header Data'!D287)</f>
        <v/>
      </c>
      <c r="D286" s="38" t="str">
        <f>IF('Curve Header Data'!E287="","",'Curve Header Data'!E287)</f>
        <v/>
      </c>
      <c r="E286" s="38" t="str">
        <f>IF('Curve Header Data'!B287="","",'Curve Header Data'!B287)</f>
        <v/>
      </c>
      <c r="F286" s="38" t="str">
        <f>IF('Curve Header Data'!K287="","",'Curve Header Data'!K287*$E$2)</f>
        <v/>
      </c>
      <c r="G286" s="38" t="str">
        <f>IF('Curve Header Data'!L287="","",'Curve Header Data'!L287*$E$2)</f>
        <v/>
      </c>
      <c r="H286" s="38">
        <f>IF('Curve Header Data'!N287="","",'Curve Header Data'!N287)</f>
        <v>1</v>
      </c>
      <c r="I286" s="38">
        <f>IF('Curve Header Data'!O287="","",'Curve Header Data'!O287)</f>
        <v>5</v>
      </c>
      <c r="J286" s="27">
        <f>IF('Curve Header Data'!M287="","",'Curve Header Data'!M287)</f>
        <v>277</v>
      </c>
      <c r="K286" s="27" t="str">
        <f>IF('Curve Header Data'!G287="","",'Curve Header Data'!G287)</f>
        <v/>
      </c>
      <c r="L286" s="27" t="str">
        <f>IF('Curve Header Data'!H287="","",'Curve Header Data'!H287)</f>
        <v/>
      </c>
      <c r="M286" s="27" t="str">
        <f>IF('Curve Header Data'!I287="","",'Curve Header Data'!I287)</f>
        <v/>
      </c>
      <c r="N286" s="27" t="str">
        <f>IF('Curve Header Data'!J287="","",'Curve Header Data'!J287*$E$3)</f>
        <v/>
      </c>
      <c r="O286" s="27" t="str">
        <f>IF('Curve Header Data'!S287="","",'Curve Header Data'!S287*$J$2)</f>
        <v/>
      </c>
      <c r="P286" s="27" t="str">
        <f>IF('Curve Header Data'!T287="","",'Curve Header Data'!T287*$J$3)</f>
        <v/>
      </c>
      <c r="Q286" s="27" t="str">
        <f>IF('Curve Header Data'!U287="","",'Curve Header Data'!U287)</f>
        <v/>
      </c>
      <c r="R286" s="27" t="str">
        <f>IF('Curve Header Data'!V287="","",'Curve Header Data'!V287)</f>
        <v/>
      </c>
      <c r="S286" s="27" t="str">
        <f>IF('Curve Header Data'!W287="","",'Curve Header Data'!W287)</f>
        <v/>
      </c>
    </row>
    <row r="287" spans="1:19" x14ac:dyDescent="0.2">
      <c r="A287" s="38" t="str">
        <f>IF('Curve Header Data'!A288="","",'Curve Header Data'!A288)</f>
        <v/>
      </c>
      <c r="B287" s="38" t="str">
        <f>IF('Curve Header Data'!C288="","",'Curve Header Data'!C288)</f>
        <v/>
      </c>
      <c r="C287" s="38" t="str">
        <f>IF('Curve Header Data'!D288="","",'Curve Header Data'!D288)</f>
        <v/>
      </c>
      <c r="D287" s="38" t="str">
        <f>IF('Curve Header Data'!E288="","",'Curve Header Data'!E288)</f>
        <v/>
      </c>
      <c r="E287" s="38" t="str">
        <f>IF('Curve Header Data'!B288="","",'Curve Header Data'!B288)</f>
        <v/>
      </c>
      <c r="F287" s="38" t="str">
        <f>IF('Curve Header Data'!K288="","",'Curve Header Data'!K288*$E$2)</f>
        <v/>
      </c>
      <c r="G287" s="38" t="str">
        <f>IF('Curve Header Data'!L288="","",'Curve Header Data'!L288*$E$2)</f>
        <v/>
      </c>
      <c r="H287" s="38">
        <f>IF('Curve Header Data'!N288="","",'Curve Header Data'!N288)</f>
        <v>1</v>
      </c>
      <c r="I287" s="38">
        <f>IF('Curve Header Data'!O288="","",'Curve Header Data'!O288)</f>
        <v>5</v>
      </c>
      <c r="J287" s="27">
        <f>IF('Curve Header Data'!M288="","",'Curve Header Data'!M288)</f>
        <v>278</v>
      </c>
      <c r="K287" s="27" t="str">
        <f>IF('Curve Header Data'!G288="","",'Curve Header Data'!G288)</f>
        <v/>
      </c>
      <c r="L287" s="27" t="str">
        <f>IF('Curve Header Data'!H288="","",'Curve Header Data'!H288)</f>
        <v/>
      </c>
      <c r="M287" s="27" t="str">
        <f>IF('Curve Header Data'!I288="","",'Curve Header Data'!I288)</f>
        <v/>
      </c>
      <c r="N287" s="27" t="str">
        <f>IF('Curve Header Data'!J288="","",'Curve Header Data'!J288*$E$3)</f>
        <v/>
      </c>
      <c r="O287" s="27" t="str">
        <f>IF('Curve Header Data'!S288="","",'Curve Header Data'!S288*$J$2)</f>
        <v/>
      </c>
      <c r="P287" s="27" t="str">
        <f>IF('Curve Header Data'!T288="","",'Curve Header Data'!T288*$J$3)</f>
        <v/>
      </c>
      <c r="Q287" s="27" t="str">
        <f>IF('Curve Header Data'!U288="","",'Curve Header Data'!U288)</f>
        <v/>
      </c>
      <c r="R287" s="27" t="str">
        <f>IF('Curve Header Data'!V288="","",'Curve Header Data'!V288)</f>
        <v/>
      </c>
      <c r="S287" s="27" t="str">
        <f>IF('Curve Header Data'!W288="","",'Curve Header Data'!W288)</f>
        <v/>
      </c>
    </row>
    <row r="288" spans="1:19" x14ac:dyDescent="0.2">
      <c r="A288" s="38" t="str">
        <f>IF('Curve Header Data'!A289="","",'Curve Header Data'!A289)</f>
        <v/>
      </c>
      <c r="B288" s="38" t="str">
        <f>IF('Curve Header Data'!C289="","",'Curve Header Data'!C289)</f>
        <v/>
      </c>
      <c r="C288" s="38" t="str">
        <f>IF('Curve Header Data'!D289="","",'Curve Header Data'!D289)</f>
        <v/>
      </c>
      <c r="D288" s="38" t="str">
        <f>IF('Curve Header Data'!E289="","",'Curve Header Data'!E289)</f>
        <v/>
      </c>
      <c r="E288" s="38" t="str">
        <f>IF('Curve Header Data'!B289="","",'Curve Header Data'!B289)</f>
        <v/>
      </c>
      <c r="F288" s="38" t="str">
        <f>IF('Curve Header Data'!K289="","",'Curve Header Data'!K289*$E$2)</f>
        <v/>
      </c>
      <c r="G288" s="38" t="str">
        <f>IF('Curve Header Data'!L289="","",'Curve Header Data'!L289*$E$2)</f>
        <v/>
      </c>
      <c r="H288" s="38">
        <f>IF('Curve Header Data'!N289="","",'Curve Header Data'!N289)</f>
        <v>1</v>
      </c>
      <c r="I288" s="38">
        <f>IF('Curve Header Data'!O289="","",'Curve Header Data'!O289)</f>
        <v>5</v>
      </c>
      <c r="J288" s="27">
        <f>IF('Curve Header Data'!M289="","",'Curve Header Data'!M289)</f>
        <v>279</v>
      </c>
      <c r="K288" s="27" t="str">
        <f>IF('Curve Header Data'!G289="","",'Curve Header Data'!G289)</f>
        <v/>
      </c>
      <c r="L288" s="27" t="str">
        <f>IF('Curve Header Data'!H289="","",'Curve Header Data'!H289)</f>
        <v/>
      </c>
      <c r="M288" s="27" t="str">
        <f>IF('Curve Header Data'!I289="","",'Curve Header Data'!I289)</f>
        <v/>
      </c>
      <c r="N288" s="27" t="str">
        <f>IF('Curve Header Data'!J289="","",'Curve Header Data'!J289*$E$3)</f>
        <v/>
      </c>
      <c r="O288" s="27" t="str">
        <f>IF('Curve Header Data'!S289="","",'Curve Header Data'!S289*$J$2)</f>
        <v/>
      </c>
      <c r="P288" s="27" t="str">
        <f>IF('Curve Header Data'!T289="","",'Curve Header Data'!T289*$J$3)</f>
        <v/>
      </c>
      <c r="Q288" s="27" t="str">
        <f>IF('Curve Header Data'!U289="","",'Curve Header Data'!U289)</f>
        <v/>
      </c>
      <c r="R288" s="27" t="str">
        <f>IF('Curve Header Data'!V289="","",'Curve Header Data'!V289)</f>
        <v/>
      </c>
      <c r="S288" s="27" t="str">
        <f>IF('Curve Header Data'!W289="","",'Curve Header Data'!W289)</f>
        <v/>
      </c>
    </row>
    <row r="289" spans="1:19" x14ac:dyDescent="0.2">
      <c r="A289" s="38" t="str">
        <f>IF('Curve Header Data'!A290="","",'Curve Header Data'!A290)</f>
        <v/>
      </c>
      <c r="B289" s="38" t="str">
        <f>IF('Curve Header Data'!C290="","",'Curve Header Data'!C290)</f>
        <v/>
      </c>
      <c r="C289" s="38" t="str">
        <f>IF('Curve Header Data'!D290="","",'Curve Header Data'!D290)</f>
        <v/>
      </c>
      <c r="D289" s="38" t="str">
        <f>IF('Curve Header Data'!E290="","",'Curve Header Data'!E290)</f>
        <v/>
      </c>
      <c r="E289" s="38" t="str">
        <f>IF('Curve Header Data'!B290="","",'Curve Header Data'!B290)</f>
        <v/>
      </c>
      <c r="F289" s="38" t="str">
        <f>IF('Curve Header Data'!K290="","",'Curve Header Data'!K290*$E$2)</f>
        <v/>
      </c>
      <c r="G289" s="38" t="str">
        <f>IF('Curve Header Data'!L290="","",'Curve Header Data'!L290*$E$2)</f>
        <v/>
      </c>
      <c r="H289" s="38">
        <f>IF('Curve Header Data'!N290="","",'Curve Header Data'!N290)</f>
        <v>1</v>
      </c>
      <c r="I289" s="38">
        <f>IF('Curve Header Data'!O290="","",'Curve Header Data'!O290)</f>
        <v>5</v>
      </c>
      <c r="J289" s="27">
        <f>IF('Curve Header Data'!M290="","",'Curve Header Data'!M290)</f>
        <v>280</v>
      </c>
      <c r="K289" s="27" t="str">
        <f>IF('Curve Header Data'!G290="","",'Curve Header Data'!G290)</f>
        <v/>
      </c>
      <c r="L289" s="27" t="str">
        <f>IF('Curve Header Data'!H290="","",'Curve Header Data'!H290)</f>
        <v/>
      </c>
      <c r="M289" s="27" t="str">
        <f>IF('Curve Header Data'!I290="","",'Curve Header Data'!I290)</f>
        <v/>
      </c>
      <c r="N289" s="27" t="str">
        <f>IF('Curve Header Data'!J290="","",'Curve Header Data'!J290*$E$3)</f>
        <v/>
      </c>
      <c r="O289" s="27" t="str">
        <f>IF('Curve Header Data'!S290="","",'Curve Header Data'!S290*$J$2)</f>
        <v/>
      </c>
      <c r="P289" s="27" t="str">
        <f>IF('Curve Header Data'!T290="","",'Curve Header Data'!T290*$J$3)</f>
        <v/>
      </c>
      <c r="Q289" s="27" t="str">
        <f>IF('Curve Header Data'!U290="","",'Curve Header Data'!U290)</f>
        <v/>
      </c>
      <c r="R289" s="27" t="str">
        <f>IF('Curve Header Data'!V290="","",'Curve Header Data'!V290)</f>
        <v/>
      </c>
      <c r="S289" s="27" t="str">
        <f>IF('Curve Header Data'!W290="","",'Curve Header Data'!W290)</f>
        <v/>
      </c>
    </row>
    <row r="290" spans="1:19" x14ac:dyDescent="0.2">
      <c r="A290" s="38" t="str">
        <f>IF('Curve Header Data'!A291="","",'Curve Header Data'!A291)</f>
        <v/>
      </c>
      <c r="B290" s="38" t="str">
        <f>IF('Curve Header Data'!C291="","",'Curve Header Data'!C291)</f>
        <v/>
      </c>
      <c r="C290" s="38" t="str">
        <f>IF('Curve Header Data'!D291="","",'Curve Header Data'!D291)</f>
        <v/>
      </c>
      <c r="D290" s="38" t="str">
        <f>IF('Curve Header Data'!E291="","",'Curve Header Data'!E291)</f>
        <v/>
      </c>
      <c r="E290" s="38" t="str">
        <f>IF('Curve Header Data'!B291="","",'Curve Header Data'!B291)</f>
        <v/>
      </c>
      <c r="F290" s="38" t="str">
        <f>IF('Curve Header Data'!K291="","",'Curve Header Data'!K291*$E$2)</f>
        <v/>
      </c>
      <c r="G290" s="38" t="str">
        <f>IF('Curve Header Data'!L291="","",'Curve Header Data'!L291*$E$2)</f>
        <v/>
      </c>
      <c r="H290" s="38">
        <f>IF('Curve Header Data'!N291="","",'Curve Header Data'!N291)</f>
        <v>1</v>
      </c>
      <c r="I290" s="38">
        <f>IF('Curve Header Data'!O291="","",'Curve Header Data'!O291)</f>
        <v>5</v>
      </c>
      <c r="J290" s="27">
        <f>IF('Curve Header Data'!M291="","",'Curve Header Data'!M291)</f>
        <v>281</v>
      </c>
      <c r="K290" s="27" t="str">
        <f>IF('Curve Header Data'!G291="","",'Curve Header Data'!G291)</f>
        <v/>
      </c>
      <c r="L290" s="27" t="str">
        <f>IF('Curve Header Data'!H291="","",'Curve Header Data'!H291)</f>
        <v/>
      </c>
      <c r="M290" s="27" t="str">
        <f>IF('Curve Header Data'!I291="","",'Curve Header Data'!I291)</f>
        <v/>
      </c>
      <c r="N290" s="27" t="str">
        <f>IF('Curve Header Data'!J291="","",'Curve Header Data'!J291*$E$3)</f>
        <v/>
      </c>
      <c r="O290" s="27" t="str">
        <f>IF('Curve Header Data'!S291="","",'Curve Header Data'!S291*$J$2)</f>
        <v/>
      </c>
      <c r="P290" s="27" t="str">
        <f>IF('Curve Header Data'!T291="","",'Curve Header Data'!T291*$J$3)</f>
        <v/>
      </c>
      <c r="Q290" s="27" t="str">
        <f>IF('Curve Header Data'!U291="","",'Curve Header Data'!U291)</f>
        <v/>
      </c>
      <c r="R290" s="27" t="str">
        <f>IF('Curve Header Data'!V291="","",'Curve Header Data'!V291)</f>
        <v/>
      </c>
      <c r="S290" s="27" t="str">
        <f>IF('Curve Header Data'!W291="","",'Curve Header Data'!W291)</f>
        <v/>
      </c>
    </row>
    <row r="291" spans="1:19" x14ac:dyDescent="0.2">
      <c r="A291" s="38" t="str">
        <f>IF('Curve Header Data'!A292="","",'Curve Header Data'!A292)</f>
        <v/>
      </c>
      <c r="B291" s="38" t="str">
        <f>IF('Curve Header Data'!C292="","",'Curve Header Data'!C292)</f>
        <v/>
      </c>
      <c r="C291" s="38" t="str">
        <f>IF('Curve Header Data'!D292="","",'Curve Header Data'!D292)</f>
        <v/>
      </c>
      <c r="D291" s="38" t="str">
        <f>IF('Curve Header Data'!E292="","",'Curve Header Data'!E292)</f>
        <v/>
      </c>
      <c r="E291" s="38" t="str">
        <f>IF('Curve Header Data'!B292="","",'Curve Header Data'!B292)</f>
        <v/>
      </c>
      <c r="F291" s="38" t="str">
        <f>IF('Curve Header Data'!K292="","",'Curve Header Data'!K292*$E$2)</f>
        <v/>
      </c>
      <c r="G291" s="38" t="str">
        <f>IF('Curve Header Data'!L292="","",'Curve Header Data'!L292*$E$2)</f>
        <v/>
      </c>
      <c r="H291" s="38">
        <f>IF('Curve Header Data'!N292="","",'Curve Header Data'!N292)</f>
        <v>1</v>
      </c>
      <c r="I291" s="38">
        <f>IF('Curve Header Data'!O292="","",'Curve Header Data'!O292)</f>
        <v>5</v>
      </c>
      <c r="J291" s="27">
        <f>IF('Curve Header Data'!M292="","",'Curve Header Data'!M292)</f>
        <v>282</v>
      </c>
      <c r="K291" s="27" t="str">
        <f>IF('Curve Header Data'!G292="","",'Curve Header Data'!G292)</f>
        <v/>
      </c>
      <c r="L291" s="27" t="str">
        <f>IF('Curve Header Data'!H292="","",'Curve Header Data'!H292)</f>
        <v/>
      </c>
      <c r="M291" s="27" t="str">
        <f>IF('Curve Header Data'!I292="","",'Curve Header Data'!I292)</f>
        <v/>
      </c>
      <c r="N291" s="27" t="str">
        <f>IF('Curve Header Data'!J292="","",'Curve Header Data'!J292*$E$3)</f>
        <v/>
      </c>
      <c r="O291" s="27" t="str">
        <f>IF('Curve Header Data'!S292="","",'Curve Header Data'!S292*$J$2)</f>
        <v/>
      </c>
      <c r="P291" s="27" t="str">
        <f>IF('Curve Header Data'!T292="","",'Curve Header Data'!T292*$J$3)</f>
        <v/>
      </c>
      <c r="Q291" s="27" t="str">
        <f>IF('Curve Header Data'!U292="","",'Curve Header Data'!U292)</f>
        <v/>
      </c>
      <c r="R291" s="27" t="str">
        <f>IF('Curve Header Data'!V292="","",'Curve Header Data'!V292)</f>
        <v/>
      </c>
      <c r="S291" s="27" t="str">
        <f>IF('Curve Header Data'!W292="","",'Curve Header Data'!W292)</f>
        <v/>
      </c>
    </row>
    <row r="292" spans="1:19" x14ac:dyDescent="0.2">
      <c r="A292" s="38" t="str">
        <f>IF('Curve Header Data'!A293="","",'Curve Header Data'!A293)</f>
        <v/>
      </c>
      <c r="B292" s="38" t="str">
        <f>IF('Curve Header Data'!C293="","",'Curve Header Data'!C293)</f>
        <v/>
      </c>
      <c r="C292" s="38" t="str">
        <f>IF('Curve Header Data'!D293="","",'Curve Header Data'!D293)</f>
        <v/>
      </c>
      <c r="D292" s="38" t="str">
        <f>IF('Curve Header Data'!E293="","",'Curve Header Data'!E293)</f>
        <v/>
      </c>
      <c r="E292" s="38" t="str">
        <f>IF('Curve Header Data'!B293="","",'Curve Header Data'!B293)</f>
        <v/>
      </c>
      <c r="F292" s="38" t="str">
        <f>IF('Curve Header Data'!K293="","",'Curve Header Data'!K293*$E$2)</f>
        <v/>
      </c>
      <c r="G292" s="38" t="str">
        <f>IF('Curve Header Data'!L293="","",'Curve Header Data'!L293*$E$2)</f>
        <v/>
      </c>
      <c r="H292" s="38">
        <f>IF('Curve Header Data'!N293="","",'Curve Header Data'!N293)</f>
        <v>1</v>
      </c>
      <c r="I292" s="38">
        <f>IF('Curve Header Data'!O293="","",'Curve Header Data'!O293)</f>
        <v>5</v>
      </c>
      <c r="J292" s="27">
        <f>IF('Curve Header Data'!M293="","",'Curve Header Data'!M293)</f>
        <v>283</v>
      </c>
      <c r="K292" s="27" t="str">
        <f>IF('Curve Header Data'!G293="","",'Curve Header Data'!G293)</f>
        <v/>
      </c>
      <c r="L292" s="27" t="str">
        <f>IF('Curve Header Data'!H293="","",'Curve Header Data'!H293)</f>
        <v/>
      </c>
      <c r="M292" s="27" t="str">
        <f>IF('Curve Header Data'!I293="","",'Curve Header Data'!I293)</f>
        <v/>
      </c>
      <c r="N292" s="27" t="str">
        <f>IF('Curve Header Data'!J293="","",'Curve Header Data'!J293*$E$3)</f>
        <v/>
      </c>
      <c r="O292" s="27" t="str">
        <f>IF('Curve Header Data'!S293="","",'Curve Header Data'!S293*$J$2)</f>
        <v/>
      </c>
      <c r="P292" s="27" t="str">
        <f>IF('Curve Header Data'!T293="","",'Curve Header Data'!T293*$J$3)</f>
        <v/>
      </c>
      <c r="Q292" s="27" t="str">
        <f>IF('Curve Header Data'!U293="","",'Curve Header Data'!U293)</f>
        <v/>
      </c>
      <c r="R292" s="27" t="str">
        <f>IF('Curve Header Data'!V293="","",'Curve Header Data'!V293)</f>
        <v/>
      </c>
      <c r="S292" s="27" t="str">
        <f>IF('Curve Header Data'!W293="","",'Curve Header Data'!W293)</f>
        <v/>
      </c>
    </row>
    <row r="293" spans="1:19" x14ac:dyDescent="0.2">
      <c r="A293" s="38" t="str">
        <f>IF('Curve Header Data'!A294="","",'Curve Header Data'!A294)</f>
        <v/>
      </c>
      <c r="B293" s="38" t="str">
        <f>IF('Curve Header Data'!C294="","",'Curve Header Data'!C294)</f>
        <v/>
      </c>
      <c r="C293" s="38" t="str">
        <f>IF('Curve Header Data'!D294="","",'Curve Header Data'!D294)</f>
        <v/>
      </c>
      <c r="D293" s="38" t="str">
        <f>IF('Curve Header Data'!E294="","",'Curve Header Data'!E294)</f>
        <v/>
      </c>
      <c r="E293" s="38" t="str">
        <f>IF('Curve Header Data'!B294="","",'Curve Header Data'!B294)</f>
        <v/>
      </c>
      <c r="F293" s="38" t="str">
        <f>IF('Curve Header Data'!K294="","",'Curve Header Data'!K294*$E$2)</f>
        <v/>
      </c>
      <c r="G293" s="38" t="str">
        <f>IF('Curve Header Data'!L294="","",'Curve Header Data'!L294*$E$2)</f>
        <v/>
      </c>
      <c r="H293" s="38">
        <f>IF('Curve Header Data'!N294="","",'Curve Header Data'!N294)</f>
        <v>1</v>
      </c>
      <c r="I293" s="38">
        <f>IF('Curve Header Data'!O294="","",'Curve Header Data'!O294)</f>
        <v>5</v>
      </c>
      <c r="J293" s="27">
        <f>IF('Curve Header Data'!M294="","",'Curve Header Data'!M294)</f>
        <v>284</v>
      </c>
      <c r="K293" s="27" t="str">
        <f>IF('Curve Header Data'!G294="","",'Curve Header Data'!G294)</f>
        <v/>
      </c>
      <c r="L293" s="27" t="str">
        <f>IF('Curve Header Data'!H294="","",'Curve Header Data'!H294)</f>
        <v/>
      </c>
      <c r="M293" s="27" t="str">
        <f>IF('Curve Header Data'!I294="","",'Curve Header Data'!I294)</f>
        <v/>
      </c>
      <c r="N293" s="27" t="str">
        <f>IF('Curve Header Data'!J294="","",'Curve Header Data'!J294*$E$3)</f>
        <v/>
      </c>
      <c r="O293" s="27" t="str">
        <f>IF('Curve Header Data'!S294="","",'Curve Header Data'!S294*$J$2)</f>
        <v/>
      </c>
      <c r="P293" s="27" t="str">
        <f>IF('Curve Header Data'!T294="","",'Curve Header Data'!T294*$J$3)</f>
        <v/>
      </c>
      <c r="Q293" s="27" t="str">
        <f>IF('Curve Header Data'!U294="","",'Curve Header Data'!U294)</f>
        <v/>
      </c>
      <c r="R293" s="27" t="str">
        <f>IF('Curve Header Data'!V294="","",'Curve Header Data'!V294)</f>
        <v/>
      </c>
      <c r="S293" s="27" t="str">
        <f>IF('Curve Header Data'!W294="","",'Curve Header Data'!W294)</f>
        <v/>
      </c>
    </row>
    <row r="294" spans="1:19" x14ac:dyDescent="0.2">
      <c r="A294" s="38" t="str">
        <f>IF('Curve Header Data'!A295="","",'Curve Header Data'!A295)</f>
        <v/>
      </c>
      <c r="B294" s="38" t="str">
        <f>IF('Curve Header Data'!C295="","",'Curve Header Data'!C295)</f>
        <v/>
      </c>
      <c r="C294" s="38" t="str">
        <f>IF('Curve Header Data'!D295="","",'Curve Header Data'!D295)</f>
        <v/>
      </c>
      <c r="D294" s="38" t="str">
        <f>IF('Curve Header Data'!E295="","",'Curve Header Data'!E295)</f>
        <v/>
      </c>
      <c r="E294" s="38" t="str">
        <f>IF('Curve Header Data'!B295="","",'Curve Header Data'!B295)</f>
        <v/>
      </c>
      <c r="F294" s="38" t="str">
        <f>IF('Curve Header Data'!K295="","",'Curve Header Data'!K295*$E$2)</f>
        <v/>
      </c>
      <c r="G294" s="38" t="str">
        <f>IF('Curve Header Data'!L295="","",'Curve Header Data'!L295*$E$2)</f>
        <v/>
      </c>
      <c r="H294" s="38">
        <f>IF('Curve Header Data'!N295="","",'Curve Header Data'!N295)</f>
        <v>1</v>
      </c>
      <c r="I294" s="38">
        <f>IF('Curve Header Data'!O295="","",'Curve Header Data'!O295)</f>
        <v>5</v>
      </c>
      <c r="J294" s="27">
        <f>IF('Curve Header Data'!M295="","",'Curve Header Data'!M295)</f>
        <v>285</v>
      </c>
      <c r="K294" s="27" t="str">
        <f>IF('Curve Header Data'!G295="","",'Curve Header Data'!G295)</f>
        <v/>
      </c>
      <c r="L294" s="27" t="str">
        <f>IF('Curve Header Data'!H295="","",'Curve Header Data'!H295)</f>
        <v/>
      </c>
      <c r="M294" s="27" t="str">
        <f>IF('Curve Header Data'!I295="","",'Curve Header Data'!I295)</f>
        <v/>
      </c>
      <c r="N294" s="27" t="str">
        <f>IF('Curve Header Data'!J295="","",'Curve Header Data'!J295*$E$3)</f>
        <v/>
      </c>
      <c r="O294" s="27" t="str">
        <f>IF('Curve Header Data'!S295="","",'Curve Header Data'!S295*$J$2)</f>
        <v/>
      </c>
      <c r="P294" s="27" t="str">
        <f>IF('Curve Header Data'!T295="","",'Curve Header Data'!T295*$J$3)</f>
        <v/>
      </c>
      <c r="Q294" s="27" t="str">
        <f>IF('Curve Header Data'!U295="","",'Curve Header Data'!U295)</f>
        <v/>
      </c>
      <c r="R294" s="27" t="str">
        <f>IF('Curve Header Data'!V295="","",'Curve Header Data'!V295)</f>
        <v/>
      </c>
      <c r="S294" s="27" t="str">
        <f>IF('Curve Header Data'!W295="","",'Curve Header Data'!W295)</f>
        <v/>
      </c>
    </row>
    <row r="295" spans="1:19" x14ac:dyDescent="0.2">
      <c r="A295" s="38" t="str">
        <f>IF('Curve Header Data'!A296="","",'Curve Header Data'!A296)</f>
        <v/>
      </c>
      <c r="B295" s="38" t="str">
        <f>IF('Curve Header Data'!C296="","",'Curve Header Data'!C296)</f>
        <v/>
      </c>
      <c r="C295" s="38" t="str">
        <f>IF('Curve Header Data'!D296="","",'Curve Header Data'!D296)</f>
        <v/>
      </c>
      <c r="D295" s="38" t="str">
        <f>IF('Curve Header Data'!E296="","",'Curve Header Data'!E296)</f>
        <v/>
      </c>
      <c r="E295" s="38" t="str">
        <f>IF('Curve Header Data'!B296="","",'Curve Header Data'!B296)</f>
        <v/>
      </c>
      <c r="F295" s="38" t="str">
        <f>IF('Curve Header Data'!K296="","",'Curve Header Data'!K296*$E$2)</f>
        <v/>
      </c>
      <c r="G295" s="38" t="str">
        <f>IF('Curve Header Data'!L296="","",'Curve Header Data'!L296*$E$2)</f>
        <v/>
      </c>
      <c r="H295" s="38">
        <f>IF('Curve Header Data'!N296="","",'Curve Header Data'!N296)</f>
        <v>1</v>
      </c>
      <c r="I295" s="38">
        <f>IF('Curve Header Data'!O296="","",'Curve Header Data'!O296)</f>
        <v>5</v>
      </c>
      <c r="J295" s="27">
        <f>IF('Curve Header Data'!M296="","",'Curve Header Data'!M296)</f>
        <v>286</v>
      </c>
      <c r="K295" s="27" t="str">
        <f>IF('Curve Header Data'!G296="","",'Curve Header Data'!G296)</f>
        <v/>
      </c>
      <c r="L295" s="27" t="str">
        <f>IF('Curve Header Data'!H296="","",'Curve Header Data'!H296)</f>
        <v/>
      </c>
      <c r="M295" s="27" t="str">
        <f>IF('Curve Header Data'!I296="","",'Curve Header Data'!I296)</f>
        <v/>
      </c>
      <c r="N295" s="27" t="str">
        <f>IF('Curve Header Data'!J296="","",'Curve Header Data'!J296*$E$3)</f>
        <v/>
      </c>
      <c r="O295" s="27" t="str">
        <f>IF('Curve Header Data'!S296="","",'Curve Header Data'!S296*$J$2)</f>
        <v/>
      </c>
      <c r="P295" s="27" t="str">
        <f>IF('Curve Header Data'!T296="","",'Curve Header Data'!T296*$J$3)</f>
        <v/>
      </c>
      <c r="Q295" s="27" t="str">
        <f>IF('Curve Header Data'!U296="","",'Curve Header Data'!U296)</f>
        <v/>
      </c>
      <c r="R295" s="27" t="str">
        <f>IF('Curve Header Data'!V296="","",'Curve Header Data'!V296)</f>
        <v/>
      </c>
      <c r="S295" s="27" t="str">
        <f>IF('Curve Header Data'!W296="","",'Curve Header Data'!W296)</f>
        <v/>
      </c>
    </row>
    <row r="296" spans="1:19" x14ac:dyDescent="0.2">
      <c r="A296" s="38" t="str">
        <f>IF('Curve Header Data'!A297="","",'Curve Header Data'!A297)</f>
        <v/>
      </c>
      <c r="B296" s="38" t="str">
        <f>IF('Curve Header Data'!C297="","",'Curve Header Data'!C297)</f>
        <v/>
      </c>
      <c r="C296" s="38" t="str">
        <f>IF('Curve Header Data'!D297="","",'Curve Header Data'!D297)</f>
        <v/>
      </c>
      <c r="D296" s="38" t="str">
        <f>IF('Curve Header Data'!E297="","",'Curve Header Data'!E297)</f>
        <v/>
      </c>
      <c r="E296" s="38" t="str">
        <f>IF('Curve Header Data'!B297="","",'Curve Header Data'!B297)</f>
        <v/>
      </c>
      <c r="F296" s="38" t="str">
        <f>IF('Curve Header Data'!K297="","",'Curve Header Data'!K297*$E$2)</f>
        <v/>
      </c>
      <c r="G296" s="38" t="str">
        <f>IF('Curve Header Data'!L297="","",'Curve Header Data'!L297*$E$2)</f>
        <v/>
      </c>
      <c r="H296" s="38">
        <f>IF('Curve Header Data'!N297="","",'Curve Header Data'!N297)</f>
        <v>1</v>
      </c>
      <c r="I296" s="38">
        <f>IF('Curve Header Data'!O297="","",'Curve Header Data'!O297)</f>
        <v>5</v>
      </c>
      <c r="J296" s="27">
        <f>IF('Curve Header Data'!M297="","",'Curve Header Data'!M297)</f>
        <v>287</v>
      </c>
      <c r="K296" s="27" t="str">
        <f>IF('Curve Header Data'!G297="","",'Curve Header Data'!G297)</f>
        <v/>
      </c>
      <c r="L296" s="27" t="str">
        <f>IF('Curve Header Data'!H297="","",'Curve Header Data'!H297)</f>
        <v/>
      </c>
      <c r="M296" s="27" t="str">
        <f>IF('Curve Header Data'!I297="","",'Curve Header Data'!I297)</f>
        <v/>
      </c>
      <c r="N296" s="27" t="str">
        <f>IF('Curve Header Data'!J297="","",'Curve Header Data'!J297*$E$3)</f>
        <v/>
      </c>
      <c r="O296" s="27" t="str">
        <f>IF('Curve Header Data'!S297="","",'Curve Header Data'!S297*$J$2)</f>
        <v/>
      </c>
      <c r="P296" s="27" t="str">
        <f>IF('Curve Header Data'!T297="","",'Curve Header Data'!T297*$J$3)</f>
        <v/>
      </c>
      <c r="Q296" s="27" t="str">
        <f>IF('Curve Header Data'!U297="","",'Curve Header Data'!U297)</f>
        <v/>
      </c>
      <c r="R296" s="27" t="str">
        <f>IF('Curve Header Data'!V297="","",'Curve Header Data'!V297)</f>
        <v/>
      </c>
      <c r="S296" s="27" t="str">
        <f>IF('Curve Header Data'!W297="","",'Curve Header Data'!W297)</f>
        <v/>
      </c>
    </row>
    <row r="297" spans="1:19" x14ac:dyDescent="0.2">
      <c r="A297" s="38" t="str">
        <f>IF('Curve Header Data'!A298="","",'Curve Header Data'!A298)</f>
        <v/>
      </c>
      <c r="B297" s="38" t="str">
        <f>IF('Curve Header Data'!C298="","",'Curve Header Data'!C298)</f>
        <v/>
      </c>
      <c r="C297" s="38" t="str">
        <f>IF('Curve Header Data'!D298="","",'Curve Header Data'!D298)</f>
        <v/>
      </c>
      <c r="D297" s="38" t="str">
        <f>IF('Curve Header Data'!E298="","",'Curve Header Data'!E298)</f>
        <v/>
      </c>
      <c r="E297" s="38" t="str">
        <f>IF('Curve Header Data'!B298="","",'Curve Header Data'!B298)</f>
        <v/>
      </c>
      <c r="F297" s="38" t="str">
        <f>IF('Curve Header Data'!K298="","",'Curve Header Data'!K298*$E$2)</f>
        <v/>
      </c>
      <c r="G297" s="38" t="str">
        <f>IF('Curve Header Data'!L298="","",'Curve Header Data'!L298*$E$2)</f>
        <v/>
      </c>
      <c r="H297" s="38">
        <f>IF('Curve Header Data'!N298="","",'Curve Header Data'!N298)</f>
        <v>1</v>
      </c>
      <c r="I297" s="38">
        <f>IF('Curve Header Data'!O298="","",'Curve Header Data'!O298)</f>
        <v>5</v>
      </c>
      <c r="J297" s="27">
        <f>IF('Curve Header Data'!M298="","",'Curve Header Data'!M298)</f>
        <v>288</v>
      </c>
      <c r="K297" s="27" t="str">
        <f>IF('Curve Header Data'!G298="","",'Curve Header Data'!G298)</f>
        <v/>
      </c>
      <c r="L297" s="27" t="str">
        <f>IF('Curve Header Data'!H298="","",'Curve Header Data'!H298)</f>
        <v/>
      </c>
      <c r="M297" s="27" t="str">
        <f>IF('Curve Header Data'!I298="","",'Curve Header Data'!I298)</f>
        <v/>
      </c>
      <c r="N297" s="27" t="str">
        <f>IF('Curve Header Data'!J298="","",'Curve Header Data'!J298*$E$3)</f>
        <v/>
      </c>
      <c r="O297" s="27" t="str">
        <f>IF('Curve Header Data'!S298="","",'Curve Header Data'!S298*$J$2)</f>
        <v/>
      </c>
      <c r="P297" s="27" t="str">
        <f>IF('Curve Header Data'!T298="","",'Curve Header Data'!T298*$J$3)</f>
        <v/>
      </c>
      <c r="Q297" s="27" t="str">
        <f>IF('Curve Header Data'!U298="","",'Curve Header Data'!U298)</f>
        <v/>
      </c>
      <c r="R297" s="27" t="str">
        <f>IF('Curve Header Data'!V298="","",'Curve Header Data'!V298)</f>
        <v/>
      </c>
      <c r="S297" s="27" t="str">
        <f>IF('Curve Header Data'!W298="","",'Curve Header Data'!W298)</f>
        <v/>
      </c>
    </row>
    <row r="298" spans="1:19" x14ac:dyDescent="0.2">
      <c r="A298" s="38" t="str">
        <f>IF('Curve Header Data'!A299="","",'Curve Header Data'!A299)</f>
        <v/>
      </c>
      <c r="B298" s="38" t="str">
        <f>IF('Curve Header Data'!C299="","",'Curve Header Data'!C299)</f>
        <v/>
      </c>
      <c r="C298" s="38" t="str">
        <f>IF('Curve Header Data'!D299="","",'Curve Header Data'!D299)</f>
        <v/>
      </c>
      <c r="D298" s="38" t="str">
        <f>IF('Curve Header Data'!E299="","",'Curve Header Data'!E299)</f>
        <v/>
      </c>
      <c r="E298" s="38" t="str">
        <f>IF('Curve Header Data'!B299="","",'Curve Header Data'!B299)</f>
        <v/>
      </c>
      <c r="F298" s="38" t="str">
        <f>IF('Curve Header Data'!K299="","",'Curve Header Data'!K299*$E$2)</f>
        <v/>
      </c>
      <c r="G298" s="38" t="str">
        <f>IF('Curve Header Data'!L299="","",'Curve Header Data'!L299*$E$2)</f>
        <v/>
      </c>
      <c r="H298" s="38">
        <f>IF('Curve Header Data'!N299="","",'Curve Header Data'!N299)</f>
        <v>1</v>
      </c>
      <c r="I298" s="38">
        <f>IF('Curve Header Data'!O299="","",'Curve Header Data'!O299)</f>
        <v>5</v>
      </c>
      <c r="J298" s="27">
        <f>IF('Curve Header Data'!M299="","",'Curve Header Data'!M299)</f>
        <v>289</v>
      </c>
      <c r="K298" s="27" t="str">
        <f>IF('Curve Header Data'!G299="","",'Curve Header Data'!G299)</f>
        <v/>
      </c>
      <c r="L298" s="27" t="str">
        <f>IF('Curve Header Data'!H299="","",'Curve Header Data'!H299)</f>
        <v/>
      </c>
      <c r="M298" s="27" t="str">
        <f>IF('Curve Header Data'!I299="","",'Curve Header Data'!I299)</f>
        <v/>
      </c>
      <c r="N298" s="27" t="str">
        <f>IF('Curve Header Data'!J299="","",'Curve Header Data'!J299*$E$3)</f>
        <v/>
      </c>
      <c r="O298" s="27" t="str">
        <f>IF('Curve Header Data'!S299="","",'Curve Header Data'!S299*$J$2)</f>
        <v/>
      </c>
      <c r="P298" s="27" t="str">
        <f>IF('Curve Header Data'!T299="","",'Curve Header Data'!T299*$J$3)</f>
        <v/>
      </c>
      <c r="Q298" s="27" t="str">
        <f>IF('Curve Header Data'!U299="","",'Curve Header Data'!U299)</f>
        <v/>
      </c>
      <c r="R298" s="27" t="str">
        <f>IF('Curve Header Data'!V299="","",'Curve Header Data'!V299)</f>
        <v/>
      </c>
      <c r="S298" s="27" t="str">
        <f>IF('Curve Header Data'!W299="","",'Curve Header Data'!W299)</f>
        <v/>
      </c>
    </row>
    <row r="299" spans="1:19" x14ac:dyDescent="0.2">
      <c r="A299" s="38" t="str">
        <f>IF('Curve Header Data'!A300="","",'Curve Header Data'!A300)</f>
        <v/>
      </c>
      <c r="B299" s="38" t="str">
        <f>IF('Curve Header Data'!C300="","",'Curve Header Data'!C300)</f>
        <v/>
      </c>
      <c r="C299" s="38" t="str">
        <f>IF('Curve Header Data'!D300="","",'Curve Header Data'!D300)</f>
        <v/>
      </c>
      <c r="D299" s="38" t="str">
        <f>IF('Curve Header Data'!E300="","",'Curve Header Data'!E300)</f>
        <v/>
      </c>
      <c r="E299" s="38" t="str">
        <f>IF('Curve Header Data'!B300="","",'Curve Header Data'!B300)</f>
        <v/>
      </c>
      <c r="F299" s="38" t="str">
        <f>IF('Curve Header Data'!K300="","",'Curve Header Data'!K300*$E$2)</f>
        <v/>
      </c>
      <c r="G299" s="38" t="str">
        <f>IF('Curve Header Data'!L300="","",'Curve Header Data'!L300*$E$2)</f>
        <v/>
      </c>
      <c r="H299" s="38">
        <f>IF('Curve Header Data'!N300="","",'Curve Header Data'!N300)</f>
        <v>1</v>
      </c>
      <c r="I299" s="38">
        <f>IF('Curve Header Data'!O300="","",'Curve Header Data'!O300)</f>
        <v>5</v>
      </c>
      <c r="J299" s="27">
        <f>IF('Curve Header Data'!M300="","",'Curve Header Data'!M300)</f>
        <v>290</v>
      </c>
      <c r="K299" s="27" t="str">
        <f>IF('Curve Header Data'!G300="","",'Curve Header Data'!G300)</f>
        <v/>
      </c>
      <c r="L299" s="27" t="str">
        <f>IF('Curve Header Data'!H300="","",'Curve Header Data'!H300)</f>
        <v/>
      </c>
      <c r="M299" s="27" t="str">
        <f>IF('Curve Header Data'!I300="","",'Curve Header Data'!I300)</f>
        <v/>
      </c>
      <c r="N299" s="27" t="str">
        <f>IF('Curve Header Data'!J300="","",'Curve Header Data'!J300*$E$3)</f>
        <v/>
      </c>
      <c r="O299" s="27" t="str">
        <f>IF('Curve Header Data'!S300="","",'Curve Header Data'!S300*$J$2)</f>
        <v/>
      </c>
      <c r="P299" s="27" t="str">
        <f>IF('Curve Header Data'!T300="","",'Curve Header Data'!T300*$J$3)</f>
        <v/>
      </c>
      <c r="Q299" s="27" t="str">
        <f>IF('Curve Header Data'!U300="","",'Curve Header Data'!U300)</f>
        <v/>
      </c>
      <c r="R299" s="27" t="str">
        <f>IF('Curve Header Data'!V300="","",'Curve Header Data'!V300)</f>
        <v/>
      </c>
      <c r="S299" s="27" t="str">
        <f>IF('Curve Header Data'!W300="","",'Curve Header Data'!W300)</f>
        <v/>
      </c>
    </row>
    <row r="300" spans="1:19" x14ac:dyDescent="0.2">
      <c r="A300" s="38" t="str">
        <f>IF('Curve Header Data'!A301="","",'Curve Header Data'!A301)</f>
        <v/>
      </c>
      <c r="B300" s="38" t="str">
        <f>IF('Curve Header Data'!C301="","",'Curve Header Data'!C301)</f>
        <v/>
      </c>
      <c r="C300" s="38" t="str">
        <f>IF('Curve Header Data'!D301="","",'Curve Header Data'!D301)</f>
        <v/>
      </c>
      <c r="D300" s="38" t="str">
        <f>IF('Curve Header Data'!E301="","",'Curve Header Data'!E301)</f>
        <v/>
      </c>
      <c r="E300" s="38" t="str">
        <f>IF('Curve Header Data'!B301="","",'Curve Header Data'!B301)</f>
        <v/>
      </c>
      <c r="F300" s="38" t="str">
        <f>IF('Curve Header Data'!K301="","",'Curve Header Data'!K301*$E$2)</f>
        <v/>
      </c>
      <c r="G300" s="38" t="str">
        <f>IF('Curve Header Data'!L301="","",'Curve Header Data'!L301*$E$2)</f>
        <v/>
      </c>
      <c r="H300" s="38">
        <f>IF('Curve Header Data'!N301="","",'Curve Header Data'!N301)</f>
        <v>1</v>
      </c>
      <c r="I300" s="38">
        <f>IF('Curve Header Data'!O301="","",'Curve Header Data'!O301)</f>
        <v>5</v>
      </c>
      <c r="J300" s="27">
        <f>IF('Curve Header Data'!M301="","",'Curve Header Data'!M301)</f>
        <v>291</v>
      </c>
      <c r="K300" s="27" t="str">
        <f>IF('Curve Header Data'!G301="","",'Curve Header Data'!G301)</f>
        <v/>
      </c>
      <c r="L300" s="27" t="str">
        <f>IF('Curve Header Data'!H301="","",'Curve Header Data'!H301)</f>
        <v/>
      </c>
      <c r="M300" s="27" t="str">
        <f>IF('Curve Header Data'!I301="","",'Curve Header Data'!I301)</f>
        <v/>
      </c>
      <c r="N300" s="27" t="str">
        <f>IF('Curve Header Data'!J301="","",'Curve Header Data'!J301*$E$3)</f>
        <v/>
      </c>
      <c r="O300" s="27" t="str">
        <f>IF('Curve Header Data'!S301="","",'Curve Header Data'!S301*$J$2)</f>
        <v/>
      </c>
      <c r="P300" s="27" t="str">
        <f>IF('Curve Header Data'!T301="","",'Curve Header Data'!T301*$J$3)</f>
        <v/>
      </c>
      <c r="Q300" s="27" t="str">
        <f>IF('Curve Header Data'!U301="","",'Curve Header Data'!U301)</f>
        <v/>
      </c>
      <c r="R300" s="27" t="str">
        <f>IF('Curve Header Data'!V301="","",'Curve Header Data'!V301)</f>
        <v/>
      </c>
      <c r="S300" s="27" t="str">
        <f>IF('Curve Header Data'!W301="","",'Curve Header Data'!W301)</f>
        <v/>
      </c>
    </row>
    <row r="301" spans="1:19" x14ac:dyDescent="0.2">
      <c r="A301" s="38" t="str">
        <f>IF('Curve Header Data'!A302="","",'Curve Header Data'!A302)</f>
        <v/>
      </c>
      <c r="B301" s="38" t="str">
        <f>IF('Curve Header Data'!C302="","",'Curve Header Data'!C302)</f>
        <v/>
      </c>
      <c r="C301" s="38" t="str">
        <f>IF('Curve Header Data'!D302="","",'Curve Header Data'!D302)</f>
        <v/>
      </c>
      <c r="D301" s="38" t="str">
        <f>IF('Curve Header Data'!E302="","",'Curve Header Data'!E302)</f>
        <v/>
      </c>
      <c r="E301" s="38" t="str">
        <f>IF('Curve Header Data'!B302="","",'Curve Header Data'!B302)</f>
        <v/>
      </c>
      <c r="F301" s="38" t="str">
        <f>IF('Curve Header Data'!K302="","",'Curve Header Data'!K302*$E$2)</f>
        <v/>
      </c>
      <c r="G301" s="38" t="str">
        <f>IF('Curve Header Data'!L302="","",'Curve Header Data'!L302*$E$2)</f>
        <v/>
      </c>
      <c r="H301" s="38">
        <f>IF('Curve Header Data'!N302="","",'Curve Header Data'!N302)</f>
        <v>1</v>
      </c>
      <c r="I301" s="38">
        <f>IF('Curve Header Data'!O302="","",'Curve Header Data'!O302)</f>
        <v>5</v>
      </c>
      <c r="J301" s="27">
        <f>IF('Curve Header Data'!M302="","",'Curve Header Data'!M302)</f>
        <v>292</v>
      </c>
      <c r="K301" s="27" t="str">
        <f>IF('Curve Header Data'!G302="","",'Curve Header Data'!G302)</f>
        <v/>
      </c>
      <c r="L301" s="27" t="str">
        <f>IF('Curve Header Data'!H302="","",'Curve Header Data'!H302)</f>
        <v/>
      </c>
      <c r="M301" s="27" t="str">
        <f>IF('Curve Header Data'!I302="","",'Curve Header Data'!I302)</f>
        <v/>
      </c>
      <c r="N301" s="27" t="str">
        <f>IF('Curve Header Data'!J302="","",'Curve Header Data'!J302*$E$3)</f>
        <v/>
      </c>
      <c r="O301" s="27" t="str">
        <f>IF('Curve Header Data'!S302="","",'Curve Header Data'!S302*$J$2)</f>
        <v/>
      </c>
      <c r="P301" s="27" t="str">
        <f>IF('Curve Header Data'!T302="","",'Curve Header Data'!T302*$J$3)</f>
        <v/>
      </c>
      <c r="Q301" s="27" t="str">
        <f>IF('Curve Header Data'!U302="","",'Curve Header Data'!U302)</f>
        <v/>
      </c>
      <c r="R301" s="27" t="str">
        <f>IF('Curve Header Data'!V302="","",'Curve Header Data'!V302)</f>
        <v/>
      </c>
      <c r="S301" s="27" t="str">
        <f>IF('Curve Header Data'!W302="","",'Curve Header Data'!W302)</f>
        <v/>
      </c>
    </row>
    <row r="302" spans="1:19" x14ac:dyDescent="0.2">
      <c r="A302" s="38" t="str">
        <f>IF('Curve Header Data'!A303="","",'Curve Header Data'!A303)</f>
        <v/>
      </c>
      <c r="B302" s="38" t="str">
        <f>IF('Curve Header Data'!C303="","",'Curve Header Data'!C303)</f>
        <v/>
      </c>
      <c r="C302" s="38" t="str">
        <f>IF('Curve Header Data'!D303="","",'Curve Header Data'!D303)</f>
        <v/>
      </c>
      <c r="D302" s="38" t="str">
        <f>IF('Curve Header Data'!E303="","",'Curve Header Data'!E303)</f>
        <v/>
      </c>
      <c r="E302" s="38" t="str">
        <f>IF('Curve Header Data'!B303="","",'Curve Header Data'!B303)</f>
        <v/>
      </c>
      <c r="F302" s="38" t="str">
        <f>IF('Curve Header Data'!K303="","",'Curve Header Data'!K303*$E$2)</f>
        <v/>
      </c>
      <c r="G302" s="38" t="str">
        <f>IF('Curve Header Data'!L303="","",'Curve Header Data'!L303*$E$2)</f>
        <v/>
      </c>
      <c r="H302" s="38">
        <f>IF('Curve Header Data'!N303="","",'Curve Header Data'!N303)</f>
        <v>1</v>
      </c>
      <c r="I302" s="38">
        <f>IF('Curve Header Data'!O303="","",'Curve Header Data'!O303)</f>
        <v>5</v>
      </c>
      <c r="J302" s="27">
        <f>IF('Curve Header Data'!M303="","",'Curve Header Data'!M303)</f>
        <v>293</v>
      </c>
      <c r="K302" s="27" t="str">
        <f>IF('Curve Header Data'!G303="","",'Curve Header Data'!G303)</f>
        <v/>
      </c>
      <c r="L302" s="27" t="str">
        <f>IF('Curve Header Data'!H303="","",'Curve Header Data'!H303)</f>
        <v/>
      </c>
      <c r="M302" s="27" t="str">
        <f>IF('Curve Header Data'!I303="","",'Curve Header Data'!I303)</f>
        <v/>
      </c>
      <c r="N302" s="27" t="str">
        <f>IF('Curve Header Data'!J303="","",'Curve Header Data'!J303*$E$3)</f>
        <v/>
      </c>
      <c r="O302" s="27" t="str">
        <f>IF('Curve Header Data'!S303="","",'Curve Header Data'!S303*$J$2)</f>
        <v/>
      </c>
      <c r="P302" s="27" t="str">
        <f>IF('Curve Header Data'!T303="","",'Curve Header Data'!T303*$J$3)</f>
        <v/>
      </c>
      <c r="Q302" s="27" t="str">
        <f>IF('Curve Header Data'!U303="","",'Curve Header Data'!U303)</f>
        <v/>
      </c>
      <c r="R302" s="27" t="str">
        <f>IF('Curve Header Data'!V303="","",'Curve Header Data'!V303)</f>
        <v/>
      </c>
      <c r="S302" s="27" t="str">
        <f>IF('Curve Header Data'!W303="","",'Curve Header Data'!W303)</f>
        <v/>
      </c>
    </row>
    <row r="303" spans="1:19" x14ac:dyDescent="0.2">
      <c r="A303" s="38" t="str">
        <f>IF('Curve Header Data'!A304="","",'Curve Header Data'!A304)</f>
        <v/>
      </c>
      <c r="B303" s="38" t="str">
        <f>IF('Curve Header Data'!C304="","",'Curve Header Data'!C304)</f>
        <v/>
      </c>
      <c r="C303" s="38" t="str">
        <f>IF('Curve Header Data'!D304="","",'Curve Header Data'!D304)</f>
        <v/>
      </c>
      <c r="D303" s="38" t="str">
        <f>IF('Curve Header Data'!E304="","",'Curve Header Data'!E304)</f>
        <v/>
      </c>
      <c r="E303" s="38" t="str">
        <f>IF('Curve Header Data'!B304="","",'Curve Header Data'!B304)</f>
        <v/>
      </c>
      <c r="F303" s="38" t="str">
        <f>IF('Curve Header Data'!K304="","",'Curve Header Data'!K304*$E$2)</f>
        <v/>
      </c>
      <c r="G303" s="38" t="str">
        <f>IF('Curve Header Data'!L304="","",'Curve Header Data'!L304*$E$2)</f>
        <v/>
      </c>
      <c r="H303" s="38">
        <f>IF('Curve Header Data'!N304="","",'Curve Header Data'!N304)</f>
        <v>1</v>
      </c>
      <c r="I303" s="38">
        <f>IF('Curve Header Data'!O304="","",'Curve Header Data'!O304)</f>
        <v>5</v>
      </c>
      <c r="J303" s="27">
        <f>IF('Curve Header Data'!M304="","",'Curve Header Data'!M304)</f>
        <v>294</v>
      </c>
      <c r="K303" s="27" t="str">
        <f>IF('Curve Header Data'!G304="","",'Curve Header Data'!G304)</f>
        <v/>
      </c>
      <c r="L303" s="27" t="str">
        <f>IF('Curve Header Data'!H304="","",'Curve Header Data'!H304)</f>
        <v/>
      </c>
      <c r="M303" s="27" t="str">
        <f>IF('Curve Header Data'!I304="","",'Curve Header Data'!I304)</f>
        <v/>
      </c>
      <c r="N303" s="27" t="str">
        <f>IF('Curve Header Data'!J304="","",'Curve Header Data'!J304*$E$3)</f>
        <v/>
      </c>
      <c r="O303" s="27" t="str">
        <f>IF('Curve Header Data'!S304="","",'Curve Header Data'!S304*$J$2)</f>
        <v/>
      </c>
      <c r="P303" s="27" t="str">
        <f>IF('Curve Header Data'!T304="","",'Curve Header Data'!T304*$J$3)</f>
        <v/>
      </c>
      <c r="Q303" s="27" t="str">
        <f>IF('Curve Header Data'!U304="","",'Curve Header Data'!U304)</f>
        <v/>
      </c>
      <c r="R303" s="27" t="str">
        <f>IF('Curve Header Data'!V304="","",'Curve Header Data'!V304)</f>
        <v/>
      </c>
      <c r="S303" s="27" t="str">
        <f>IF('Curve Header Data'!W304="","",'Curve Header Data'!W304)</f>
        <v/>
      </c>
    </row>
    <row r="304" spans="1:19" x14ac:dyDescent="0.2">
      <c r="A304" s="38" t="str">
        <f>IF('Curve Header Data'!A305="","",'Curve Header Data'!A305)</f>
        <v/>
      </c>
      <c r="B304" s="38" t="str">
        <f>IF('Curve Header Data'!C305="","",'Curve Header Data'!C305)</f>
        <v/>
      </c>
      <c r="C304" s="38" t="str">
        <f>IF('Curve Header Data'!D305="","",'Curve Header Data'!D305)</f>
        <v/>
      </c>
      <c r="D304" s="38" t="str">
        <f>IF('Curve Header Data'!E305="","",'Curve Header Data'!E305)</f>
        <v/>
      </c>
      <c r="E304" s="38" t="str">
        <f>IF('Curve Header Data'!B305="","",'Curve Header Data'!B305)</f>
        <v/>
      </c>
      <c r="F304" s="38" t="str">
        <f>IF('Curve Header Data'!K305="","",'Curve Header Data'!K305*$E$2)</f>
        <v/>
      </c>
      <c r="G304" s="38" t="str">
        <f>IF('Curve Header Data'!L305="","",'Curve Header Data'!L305*$E$2)</f>
        <v/>
      </c>
      <c r="H304" s="38">
        <f>IF('Curve Header Data'!N305="","",'Curve Header Data'!N305)</f>
        <v>1</v>
      </c>
      <c r="I304" s="38">
        <f>IF('Curve Header Data'!O305="","",'Curve Header Data'!O305)</f>
        <v>5</v>
      </c>
      <c r="J304" s="27">
        <f>IF('Curve Header Data'!M305="","",'Curve Header Data'!M305)</f>
        <v>295</v>
      </c>
      <c r="K304" s="27" t="str">
        <f>IF('Curve Header Data'!G305="","",'Curve Header Data'!G305)</f>
        <v/>
      </c>
      <c r="L304" s="27" t="str">
        <f>IF('Curve Header Data'!H305="","",'Curve Header Data'!H305)</f>
        <v/>
      </c>
      <c r="M304" s="27" t="str">
        <f>IF('Curve Header Data'!I305="","",'Curve Header Data'!I305)</f>
        <v/>
      </c>
      <c r="N304" s="27" t="str">
        <f>IF('Curve Header Data'!J305="","",'Curve Header Data'!J305*$E$3)</f>
        <v/>
      </c>
      <c r="O304" s="27" t="str">
        <f>IF('Curve Header Data'!S305="","",'Curve Header Data'!S305*$J$2)</f>
        <v/>
      </c>
      <c r="P304" s="27" t="str">
        <f>IF('Curve Header Data'!T305="","",'Curve Header Data'!T305*$J$3)</f>
        <v/>
      </c>
      <c r="Q304" s="27" t="str">
        <f>IF('Curve Header Data'!U305="","",'Curve Header Data'!U305)</f>
        <v/>
      </c>
      <c r="R304" s="27" t="str">
        <f>IF('Curve Header Data'!V305="","",'Curve Header Data'!V305)</f>
        <v/>
      </c>
      <c r="S304" s="27" t="str">
        <f>IF('Curve Header Data'!W305="","",'Curve Header Data'!W305)</f>
        <v/>
      </c>
    </row>
    <row r="305" spans="1:19" x14ac:dyDescent="0.2">
      <c r="A305" s="38" t="str">
        <f>IF('Curve Header Data'!A306="","",'Curve Header Data'!A306)</f>
        <v/>
      </c>
      <c r="B305" s="38" t="str">
        <f>IF('Curve Header Data'!C306="","",'Curve Header Data'!C306)</f>
        <v/>
      </c>
      <c r="C305" s="38" t="str">
        <f>IF('Curve Header Data'!D306="","",'Curve Header Data'!D306)</f>
        <v/>
      </c>
      <c r="D305" s="38" t="str">
        <f>IF('Curve Header Data'!E306="","",'Curve Header Data'!E306)</f>
        <v/>
      </c>
      <c r="E305" s="38" t="str">
        <f>IF('Curve Header Data'!B306="","",'Curve Header Data'!B306)</f>
        <v/>
      </c>
      <c r="F305" s="38" t="str">
        <f>IF('Curve Header Data'!K306="","",'Curve Header Data'!K306*$E$2)</f>
        <v/>
      </c>
      <c r="G305" s="38" t="str">
        <f>IF('Curve Header Data'!L306="","",'Curve Header Data'!L306*$E$2)</f>
        <v/>
      </c>
      <c r="H305" s="38">
        <f>IF('Curve Header Data'!N306="","",'Curve Header Data'!N306)</f>
        <v>1</v>
      </c>
      <c r="I305" s="38">
        <f>IF('Curve Header Data'!O306="","",'Curve Header Data'!O306)</f>
        <v>5</v>
      </c>
      <c r="J305" s="27">
        <f>IF('Curve Header Data'!M306="","",'Curve Header Data'!M306)</f>
        <v>296</v>
      </c>
      <c r="K305" s="27" t="str">
        <f>IF('Curve Header Data'!G306="","",'Curve Header Data'!G306)</f>
        <v/>
      </c>
      <c r="L305" s="27" t="str">
        <f>IF('Curve Header Data'!H306="","",'Curve Header Data'!H306)</f>
        <v/>
      </c>
      <c r="M305" s="27" t="str">
        <f>IF('Curve Header Data'!I306="","",'Curve Header Data'!I306)</f>
        <v/>
      </c>
      <c r="N305" s="27" t="str">
        <f>IF('Curve Header Data'!J306="","",'Curve Header Data'!J306*$E$3)</f>
        <v/>
      </c>
      <c r="O305" s="27" t="str">
        <f>IF('Curve Header Data'!S306="","",'Curve Header Data'!S306*$J$2)</f>
        <v/>
      </c>
      <c r="P305" s="27" t="str">
        <f>IF('Curve Header Data'!T306="","",'Curve Header Data'!T306*$J$3)</f>
        <v/>
      </c>
      <c r="Q305" s="27" t="str">
        <f>IF('Curve Header Data'!U306="","",'Curve Header Data'!U306)</f>
        <v/>
      </c>
      <c r="R305" s="27" t="str">
        <f>IF('Curve Header Data'!V306="","",'Curve Header Data'!V306)</f>
        <v/>
      </c>
      <c r="S305" s="27" t="str">
        <f>IF('Curve Header Data'!W306="","",'Curve Header Data'!W306)</f>
        <v/>
      </c>
    </row>
    <row r="306" spans="1:19" x14ac:dyDescent="0.2">
      <c r="A306" s="38" t="str">
        <f>IF('Curve Header Data'!A307="","",'Curve Header Data'!A307)</f>
        <v/>
      </c>
      <c r="B306" s="38" t="str">
        <f>IF('Curve Header Data'!C307="","",'Curve Header Data'!C307)</f>
        <v/>
      </c>
      <c r="C306" s="38" t="str">
        <f>IF('Curve Header Data'!D307="","",'Curve Header Data'!D307)</f>
        <v/>
      </c>
      <c r="D306" s="38" t="str">
        <f>IF('Curve Header Data'!E307="","",'Curve Header Data'!E307)</f>
        <v/>
      </c>
      <c r="E306" s="38" t="str">
        <f>IF('Curve Header Data'!B307="","",'Curve Header Data'!B307)</f>
        <v/>
      </c>
      <c r="F306" s="38" t="str">
        <f>IF('Curve Header Data'!K307="","",'Curve Header Data'!K307*$E$2)</f>
        <v/>
      </c>
      <c r="G306" s="38" t="str">
        <f>IF('Curve Header Data'!L307="","",'Curve Header Data'!L307*$E$2)</f>
        <v/>
      </c>
      <c r="H306" s="38">
        <f>IF('Curve Header Data'!N307="","",'Curve Header Data'!N307)</f>
        <v>1</v>
      </c>
      <c r="I306" s="38">
        <f>IF('Curve Header Data'!O307="","",'Curve Header Data'!O307)</f>
        <v>5</v>
      </c>
      <c r="J306" s="27">
        <f>IF('Curve Header Data'!M307="","",'Curve Header Data'!M307)</f>
        <v>297</v>
      </c>
      <c r="K306" s="27" t="str">
        <f>IF('Curve Header Data'!G307="","",'Curve Header Data'!G307)</f>
        <v/>
      </c>
      <c r="L306" s="27" t="str">
        <f>IF('Curve Header Data'!H307="","",'Curve Header Data'!H307)</f>
        <v/>
      </c>
      <c r="M306" s="27" t="str">
        <f>IF('Curve Header Data'!I307="","",'Curve Header Data'!I307)</f>
        <v/>
      </c>
      <c r="N306" s="27" t="str">
        <f>IF('Curve Header Data'!J307="","",'Curve Header Data'!J307*$E$3)</f>
        <v/>
      </c>
      <c r="O306" s="27" t="str">
        <f>IF('Curve Header Data'!S307="","",'Curve Header Data'!S307*$J$2)</f>
        <v/>
      </c>
      <c r="P306" s="27" t="str">
        <f>IF('Curve Header Data'!T307="","",'Curve Header Data'!T307*$J$3)</f>
        <v/>
      </c>
      <c r="Q306" s="27" t="str">
        <f>IF('Curve Header Data'!U307="","",'Curve Header Data'!U307)</f>
        <v/>
      </c>
      <c r="R306" s="27" t="str">
        <f>IF('Curve Header Data'!V307="","",'Curve Header Data'!V307)</f>
        <v/>
      </c>
      <c r="S306" s="27" t="str">
        <f>IF('Curve Header Data'!W307="","",'Curve Header Data'!W307)</f>
        <v/>
      </c>
    </row>
    <row r="307" spans="1:19" x14ac:dyDescent="0.2">
      <c r="A307" s="39" t="str">
        <f>IF('Curve Header Data'!A308="","",'Curve Header Data'!A308)</f>
        <v/>
      </c>
      <c r="B307" s="39" t="str">
        <f>IF('Curve Header Data'!C308="","",'Curve Header Data'!C308)</f>
        <v/>
      </c>
      <c r="C307" s="39" t="str">
        <f>IF('Curve Header Data'!D308="","",'Curve Header Data'!D308)</f>
        <v/>
      </c>
      <c r="D307" s="39" t="str">
        <f>IF('Curve Header Data'!E308="","",'Curve Header Data'!E308)</f>
        <v/>
      </c>
      <c r="E307" s="38" t="str">
        <f>IF('Curve Header Data'!B308="","",'Curve Header Data'!B308)</f>
        <v/>
      </c>
      <c r="F307" s="39" t="str">
        <f>IF('Curve Header Data'!K308="","",'Curve Header Data'!K308*$E$2)</f>
        <v/>
      </c>
      <c r="G307" s="39" t="str">
        <f>IF('Curve Header Data'!L308="","",'Curve Header Data'!L308*$E$2)</f>
        <v/>
      </c>
      <c r="H307" s="39">
        <f>IF('Curve Header Data'!N308="","",'Curve Header Data'!N308)</f>
        <v>1</v>
      </c>
      <c r="I307" s="39">
        <f>IF('Curve Header Data'!O308="","",'Curve Header Data'!O308)</f>
        <v>5</v>
      </c>
      <c r="J307" s="27">
        <f>IF('Curve Header Data'!M308="","",'Curve Header Data'!M308)</f>
        <v>298</v>
      </c>
      <c r="K307" s="27" t="str">
        <f>IF('Curve Header Data'!G308="","",'Curve Header Data'!G308)</f>
        <v/>
      </c>
      <c r="L307" s="27" t="str">
        <f>IF('Curve Header Data'!H308="","",'Curve Header Data'!H308)</f>
        <v/>
      </c>
      <c r="M307" s="27" t="str">
        <f>IF('Curve Header Data'!I308="","",'Curve Header Data'!I308)</f>
        <v/>
      </c>
      <c r="N307" s="27" t="str">
        <f>IF('Curve Header Data'!J308="","",'Curve Header Data'!J308*$E$3)</f>
        <v/>
      </c>
      <c r="O307" s="27" t="str">
        <f>IF('Curve Header Data'!S308="","",'Curve Header Data'!S308*$J$2)</f>
        <v/>
      </c>
      <c r="P307" s="27" t="str">
        <f>IF('Curve Header Data'!T308="","",'Curve Header Data'!T308*$J$3)</f>
        <v/>
      </c>
      <c r="Q307" s="27" t="str">
        <f>IF('Curve Header Data'!U308="","",'Curve Header Data'!U308)</f>
        <v/>
      </c>
      <c r="R307" s="27" t="str">
        <f>IF('Curve Header Data'!V308="","",'Curve Header Data'!V308)</f>
        <v/>
      </c>
      <c r="S307" s="27" t="str">
        <f>IF('Curve Header Data'!W308="","",'Curve Header Data'!W308)</f>
        <v/>
      </c>
    </row>
  </sheetData>
  <phoneticPr fontId="0" type="noConversion"/>
  <dataValidations disablePrompts="1" count="4">
    <dataValidation type="list" allowBlank="1" showInputMessage="1" showErrorMessage="1" sqref="B3:B4" xr:uid="{00000000-0002-0000-0000-000000000000}">
      <formula1>"mm,inch"</formula1>
    </dataValidation>
    <dataValidation type="list" allowBlank="1" showInputMessage="1" showErrorMessage="1" sqref="G2" xr:uid="{00000000-0002-0000-0000-000001000000}">
      <formula1>"m,ft"</formula1>
    </dataValidation>
    <dataValidation type="list" allowBlank="1" showInputMessage="1" showErrorMessage="1" sqref="B2" xr:uid="{00000000-0002-0000-0000-000002000000}">
      <formula1>"m3/h,USgpm"</formula1>
    </dataValidation>
    <dataValidation type="list" allowBlank="1" showInputMessage="1" showErrorMessage="1" sqref="G3" xr:uid="{00000000-0002-0000-0000-000003000000}">
      <formula1>"kW,hp"</formula1>
    </dataValidation>
  </dataValidations>
  <pageMargins left="0.75" right="0.75" top="1" bottom="1" header="0.5" footer="0.5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8"/>
  <sheetViews>
    <sheetView tabSelected="1" zoomScale="80" workbookViewId="0">
      <selection activeCell="L11" sqref="L11"/>
    </sheetView>
  </sheetViews>
  <sheetFormatPr defaultColWidth="9.140625" defaultRowHeight="12.75" x14ac:dyDescent="0.2"/>
  <cols>
    <col min="1" max="1" width="14.42578125" style="27" customWidth="1" collapsed="1"/>
    <col min="2" max="2" width="13.5703125" style="27" customWidth="1" collapsed="1"/>
    <col min="3" max="5" width="11.85546875" style="27" customWidth="1" collapsed="1"/>
    <col min="6" max="6" width="1.5703125" style="27" customWidth="1" collapsed="1"/>
    <col min="7" max="10" width="11.28515625" style="27" customWidth="1" collapsed="1"/>
    <col min="11" max="12" width="11.85546875" style="27" customWidth="1" collapsed="1"/>
    <col min="13" max="13" width="4.85546875" style="27" customWidth="1" collapsed="1"/>
    <col min="14" max="15" width="11.85546875" style="27" customWidth="1" collapsed="1"/>
    <col min="16" max="17" width="11.28515625" style="27" customWidth="1" collapsed="1"/>
    <col min="18" max="18" width="2.140625" style="27" customWidth="1" collapsed="1"/>
    <col min="19" max="23" width="11.28515625" style="27" customWidth="1" collapsed="1"/>
    <col min="24" max="16384" width="9.140625" style="27" collapsed="1"/>
  </cols>
  <sheetData>
    <row r="1" spans="1:23" x14ac:dyDescent="0.2">
      <c r="A1" s="6" t="s">
        <v>11</v>
      </c>
      <c r="B1" s="30" t="s">
        <v>9</v>
      </c>
      <c r="C1" s="29" t="s">
        <v>20</v>
      </c>
    </row>
    <row r="2" spans="1:23" x14ac:dyDescent="0.2">
      <c r="A2" s="7" t="s">
        <v>4</v>
      </c>
      <c r="B2" s="61" t="s">
        <v>10</v>
      </c>
      <c r="C2" s="29"/>
    </row>
    <row r="3" spans="1:23" x14ac:dyDescent="0.2">
      <c r="A3" s="7" t="s">
        <v>44</v>
      </c>
      <c r="B3" s="61" t="s">
        <v>26</v>
      </c>
      <c r="C3" s="29"/>
    </row>
    <row r="4" spans="1:23" x14ac:dyDescent="0.2">
      <c r="A4" s="8" t="s">
        <v>13</v>
      </c>
      <c r="B4" s="31" t="s">
        <v>8</v>
      </c>
      <c r="D4" s="28"/>
    </row>
    <row r="5" spans="1:23" x14ac:dyDescent="0.2">
      <c r="A5" s="28"/>
      <c r="B5" s="28"/>
      <c r="D5" s="28"/>
    </row>
    <row r="6" spans="1:23" x14ac:dyDescent="0.2">
      <c r="D6" s="28"/>
    </row>
    <row r="7" spans="1:23" x14ac:dyDescent="0.2">
      <c r="A7" s="52" t="s">
        <v>30</v>
      </c>
      <c r="B7" s="90" t="s">
        <v>79</v>
      </c>
      <c r="D7" s="28"/>
    </row>
    <row r="8" spans="1:23" x14ac:dyDescent="0.2">
      <c r="A8" s="92"/>
      <c r="B8" s="48"/>
      <c r="F8" s="3"/>
    </row>
    <row r="9" spans="1:23" s="1" customFormat="1" ht="54.75" customHeight="1" x14ac:dyDescent="0.2">
      <c r="A9" s="32" t="s">
        <v>0</v>
      </c>
      <c r="B9" s="32" t="s">
        <v>58</v>
      </c>
      <c r="C9" s="32" t="s">
        <v>31</v>
      </c>
      <c r="D9" s="32" t="s">
        <v>45</v>
      </c>
      <c r="E9" s="33" t="s">
        <v>7</v>
      </c>
      <c r="F9" s="58"/>
      <c r="G9" s="32" t="s">
        <v>32</v>
      </c>
      <c r="H9" s="32" t="s">
        <v>33</v>
      </c>
      <c r="I9" s="32" t="s">
        <v>34</v>
      </c>
      <c r="J9" s="32" t="s">
        <v>38</v>
      </c>
      <c r="K9" s="32" t="s">
        <v>56</v>
      </c>
      <c r="L9" s="32" t="s">
        <v>57</v>
      </c>
      <c r="N9" s="32" t="s">
        <v>23</v>
      </c>
      <c r="O9" s="32" t="s">
        <v>1</v>
      </c>
      <c r="P9" s="32" t="s">
        <v>39</v>
      </c>
      <c r="Q9" s="32" t="s">
        <v>60</v>
      </c>
      <c r="R9" s="57"/>
      <c r="S9" s="32" t="s">
        <v>40</v>
      </c>
      <c r="T9" s="32" t="s">
        <v>41</v>
      </c>
      <c r="U9" s="32" t="s">
        <v>42</v>
      </c>
      <c r="V9" s="32" t="s">
        <v>59</v>
      </c>
      <c r="W9" s="32" t="s">
        <v>61</v>
      </c>
    </row>
    <row r="10" spans="1:23" s="1" customFormat="1" x14ac:dyDescent="0.2">
      <c r="A10" s="35"/>
      <c r="B10" s="35"/>
      <c r="C10" s="35" t="s">
        <v>6</v>
      </c>
      <c r="D10" s="35"/>
      <c r="E10" s="36" t="s">
        <v>7</v>
      </c>
      <c r="F10" s="60"/>
      <c r="G10" s="35" t="s">
        <v>6</v>
      </c>
      <c r="H10" s="35" t="s">
        <v>6</v>
      </c>
      <c r="I10" s="35" t="s">
        <v>6</v>
      </c>
      <c r="J10" s="35" t="str">
        <f>B4</f>
        <v>inch</v>
      </c>
      <c r="K10" s="35" t="str">
        <f>B1</f>
        <v>USgpm</v>
      </c>
      <c r="L10" s="35" t="str">
        <f>B1</f>
        <v>USgpm</v>
      </c>
      <c r="N10" s="35"/>
      <c r="O10" s="35"/>
      <c r="P10" s="35"/>
      <c r="Q10" s="35"/>
      <c r="R10" s="59"/>
      <c r="S10" s="35" t="str">
        <f>B2</f>
        <v>ft</v>
      </c>
      <c r="T10" s="35" t="str">
        <f>B3</f>
        <v>hp</v>
      </c>
      <c r="U10" s="35"/>
      <c r="V10" s="35" t="s">
        <v>6</v>
      </c>
      <c r="W10" s="35"/>
    </row>
    <row r="11" spans="1:23" x14ac:dyDescent="0.2">
      <c r="A11" s="88"/>
      <c r="B11" s="88" t="s">
        <v>46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27">
        <v>63</v>
      </c>
      <c r="N11" s="38">
        <v>1</v>
      </c>
      <c r="O11" s="38">
        <v>5</v>
      </c>
      <c r="P11" s="38" t="s">
        <v>43</v>
      </c>
      <c r="Q11" s="91" t="b">
        <v>0</v>
      </c>
      <c r="R11" s="38"/>
      <c r="S11" s="38">
        <v>0</v>
      </c>
      <c r="T11" s="38">
        <v>0</v>
      </c>
      <c r="U11" s="38" t="s">
        <v>46</v>
      </c>
      <c r="V11" s="38" t="s">
        <v>80</v>
      </c>
      <c r="W11" s="38" t="s">
        <v>46</v>
      </c>
    </row>
    <row r="12" spans="1:23" x14ac:dyDescent="0.2">
      <c r="A12" s="88"/>
      <c r="B12" s="68"/>
      <c r="C12" s="38"/>
      <c r="D12" s="38"/>
      <c r="E12" s="38"/>
      <c r="F12" s="38"/>
      <c r="G12" s="38"/>
      <c r="H12" s="38"/>
      <c r="I12" s="38"/>
      <c r="J12" s="38"/>
      <c r="K12" s="38"/>
      <c r="L12" s="38"/>
      <c r="N12" s="38">
        <v>1</v>
      </c>
      <c r="O12" s="38">
        <v>5</v>
      </c>
      <c r="P12" s="38" t="s">
        <v>43</v>
      </c>
      <c r="Q12" s="91" t="b">
        <v>0</v>
      </c>
      <c r="R12" s="38"/>
      <c r="S12" s="38">
        <v>0</v>
      </c>
      <c r="T12" s="38">
        <v>0</v>
      </c>
      <c r="U12" s="38" t="s">
        <v>46</v>
      </c>
      <c r="V12" s="38" t="s">
        <v>80</v>
      </c>
      <c r="W12" s="38" t="s">
        <v>46</v>
      </c>
    </row>
    <row r="13" spans="1:23" x14ac:dyDescent="0.2">
      <c r="A13" s="88"/>
      <c r="B13" s="68"/>
      <c r="C13" s="38"/>
      <c r="D13" s="38"/>
      <c r="E13" s="38"/>
      <c r="F13" s="38"/>
      <c r="G13" s="38"/>
      <c r="H13" s="38"/>
      <c r="I13" s="38"/>
      <c r="J13" s="38"/>
      <c r="K13" s="38"/>
      <c r="L13" s="38"/>
      <c r="N13" s="38">
        <v>1</v>
      </c>
      <c r="O13" s="38">
        <v>5</v>
      </c>
      <c r="P13" s="38" t="s">
        <v>43</v>
      </c>
      <c r="Q13" s="91" t="b">
        <v>0</v>
      </c>
      <c r="R13" s="38"/>
      <c r="S13" s="38">
        <v>0</v>
      </c>
      <c r="T13" s="38">
        <v>0</v>
      </c>
      <c r="U13" s="38" t="s">
        <v>46</v>
      </c>
      <c r="V13" s="38" t="s">
        <v>80</v>
      </c>
      <c r="W13" s="38" t="s">
        <v>46</v>
      </c>
    </row>
    <row r="14" spans="1:23" x14ac:dyDescent="0.2">
      <c r="A14" s="117"/>
      <c r="B14" s="69"/>
      <c r="C14" s="38"/>
      <c r="D14" s="38"/>
      <c r="E14" s="38"/>
      <c r="F14" s="38"/>
      <c r="G14" s="38"/>
      <c r="H14" s="38"/>
      <c r="I14" s="38"/>
      <c r="J14" s="38"/>
      <c r="K14" s="38"/>
      <c r="L14" s="38"/>
      <c r="N14" s="38">
        <v>1</v>
      </c>
      <c r="O14" s="38">
        <v>5</v>
      </c>
      <c r="P14" s="38" t="s">
        <v>43</v>
      </c>
      <c r="Q14" s="91" t="b">
        <v>0</v>
      </c>
      <c r="R14" s="38"/>
      <c r="S14" s="38">
        <v>0</v>
      </c>
      <c r="T14" s="38">
        <v>0</v>
      </c>
      <c r="U14" s="38" t="s">
        <v>46</v>
      </c>
      <c r="V14" s="38" t="s">
        <v>80</v>
      </c>
      <c r="W14" s="38" t="s">
        <v>46</v>
      </c>
    </row>
    <row r="15" spans="1:23" x14ac:dyDescent="0.2">
      <c r="A15" s="88"/>
      <c r="B15" s="68"/>
      <c r="C15" s="38"/>
      <c r="D15" s="38"/>
      <c r="E15" s="38"/>
      <c r="F15" s="38"/>
      <c r="G15" s="38"/>
      <c r="H15" s="38"/>
      <c r="I15" s="38"/>
      <c r="J15" s="38"/>
      <c r="K15" s="38"/>
      <c r="L15" s="38"/>
      <c r="N15" s="38">
        <v>1</v>
      </c>
      <c r="O15" s="38">
        <v>5</v>
      </c>
      <c r="P15" s="38" t="s">
        <v>43</v>
      </c>
      <c r="Q15" s="91" t="b">
        <v>0</v>
      </c>
      <c r="R15" s="38"/>
      <c r="S15" s="38">
        <v>0</v>
      </c>
      <c r="T15" s="38">
        <v>0</v>
      </c>
      <c r="U15" s="38" t="s">
        <v>46</v>
      </c>
      <c r="V15" s="38" t="s">
        <v>80</v>
      </c>
      <c r="W15" s="38" t="s">
        <v>46</v>
      </c>
    </row>
    <row r="16" spans="1:23" x14ac:dyDescent="0.2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N16" s="38">
        <v>1</v>
      </c>
      <c r="O16" s="38">
        <v>5</v>
      </c>
      <c r="P16" s="38" t="s">
        <v>43</v>
      </c>
      <c r="Q16" s="91" t="b">
        <v>0</v>
      </c>
      <c r="R16" s="38"/>
      <c r="S16" s="38">
        <v>0</v>
      </c>
      <c r="T16" s="38">
        <v>0</v>
      </c>
      <c r="U16" s="38" t="s">
        <v>46</v>
      </c>
      <c r="V16" s="38" t="s">
        <v>80</v>
      </c>
      <c r="W16" s="38" t="s">
        <v>46</v>
      </c>
    </row>
    <row r="17" spans="1:23" x14ac:dyDescent="0.2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N17" s="38">
        <v>1</v>
      </c>
      <c r="O17" s="38">
        <v>5</v>
      </c>
      <c r="P17" s="38" t="s">
        <v>43</v>
      </c>
      <c r="Q17" s="91" t="b">
        <v>0</v>
      </c>
      <c r="R17" s="38"/>
      <c r="S17" s="38">
        <v>0</v>
      </c>
      <c r="T17" s="38">
        <v>0</v>
      </c>
      <c r="U17" s="38" t="s">
        <v>46</v>
      </c>
      <c r="V17" s="38" t="s">
        <v>80</v>
      </c>
      <c r="W17" s="38" t="s">
        <v>46</v>
      </c>
    </row>
    <row r="18" spans="1:23" x14ac:dyDescent="0.2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N18" s="38">
        <v>1</v>
      </c>
      <c r="O18" s="38">
        <v>5</v>
      </c>
      <c r="P18" s="38" t="s">
        <v>43</v>
      </c>
      <c r="Q18" s="91" t="b">
        <v>0</v>
      </c>
      <c r="R18" s="38"/>
      <c r="S18" s="38">
        <v>0</v>
      </c>
      <c r="T18" s="38">
        <v>0</v>
      </c>
      <c r="U18" s="38" t="s">
        <v>46</v>
      </c>
      <c r="V18" s="38" t="s">
        <v>80</v>
      </c>
      <c r="W18" s="38" t="s">
        <v>46</v>
      </c>
    </row>
    <row r="19" spans="1:23" x14ac:dyDescent="0.2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N19" s="38">
        <v>1</v>
      </c>
      <c r="O19" s="38">
        <v>5</v>
      </c>
      <c r="P19" s="38" t="s">
        <v>43</v>
      </c>
      <c r="Q19" s="91" t="b">
        <v>0</v>
      </c>
      <c r="R19" s="38"/>
      <c r="S19" s="38">
        <v>0</v>
      </c>
      <c r="T19" s="38">
        <v>0</v>
      </c>
      <c r="U19" s="38" t="s">
        <v>46</v>
      </c>
      <c r="V19" s="38" t="s">
        <v>80</v>
      </c>
      <c r="W19" s="38" t="s">
        <v>46</v>
      </c>
    </row>
    <row r="20" spans="1:23" x14ac:dyDescent="0.2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N20" s="38">
        <v>1</v>
      </c>
      <c r="O20" s="38">
        <v>5</v>
      </c>
      <c r="P20" s="38" t="s">
        <v>43</v>
      </c>
      <c r="Q20" s="91" t="b">
        <v>0</v>
      </c>
      <c r="R20" s="38"/>
      <c r="S20" s="38">
        <v>0</v>
      </c>
      <c r="T20" s="38">
        <v>0</v>
      </c>
      <c r="U20" s="38" t="s">
        <v>46</v>
      </c>
      <c r="V20" s="38" t="s">
        <v>80</v>
      </c>
      <c r="W20" s="38" t="s">
        <v>46</v>
      </c>
    </row>
    <row r="21" spans="1:23" x14ac:dyDescent="0.2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N21" s="38">
        <v>1</v>
      </c>
      <c r="O21" s="38">
        <v>5</v>
      </c>
      <c r="P21" s="38" t="s">
        <v>43</v>
      </c>
      <c r="Q21" s="91" t="b">
        <v>0</v>
      </c>
      <c r="R21" s="38"/>
      <c r="S21" s="38">
        <v>0</v>
      </c>
      <c r="T21" s="38">
        <v>0</v>
      </c>
      <c r="U21" s="38" t="s">
        <v>46</v>
      </c>
      <c r="V21" s="38" t="s">
        <v>80</v>
      </c>
      <c r="W21" s="38" t="s">
        <v>46</v>
      </c>
    </row>
    <row r="22" spans="1:23" x14ac:dyDescent="0.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N22" s="38">
        <v>1</v>
      </c>
      <c r="O22" s="38">
        <v>5</v>
      </c>
      <c r="P22" s="38" t="s">
        <v>43</v>
      </c>
      <c r="Q22" s="91" t="b">
        <v>0</v>
      </c>
      <c r="R22" s="38"/>
      <c r="S22" s="38">
        <v>0</v>
      </c>
      <c r="T22" s="38">
        <v>0</v>
      </c>
      <c r="U22" s="38" t="s">
        <v>46</v>
      </c>
      <c r="V22" s="38" t="s">
        <v>80</v>
      </c>
      <c r="W22" s="38" t="s">
        <v>46</v>
      </c>
    </row>
    <row r="23" spans="1:23" x14ac:dyDescent="0.2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N23" s="38">
        <v>1</v>
      </c>
      <c r="O23" s="38">
        <v>5</v>
      </c>
      <c r="P23" s="38" t="s">
        <v>43</v>
      </c>
      <c r="Q23" s="91" t="b">
        <v>0</v>
      </c>
      <c r="R23" s="38"/>
      <c r="S23" s="38">
        <v>0</v>
      </c>
      <c r="T23" s="38">
        <v>0</v>
      </c>
      <c r="U23" s="38" t="s">
        <v>46</v>
      </c>
      <c r="V23" s="38" t="s">
        <v>80</v>
      </c>
      <c r="W23" s="38" t="s">
        <v>46</v>
      </c>
    </row>
    <row r="24" spans="1:23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N24" s="38">
        <v>1</v>
      </c>
      <c r="O24" s="38">
        <v>5</v>
      </c>
      <c r="P24" s="38" t="s">
        <v>43</v>
      </c>
      <c r="Q24" s="91" t="b">
        <v>0</v>
      </c>
      <c r="R24" s="38"/>
      <c r="S24" s="38">
        <v>0</v>
      </c>
      <c r="T24" s="38">
        <v>0</v>
      </c>
      <c r="U24" s="38" t="s">
        <v>46</v>
      </c>
      <c r="V24" s="38" t="s">
        <v>80</v>
      </c>
      <c r="W24" s="38" t="s">
        <v>46</v>
      </c>
    </row>
    <row r="25" spans="1:23" x14ac:dyDescent="0.2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N25" s="38">
        <v>1</v>
      </c>
      <c r="O25" s="38">
        <v>5</v>
      </c>
      <c r="P25" s="38" t="s">
        <v>43</v>
      </c>
      <c r="Q25" s="91" t="b">
        <v>0</v>
      </c>
      <c r="R25" s="38"/>
      <c r="S25" s="38">
        <v>0</v>
      </c>
      <c r="T25" s="38">
        <v>0</v>
      </c>
      <c r="U25" s="38" t="s">
        <v>46</v>
      </c>
      <c r="V25" s="38" t="s">
        <v>80</v>
      </c>
      <c r="W25" s="38" t="s">
        <v>46</v>
      </c>
    </row>
    <row r="26" spans="1:23" x14ac:dyDescent="0.2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N26" s="38">
        <v>1</v>
      </c>
      <c r="O26" s="38">
        <v>5</v>
      </c>
      <c r="P26" s="38" t="s">
        <v>43</v>
      </c>
      <c r="Q26" s="91" t="b">
        <v>0</v>
      </c>
      <c r="R26" s="38"/>
      <c r="S26" s="38">
        <v>0</v>
      </c>
      <c r="T26" s="38">
        <v>0</v>
      </c>
      <c r="U26" s="38" t="s">
        <v>46</v>
      </c>
      <c r="V26" s="38" t="s">
        <v>80</v>
      </c>
      <c r="W26" s="38" t="s">
        <v>46</v>
      </c>
    </row>
    <row r="27" spans="1:23" x14ac:dyDescent="0.2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N27" s="38">
        <v>1</v>
      </c>
      <c r="O27" s="38">
        <v>5</v>
      </c>
      <c r="P27" s="38" t="s">
        <v>43</v>
      </c>
      <c r="Q27" s="91" t="b">
        <v>0</v>
      </c>
      <c r="R27" s="38"/>
      <c r="S27" s="38">
        <v>0</v>
      </c>
      <c r="T27" s="38">
        <v>0</v>
      </c>
      <c r="U27" s="38" t="s">
        <v>46</v>
      </c>
      <c r="V27" s="38" t="s">
        <v>80</v>
      </c>
      <c r="W27" s="38" t="s">
        <v>46</v>
      </c>
    </row>
    <row r="28" spans="1:23" x14ac:dyDescent="0.2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N28" s="38">
        <v>1</v>
      </c>
      <c r="O28" s="38">
        <v>5</v>
      </c>
      <c r="P28" s="38" t="s">
        <v>43</v>
      </c>
      <c r="Q28" s="91" t="b">
        <v>0</v>
      </c>
      <c r="R28" s="38"/>
      <c r="S28" s="38">
        <v>0</v>
      </c>
      <c r="T28" s="38">
        <v>0</v>
      </c>
      <c r="U28" s="38" t="s">
        <v>46</v>
      </c>
      <c r="V28" s="38" t="s">
        <v>80</v>
      </c>
      <c r="W28" s="38" t="s">
        <v>46</v>
      </c>
    </row>
    <row r="29" spans="1:23" x14ac:dyDescent="0.2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N29" s="38">
        <v>1</v>
      </c>
      <c r="O29" s="38">
        <v>5</v>
      </c>
      <c r="P29" s="38" t="s">
        <v>43</v>
      </c>
      <c r="Q29" s="91" t="b">
        <v>0</v>
      </c>
      <c r="R29" s="38"/>
      <c r="S29" s="38">
        <v>0</v>
      </c>
      <c r="T29" s="38">
        <v>0</v>
      </c>
      <c r="U29" s="38" t="s">
        <v>46</v>
      </c>
      <c r="V29" s="38" t="s">
        <v>80</v>
      </c>
      <c r="W29" s="38" t="s">
        <v>46</v>
      </c>
    </row>
    <row r="30" spans="1:23" x14ac:dyDescent="0.2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N30" s="38">
        <v>1</v>
      </c>
      <c r="O30" s="38">
        <v>5</v>
      </c>
      <c r="P30" s="38" t="s">
        <v>43</v>
      </c>
      <c r="Q30" s="91" t="b">
        <v>0</v>
      </c>
      <c r="R30" s="38"/>
      <c r="S30" s="38">
        <v>0</v>
      </c>
      <c r="T30" s="38">
        <v>0</v>
      </c>
      <c r="U30" s="38" t="s">
        <v>46</v>
      </c>
      <c r="V30" s="38" t="s">
        <v>80</v>
      </c>
      <c r="W30" s="38" t="s">
        <v>46</v>
      </c>
    </row>
    <row r="31" spans="1:23" x14ac:dyDescent="0.2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N31" s="38">
        <v>1</v>
      </c>
      <c r="O31" s="38">
        <v>5</v>
      </c>
      <c r="P31" s="38" t="s">
        <v>43</v>
      </c>
      <c r="Q31" s="91" t="b">
        <v>0</v>
      </c>
      <c r="R31" s="38"/>
      <c r="S31" s="38">
        <v>0</v>
      </c>
      <c r="T31" s="38">
        <v>0</v>
      </c>
      <c r="U31" s="38" t="s">
        <v>46</v>
      </c>
      <c r="V31" s="38" t="s">
        <v>80</v>
      </c>
      <c r="W31" s="38" t="s">
        <v>46</v>
      </c>
    </row>
    <row r="32" spans="1:23" x14ac:dyDescent="0.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N32" s="38">
        <v>1</v>
      </c>
      <c r="O32" s="38">
        <v>5</v>
      </c>
      <c r="P32" s="38" t="s">
        <v>43</v>
      </c>
      <c r="Q32" s="91" t="b">
        <v>0</v>
      </c>
      <c r="R32" s="38"/>
      <c r="S32" s="38">
        <v>0</v>
      </c>
      <c r="T32" s="38">
        <v>0</v>
      </c>
      <c r="U32" s="38" t="s">
        <v>46</v>
      </c>
      <c r="V32" s="38" t="s">
        <v>80</v>
      </c>
      <c r="W32" s="38" t="s">
        <v>46</v>
      </c>
    </row>
    <row r="33" spans="1:23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N33" s="38">
        <v>1</v>
      </c>
      <c r="O33" s="38">
        <v>5</v>
      </c>
      <c r="P33" s="38" t="s">
        <v>43</v>
      </c>
      <c r="Q33" s="91" t="b">
        <v>0</v>
      </c>
      <c r="R33" s="38"/>
      <c r="S33" s="38">
        <v>0</v>
      </c>
      <c r="T33" s="38">
        <v>0</v>
      </c>
      <c r="U33" s="38" t="s">
        <v>46</v>
      </c>
      <c r="V33" s="38" t="s">
        <v>80</v>
      </c>
      <c r="W33" s="38" t="s">
        <v>46</v>
      </c>
    </row>
    <row r="34" spans="1:23" x14ac:dyDescent="0.2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N34" s="38">
        <v>1</v>
      </c>
      <c r="O34" s="38">
        <v>5</v>
      </c>
      <c r="P34" s="38" t="s">
        <v>43</v>
      </c>
      <c r="Q34" s="91" t="b">
        <v>0</v>
      </c>
      <c r="R34" s="38"/>
      <c r="S34" s="38">
        <v>0</v>
      </c>
      <c r="T34" s="38">
        <v>0</v>
      </c>
      <c r="U34" s="38" t="s">
        <v>46</v>
      </c>
      <c r="V34" s="38" t="s">
        <v>80</v>
      </c>
      <c r="W34" s="38" t="s">
        <v>46</v>
      </c>
    </row>
    <row r="35" spans="1:23" x14ac:dyDescent="0.2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N35" s="38">
        <v>1</v>
      </c>
      <c r="O35" s="38">
        <v>5</v>
      </c>
      <c r="P35" s="38" t="s">
        <v>43</v>
      </c>
      <c r="Q35" s="91" t="b">
        <v>0</v>
      </c>
      <c r="R35" s="38"/>
      <c r="S35" s="38">
        <v>0</v>
      </c>
      <c r="T35" s="38">
        <v>0</v>
      </c>
      <c r="U35" s="38" t="s">
        <v>46</v>
      </c>
      <c r="V35" s="38" t="s">
        <v>80</v>
      </c>
      <c r="W35" s="38" t="s">
        <v>46</v>
      </c>
    </row>
    <row r="36" spans="1:23" x14ac:dyDescent="0.2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N36" s="38">
        <v>1</v>
      </c>
      <c r="O36" s="38">
        <v>5</v>
      </c>
      <c r="P36" s="38" t="s">
        <v>43</v>
      </c>
      <c r="Q36" s="91" t="b">
        <v>0</v>
      </c>
      <c r="R36" s="38"/>
      <c r="S36" s="38">
        <v>0</v>
      </c>
      <c r="T36" s="38">
        <v>0</v>
      </c>
      <c r="U36" s="38" t="s">
        <v>46</v>
      </c>
      <c r="V36" s="38" t="s">
        <v>80</v>
      </c>
      <c r="W36" s="38" t="s">
        <v>46</v>
      </c>
    </row>
    <row r="37" spans="1:23" x14ac:dyDescent="0.2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N37" s="38">
        <v>1</v>
      </c>
      <c r="O37" s="38">
        <v>5</v>
      </c>
      <c r="P37" s="38" t="s">
        <v>43</v>
      </c>
      <c r="Q37" s="91" t="b">
        <v>0</v>
      </c>
      <c r="R37" s="38"/>
      <c r="S37" s="38">
        <v>0</v>
      </c>
      <c r="T37" s="38">
        <v>0</v>
      </c>
      <c r="U37" s="38" t="s">
        <v>46</v>
      </c>
      <c r="V37" s="38" t="s">
        <v>80</v>
      </c>
      <c r="W37" s="38" t="s">
        <v>46</v>
      </c>
    </row>
    <row r="38" spans="1:23" x14ac:dyDescent="0.2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N38" s="38">
        <v>1</v>
      </c>
      <c r="O38" s="38">
        <v>5</v>
      </c>
      <c r="P38" s="38" t="s">
        <v>43</v>
      </c>
      <c r="Q38" s="91" t="b">
        <v>0</v>
      </c>
      <c r="R38" s="38"/>
      <c r="S38" s="38">
        <v>0</v>
      </c>
      <c r="T38" s="38">
        <v>0</v>
      </c>
      <c r="U38" s="38" t="s">
        <v>46</v>
      </c>
      <c r="V38" s="38" t="s">
        <v>80</v>
      </c>
      <c r="W38" s="38" t="s">
        <v>46</v>
      </c>
    </row>
    <row r="39" spans="1:23" x14ac:dyDescent="0.2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N39" s="38">
        <v>1</v>
      </c>
      <c r="O39" s="38">
        <v>5</v>
      </c>
      <c r="P39" s="38" t="s">
        <v>43</v>
      </c>
      <c r="Q39" s="91" t="b">
        <v>0</v>
      </c>
      <c r="R39" s="38"/>
      <c r="S39" s="38">
        <v>0</v>
      </c>
      <c r="T39" s="38">
        <v>0</v>
      </c>
      <c r="U39" s="38" t="s">
        <v>46</v>
      </c>
      <c r="V39" s="38" t="s">
        <v>80</v>
      </c>
      <c r="W39" s="38" t="s">
        <v>46</v>
      </c>
    </row>
    <row r="40" spans="1:23" x14ac:dyDescent="0.2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N40" s="38">
        <v>1</v>
      </c>
      <c r="O40" s="38">
        <v>5</v>
      </c>
      <c r="P40" s="38" t="s">
        <v>43</v>
      </c>
      <c r="Q40" s="91" t="b">
        <v>0</v>
      </c>
      <c r="R40" s="38"/>
      <c r="S40" s="38">
        <v>0</v>
      </c>
      <c r="T40" s="38">
        <v>0</v>
      </c>
      <c r="U40" s="38" t="s">
        <v>46</v>
      </c>
      <c r="V40" s="38" t="s">
        <v>80</v>
      </c>
      <c r="W40" s="38" t="s">
        <v>46</v>
      </c>
    </row>
    <row r="41" spans="1:23" x14ac:dyDescent="0.2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N41" s="38">
        <v>1</v>
      </c>
      <c r="O41" s="38">
        <v>5</v>
      </c>
      <c r="P41" s="38" t="s">
        <v>43</v>
      </c>
      <c r="Q41" s="91" t="b">
        <v>0</v>
      </c>
      <c r="R41" s="38"/>
      <c r="S41" s="38">
        <v>0</v>
      </c>
      <c r="T41" s="38">
        <v>0</v>
      </c>
      <c r="U41" s="38" t="s">
        <v>46</v>
      </c>
      <c r="V41" s="38" t="s">
        <v>80</v>
      </c>
      <c r="W41" s="38" t="s">
        <v>46</v>
      </c>
    </row>
    <row r="42" spans="1:23" x14ac:dyDescent="0.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N42" s="38">
        <v>1</v>
      </c>
      <c r="O42" s="38">
        <v>5</v>
      </c>
      <c r="P42" s="38" t="s">
        <v>43</v>
      </c>
      <c r="Q42" s="91" t="b">
        <v>0</v>
      </c>
      <c r="R42" s="38"/>
      <c r="S42" s="38">
        <v>0</v>
      </c>
      <c r="T42" s="38">
        <v>0</v>
      </c>
      <c r="U42" s="38" t="s">
        <v>46</v>
      </c>
      <c r="V42" s="38" t="s">
        <v>80</v>
      </c>
      <c r="W42" s="38" t="s">
        <v>46</v>
      </c>
    </row>
    <row r="43" spans="1:23" x14ac:dyDescent="0.2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N43" s="38">
        <v>1</v>
      </c>
      <c r="O43" s="38">
        <v>5</v>
      </c>
      <c r="P43" s="38" t="s">
        <v>43</v>
      </c>
      <c r="Q43" s="91" t="b">
        <v>0</v>
      </c>
      <c r="R43" s="38"/>
      <c r="S43" s="38">
        <v>0</v>
      </c>
      <c r="T43" s="38">
        <v>0</v>
      </c>
      <c r="U43" s="38" t="s">
        <v>46</v>
      </c>
      <c r="V43" s="38" t="s">
        <v>80</v>
      </c>
      <c r="W43" s="38" t="s">
        <v>46</v>
      </c>
    </row>
    <row r="44" spans="1:23" x14ac:dyDescent="0.2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N44" s="38">
        <v>1</v>
      </c>
      <c r="O44" s="38">
        <v>5</v>
      </c>
      <c r="P44" s="38" t="s">
        <v>43</v>
      </c>
      <c r="Q44" s="91" t="b">
        <v>0</v>
      </c>
      <c r="R44" s="38"/>
      <c r="S44" s="38">
        <v>0</v>
      </c>
      <c r="T44" s="38">
        <v>0</v>
      </c>
      <c r="U44" s="38" t="s">
        <v>46</v>
      </c>
      <c r="V44" s="38" t="s">
        <v>80</v>
      </c>
      <c r="W44" s="38" t="s">
        <v>46</v>
      </c>
    </row>
    <row r="45" spans="1:23" x14ac:dyDescent="0.2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38">
        <v>1</v>
      </c>
      <c r="O45" s="38">
        <v>5</v>
      </c>
      <c r="P45" s="38" t="s">
        <v>43</v>
      </c>
      <c r="Q45" s="91" t="b">
        <v>0</v>
      </c>
      <c r="R45" s="38"/>
      <c r="S45" s="38">
        <v>0</v>
      </c>
      <c r="T45" s="38">
        <v>0</v>
      </c>
      <c r="U45" s="38" t="s">
        <v>46</v>
      </c>
      <c r="V45" s="38" t="s">
        <v>80</v>
      </c>
      <c r="W45" s="38" t="s">
        <v>46</v>
      </c>
    </row>
    <row r="46" spans="1:23" x14ac:dyDescent="0.2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38">
        <v>1</v>
      </c>
      <c r="O46" s="38">
        <v>5</v>
      </c>
      <c r="P46" s="38" t="s">
        <v>43</v>
      </c>
      <c r="Q46" s="91" t="b">
        <v>0</v>
      </c>
      <c r="R46" s="38"/>
      <c r="S46" s="38">
        <v>0</v>
      </c>
      <c r="T46" s="38">
        <v>0</v>
      </c>
      <c r="U46" s="38" t="s">
        <v>46</v>
      </c>
      <c r="V46" s="38" t="s">
        <v>80</v>
      </c>
      <c r="W46" s="38" t="s">
        <v>46</v>
      </c>
    </row>
    <row r="47" spans="1:23" x14ac:dyDescent="0.2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38">
        <v>1</v>
      </c>
      <c r="O47" s="38">
        <v>5</v>
      </c>
      <c r="P47" s="38" t="s">
        <v>43</v>
      </c>
      <c r="Q47" s="91" t="b">
        <v>0</v>
      </c>
      <c r="R47" s="38"/>
      <c r="S47" s="38">
        <v>0</v>
      </c>
      <c r="T47" s="38">
        <v>0</v>
      </c>
      <c r="U47" s="38" t="s">
        <v>46</v>
      </c>
      <c r="V47" s="38" t="s">
        <v>80</v>
      </c>
      <c r="W47" s="38" t="s">
        <v>46</v>
      </c>
    </row>
    <row r="48" spans="1:23" x14ac:dyDescent="0.2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38">
        <v>1</v>
      </c>
      <c r="O48" s="38">
        <v>5</v>
      </c>
      <c r="P48" s="38" t="s">
        <v>43</v>
      </c>
      <c r="Q48" s="91" t="b">
        <v>0</v>
      </c>
      <c r="R48" s="38"/>
      <c r="S48" s="38">
        <v>0</v>
      </c>
      <c r="T48" s="38">
        <v>0</v>
      </c>
      <c r="U48" s="38" t="s">
        <v>46</v>
      </c>
      <c r="V48" s="38" t="s">
        <v>80</v>
      </c>
      <c r="W48" s="38" t="s">
        <v>46</v>
      </c>
    </row>
    <row r="49" spans="1:23" x14ac:dyDescent="0.2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N49" s="38">
        <v>1</v>
      </c>
      <c r="O49" s="38">
        <v>5</v>
      </c>
      <c r="P49" s="38" t="s">
        <v>43</v>
      </c>
      <c r="Q49" s="91" t="b">
        <v>0</v>
      </c>
      <c r="R49" s="38"/>
      <c r="S49" s="38">
        <v>0</v>
      </c>
      <c r="T49" s="38">
        <v>0</v>
      </c>
      <c r="U49" s="38" t="s">
        <v>46</v>
      </c>
      <c r="V49" s="38" t="s">
        <v>80</v>
      </c>
      <c r="W49" s="38" t="s">
        <v>46</v>
      </c>
    </row>
    <row r="50" spans="1:23" x14ac:dyDescent="0.2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N50" s="38">
        <v>1</v>
      </c>
      <c r="O50" s="38">
        <v>5</v>
      </c>
      <c r="P50" s="38" t="s">
        <v>43</v>
      </c>
      <c r="Q50" s="91" t="b">
        <v>0</v>
      </c>
      <c r="R50" s="38"/>
      <c r="S50" s="38">
        <v>0</v>
      </c>
      <c r="T50" s="38">
        <v>0</v>
      </c>
      <c r="U50" s="38" t="s">
        <v>46</v>
      </c>
      <c r="V50" s="38" t="s">
        <v>80</v>
      </c>
      <c r="W50" s="38" t="s">
        <v>46</v>
      </c>
    </row>
    <row r="51" spans="1:23" x14ac:dyDescent="0.2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N51" s="38">
        <v>1</v>
      </c>
      <c r="O51" s="38">
        <v>5</v>
      </c>
      <c r="P51" s="38" t="s">
        <v>43</v>
      </c>
      <c r="Q51" s="91" t="b">
        <v>0</v>
      </c>
      <c r="R51" s="38"/>
      <c r="S51" s="38">
        <v>0</v>
      </c>
      <c r="T51" s="38">
        <v>0</v>
      </c>
      <c r="U51" s="38" t="s">
        <v>46</v>
      </c>
      <c r="V51" s="38" t="s">
        <v>80</v>
      </c>
      <c r="W51" s="38" t="s">
        <v>46</v>
      </c>
    </row>
    <row r="52" spans="1:23" x14ac:dyDescent="0.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N52" s="38">
        <v>1</v>
      </c>
      <c r="O52" s="38">
        <v>5</v>
      </c>
      <c r="P52" s="38" t="s">
        <v>43</v>
      </c>
      <c r="Q52" s="91" t="b">
        <v>0</v>
      </c>
      <c r="R52" s="38"/>
      <c r="S52" s="38">
        <v>0</v>
      </c>
      <c r="T52" s="38">
        <v>0</v>
      </c>
      <c r="U52" s="38" t="s">
        <v>46</v>
      </c>
      <c r="V52" s="38" t="s">
        <v>80</v>
      </c>
      <c r="W52" s="38" t="s">
        <v>46</v>
      </c>
    </row>
    <row r="53" spans="1:23" x14ac:dyDescent="0.2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N53" s="38">
        <v>1</v>
      </c>
      <c r="O53" s="38">
        <v>5</v>
      </c>
      <c r="P53" s="38" t="s">
        <v>43</v>
      </c>
      <c r="Q53" s="91" t="b">
        <v>0</v>
      </c>
      <c r="R53" s="38"/>
      <c r="S53" s="38">
        <v>0</v>
      </c>
      <c r="T53" s="38">
        <v>0</v>
      </c>
      <c r="U53" s="38" t="s">
        <v>46</v>
      </c>
      <c r="V53" s="38" t="s">
        <v>80</v>
      </c>
      <c r="W53" s="38" t="s">
        <v>46</v>
      </c>
    </row>
    <row r="54" spans="1:23" x14ac:dyDescent="0.2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N54" s="38">
        <v>1</v>
      </c>
      <c r="O54" s="38">
        <v>5</v>
      </c>
      <c r="P54" s="38" t="s">
        <v>43</v>
      </c>
      <c r="Q54" s="91" t="b">
        <v>0</v>
      </c>
      <c r="R54" s="38"/>
      <c r="S54" s="38">
        <v>0</v>
      </c>
      <c r="T54" s="38">
        <v>0</v>
      </c>
      <c r="U54" s="38" t="s">
        <v>46</v>
      </c>
      <c r="V54" s="38" t="s">
        <v>80</v>
      </c>
      <c r="W54" s="38" t="s">
        <v>46</v>
      </c>
    </row>
    <row r="55" spans="1:23" x14ac:dyDescent="0.2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N55" s="38">
        <v>1</v>
      </c>
      <c r="O55" s="38">
        <v>5</v>
      </c>
      <c r="P55" s="38" t="s">
        <v>43</v>
      </c>
      <c r="Q55" s="91" t="b">
        <v>0</v>
      </c>
      <c r="R55" s="38"/>
      <c r="S55" s="38">
        <v>0</v>
      </c>
      <c r="T55" s="38">
        <v>0</v>
      </c>
      <c r="U55" s="38" t="s">
        <v>46</v>
      </c>
      <c r="V55" s="38" t="s">
        <v>80</v>
      </c>
      <c r="W55" s="38" t="s">
        <v>46</v>
      </c>
    </row>
    <row r="56" spans="1:23" x14ac:dyDescent="0.2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N56" s="38">
        <v>1</v>
      </c>
      <c r="O56" s="38">
        <v>5</v>
      </c>
      <c r="P56" s="38" t="s">
        <v>43</v>
      </c>
      <c r="Q56" s="91" t="b">
        <v>0</v>
      </c>
      <c r="R56" s="38"/>
      <c r="S56" s="38">
        <v>0</v>
      </c>
      <c r="T56" s="38">
        <v>0</v>
      </c>
      <c r="U56" s="38" t="s">
        <v>46</v>
      </c>
      <c r="V56" s="38" t="s">
        <v>80</v>
      </c>
      <c r="W56" s="38" t="s">
        <v>46</v>
      </c>
    </row>
    <row r="57" spans="1:23" x14ac:dyDescent="0.2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N57" s="38">
        <v>1</v>
      </c>
      <c r="O57" s="38">
        <v>5</v>
      </c>
      <c r="P57" s="38" t="s">
        <v>43</v>
      </c>
      <c r="Q57" s="91" t="b">
        <v>0</v>
      </c>
      <c r="R57" s="38"/>
      <c r="S57" s="38">
        <v>0</v>
      </c>
      <c r="T57" s="38">
        <v>0</v>
      </c>
      <c r="U57" s="38" t="s">
        <v>46</v>
      </c>
      <c r="V57" s="38" t="s">
        <v>80</v>
      </c>
      <c r="W57" s="38" t="s">
        <v>46</v>
      </c>
    </row>
    <row r="58" spans="1:23" x14ac:dyDescent="0.2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N58" s="38">
        <v>1</v>
      </c>
      <c r="O58" s="38">
        <v>5</v>
      </c>
      <c r="P58" s="38" t="s">
        <v>43</v>
      </c>
      <c r="Q58" s="91" t="b">
        <v>0</v>
      </c>
      <c r="R58" s="38"/>
      <c r="S58" s="38">
        <v>0</v>
      </c>
      <c r="T58" s="38">
        <v>0</v>
      </c>
      <c r="U58" s="38" t="s">
        <v>46</v>
      </c>
      <c r="V58" s="38" t="s">
        <v>80</v>
      </c>
      <c r="W58" s="38" t="s">
        <v>46</v>
      </c>
    </row>
    <row r="59" spans="1:23" x14ac:dyDescent="0.2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N59" s="38">
        <v>1</v>
      </c>
      <c r="O59" s="38">
        <v>5</v>
      </c>
      <c r="P59" s="38" t="s">
        <v>43</v>
      </c>
      <c r="Q59" s="91" t="b">
        <v>0</v>
      </c>
      <c r="R59" s="38"/>
      <c r="S59" s="38">
        <v>0</v>
      </c>
      <c r="T59" s="38">
        <v>0</v>
      </c>
      <c r="U59" s="38" t="s">
        <v>46</v>
      </c>
      <c r="V59" s="38" t="s">
        <v>80</v>
      </c>
      <c r="W59" s="38" t="s">
        <v>46</v>
      </c>
    </row>
    <row r="60" spans="1:23" x14ac:dyDescent="0.2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N60" s="38">
        <v>1</v>
      </c>
      <c r="O60" s="38">
        <v>5</v>
      </c>
      <c r="P60" s="38" t="s">
        <v>43</v>
      </c>
      <c r="Q60" s="91" t="b">
        <v>0</v>
      </c>
      <c r="R60" s="38"/>
      <c r="S60" s="38">
        <v>0</v>
      </c>
      <c r="T60" s="38">
        <v>0</v>
      </c>
      <c r="U60" s="38" t="s">
        <v>46</v>
      </c>
      <c r="V60" s="38" t="s">
        <v>80</v>
      </c>
      <c r="W60" s="38" t="s">
        <v>46</v>
      </c>
    </row>
    <row r="61" spans="1:23" x14ac:dyDescent="0.2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N61" s="38">
        <v>1</v>
      </c>
      <c r="O61" s="38">
        <v>5</v>
      </c>
      <c r="P61" s="38" t="s">
        <v>43</v>
      </c>
      <c r="Q61" s="91" t="b">
        <v>0</v>
      </c>
      <c r="R61" s="38"/>
      <c r="S61" s="38">
        <v>0</v>
      </c>
      <c r="T61" s="38">
        <v>0</v>
      </c>
      <c r="U61" s="38" t="s">
        <v>46</v>
      </c>
      <c r="V61" s="38" t="s">
        <v>80</v>
      </c>
      <c r="W61" s="38" t="s">
        <v>46</v>
      </c>
    </row>
    <row r="62" spans="1:23" x14ac:dyDescent="0.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N62" s="38">
        <v>1</v>
      </c>
      <c r="O62" s="38">
        <v>5</v>
      </c>
      <c r="P62" s="38" t="s">
        <v>43</v>
      </c>
      <c r="Q62" s="91" t="b">
        <v>0</v>
      </c>
      <c r="R62" s="38"/>
      <c r="S62" s="38">
        <v>0</v>
      </c>
      <c r="T62" s="38">
        <v>0</v>
      </c>
      <c r="U62" s="38" t="s">
        <v>46</v>
      </c>
      <c r="V62" s="38" t="s">
        <v>80</v>
      </c>
      <c r="W62" s="38" t="s">
        <v>46</v>
      </c>
    </row>
    <row r="63" spans="1:23" x14ac:dyDescent="0.2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N63" s="38">
        <v>1</v>
      </c>
      <c r="O63" s="38">
        <v>5</v>
      </c>
      <c r="P63" s="38" t="s">
        <v>43</v>
      </c>
      <c r="Q63" s="91" t="b">
        <v>0</v>
      </c>
      <c r="R63" s="38"/>
      <c r="S63" s="38">
        <v>0</v>
      </c>
      <c r="T63" s="38">
        <v>0</v>
      </c>
      <c r="U63" s="38" t="s">
        <v>46</v>
      </c>
      <c r="V63" s="38" t="s">
        <v>80</v>
      </c>
      <c r="W63" s="38" t="s">
        <v>46</v>
      </c>
    </row>
    <row r="64" spans="1:23" x14ac:dyDescent="0.2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N64" s="38">
        <v>1</v>
      </c>
      <c r="O64" s="38">
        <v>5</v>
      </c>
      <c r="P64" s="38" t="s">
        <v>43</v>
      </c>
      <c r="Q64" s="91" t="b">
        <v>0</v>
      </c>
      <c r="R64" s="38"/>
      <c r="S64" s="38">
        <v>0</v>
      </c>
      <c r="T64" s="38">
        <v>0</v>
      </c>
      <c r="U64" s="38" t="s">
        <v>46</v>
      </c>
      <c r="V64" s="38" t="s">
        <v>80</v>
      </c>
      <c r="W64" s="38" t="s">
        <v>46</v>
      </c>
    </row>
    <row r="65" spans="1:23" x14ac:dyDescent="0.2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N65" s="38">
        <v>1</v>
      </c>
      <c r="O65" s="38">
        <v>5</v>
      </c>
      <c r="P65" s="38" t="s">
        <v>43</v>
      </c>
      <c r="Q65" s="91" t="b">
        <v>0</v>
      </c>
      <c r="R65" s="38"/>
      <c r="S65" s="38">
        <v>0</v>
      </c>
      <c r="T65" s="38">
        <v>0</v>
      </c>
      <c r="U65" s="38" t="s">
        <v>46</v>
      </c>
      <c r="V65" s="38" t="s">
        <v>80</v>
      </c>
      <c r="W65" s="38" t="s">
        <v>46</v>
      </c>
    </row>
    <row r="66" spans="1:23" x14ac:dyDescent="0.2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N66" s="38">
        <v>1</v>
      </c>
      <c r="O66" s="38">
        <v>5</v>
      </c>
      <c r="P66" s="38" t="s">
        <v>43</v>
      </c>
      <c r="Q66" s="91" t="b">
        <v>0</v>
      </c>
      <c r="R66" s="38"/>
      <c r="S66" s="38">
        <v>0</v>
      </c>
      <c r="T66" s="38">
        <v>0</v>
      </c>
      <c r="U66" s="38" t="s">
        <v>46</v>
      </c>
      <c r="V66" s="38" t="s">
        <v>80</v>
      </c>
      <c r="W66" s="38" t="s">
        <v>46</v>
      </c>
    </row>
    <row r="67" spans="1:23" x14ac:dyDescent="0.2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N67" s="38">
        <v>1</v>
      </c>
      <c r="O67" s="38">
        <v>5</v>
      </c>
      <c r="P67" s="38" t="s">
        <v>43</v>
      </c>
      <c r="Q67" s="91" t="b">
        <v>0</v>
      </c>
      <c r="R67" s="38"/>
      <c r="S67" s="38">
        <v>0</v>
      </c>
      <c r="T67" s="38">
        <v>0</v>
      </c>
      <c r="U67" s="38" t="s">
        <v>46</v>
      </c>
      <c r="V67" s="38" t="s">
        <v>80</v>
      </c>
      <c r="W67" s="38" t="s">
        <v>46</v>
      </c>
    </row>
    <row r="68" spans="1:23" x14ac:dyDescent="0.2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N68" s="38">
        <v>1</v>
      </c>
      <c r="O68" s="38">
        <v>5</v>
      </c>
      <c r="P68" s="38" t="s">
        <v>43</v>
      </c>
      <c r="Q68" s="91" t="b">
        <v>0</v>
      </c>
      <c r="R68" s="38"/>
      <c r="S68" s="38">
        <v>0</v>
      </c>
      <c r="T68" s="38">
        <v>0</v>
      </c>
      <c r="U68" s="38" t="s">
        <v>46</v>
      </c>
      <c r="V68" s="38" t="s">
        <v>80</v>
      </c>
      <c r="W68" s="38" t="s">
        <v>46</v>
      </c>
    </row>
    <row r="69" spans="1:23" x14ac:dyDescent="0.2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N69" s="38">
        <v>1</v>
      </c>
      <c r="O69" s="38">
        <v>5</v>
      </c>
      <c r="P69" s="38" t="s">
        <v>43</v>
      </c>
      <c r="Q69" s="91" t="b">
        <v>0</v>
      </c>
      <c r="R69" s="38"/>
      <c r="S69" s="38">
        <v>0</v>
      </c>
      <c r="T69" s="38">
        <v>0</v>
      </c>
      <c r="U69" s="38" t="s">
        <v>46</v>
      </c>
      <c r="V69" s="38" t="s">
        <v>80</v>
      </c>
      <c r="W69" s="38" t="s">
        <v>46</v>
      </c>
    </row>
    <row r="70" spans="1:23" x14ac:dyDescent="0.2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N70" s="38">
        <v>1</v>
      </c>
      <c r="O70" s="38">
        <v>5</v>
      </c>
      <c r="P70" s="38" t="s">
        <v>43</v>
      </c>
      <c r="Q70" s="91" t="b">
        <v>0</v>
      </c>
      <c r="R70" s="38"/>
      <c r="S70" s="38">
        <v>0</v>
      </c>
      <c r="T70" s="38">
        <v>0</v>
      </c>
      <c r="U70" s="38" t="s">
        <v>46</v>
      </c>
      <c r="V70" s="38" t="s">
        <v>80</v>
      </c>
      <c r="W70" s="38" t="s">
        <v>46</v>
      </c>
    </row>
    <row r="71" spans="1:23" x14ac:dyDescent="0.2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N71" s="38">
        <v>1</v>
      </c>
      <c r="O71" s="38">
        <v>5</v>
      </c>
      <c r="P71" s="38" t="s">
        <v>43</v>
      </c>
      <c r="Q71" s="91" t="b">
        <v>0</v>
      </c>
      <c r="R71" s="38"/>
      <c r="S71" s="38">
        <v>0</v>
      </c>
      <c r="T71" s="38">
        <v>0</v>
      </c>
      <c r="U71" s="38" t="s">
        <v>46</v>
      </c>
      <c r="V71" s="38" t="s">
        <v>80</v>
      </c>
      <c r="W71" s="38" t="s">
        <v>46</v>
      </c>
    </row>
    <row r="72" spans="1:23" x14ac:dyDescent="0.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N72" s="38">
        <v>1</v>
      </c>
      <c r="O72" s="38">
        <v>5</v>
      </c>
      <c r="P72" s="38" t="s">
        <v>43</v>
      </c>
      <c r="Q72" s="91" t="b">
        <v>0</v>
      </c>
      <c r="R72" s="38"/>
      <c r="S72" s="38">
        <v>0</v>
      </c>
      <c r="T72" s="38">
        <v>0</v>
      </c>
      <c r="U72" s="38" t="s">
        <v>46</v>
      </c>
      <c r="V72" s="38" t="s">
        <v>80</v>
      </c>
      <c r="W72" s="38" t="s">
        <v>46</v>
      </c>
    </row>
    <row r="73" spans="1:23" x14ac:dyDescent="0.2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N73" s="38">
        <v>1</v>
      </c>
      <c r="O73" s="38">
        <v>5</v>
      </c>
      <c r="P73" s="38" t="s">
        <v>43</v>
      </c>
      <c r="Q73" s="91" t="b">
        <v>0</v>
      </c>
      <c r="R73" s="38"/>
      <c r="S73" s="38">
        <v>0</v>
      </c>
      <c r="T73" s="38">
        <v>0</v>
      </c>
      <c r="U73" s="38" t="s">
        <v>46</v>
      </c>
      <c r="V73" s="38" t="s">
        <v>80</v>
      </c>
      <c r="W73" s="38" t="s">
        <v>46</v>
      </c>
    </row>
    <row r="74" spans="1:23" x14ac:dyDescent="0.2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N74" s="38">
        <v>1</v>
      </c>
      <c r="O74" s="38">
        <v>5</v>
      </c>
      <c r="P74" s="38" t="s">
        <v>43</v>
      </c>
      <c r="Q74" s="91" t="b">
        <v>0</v>
      </c>
      <c r="R74" s="38"/>
      <c r="S74" s="38">
        <v>0</v>
      </c>
      <c r="T74" s="38">
        <v>0</v>
      </c>
      <c r="U74" s="38" t="s">
        <v>46</v>
      </c>
      <c r="V74" s="38" t="s">
        <v>80</v>
      </c>
      <c r="W74" s="38" t="s">
        <v>46</v>
      </c>
    </row>
    <row r="75" spans="1:23" x14ac:dyDescent="0.2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N75" s="38">
        <v>1</v>
      </c>
      <c r="O75" s="38">
        <v>5</v>
      </c>
      <c r="P75" s="38" t="s">
        <v>43</v>
      </c>
      <c r="Q75" s="91" t="b">
        <v>0</v>
      </c>
      <c r="R75" s="38"/>
      <c r="S75" s="38">
        <v>0</v>
      </c>
      <c r="T75" s="38">
        <v>0</v>
      </c>
      <c r="U75" s="38" t="s">
        <v>46</v>
      </c>
      <c r="V75" s="38" t="s">
        <v>80</v>
      </c>
      <c r="W75" s="38" t="s">
        <v>46</v>
      </c>
    </row>
    <row r="76" spans="1:23" x14ac:dyDescent="0.2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N76" s="38">
        <v>1</v>
      </c>
      <c r="O76" s="38">
        <v>5</v>
      </c>
      <c r="P76" s="38" t="s">
        <v>43</v>
      </c>
      <c r="Q76" s="91" t="b">
        <v>0</v>
      </c>
      <c r="R76" s="38"/>
      <c r="S76" s="38">
        <v>0</v>
      </c>
      <c r="T76" s="38">
        <v>0</v>
      </c>
      <c r="U76" s="38" t="s">
        <v>46</v>
      </c>
      <c r="V76" s="38" t="s">
        <v>80</v>
      </c>
      <c r="W76" s="38" t="s">
        <v>46</v>
      </c>
    </row>
    <row r="77" spans="1:23" x14ac:dyDescent="0.2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N77" s="38">
        <v>1</v>
      </c>
      <c r="O77" s="38">
        <v>5</v>
      </c>
      <c r="P77" s="38" t="s">
        <v>43</v>
      </c>
      <c r="Q77" s="91" t="b">
        <v>0</v>
      </c>
      <c r="R77" s="38"/>
      <c r="S77" s="38">
        <v>0</v>
      </c>
      <c r="T77" s="38">
        <v>0</v>
      </c>
      <c r="U77" s="38" t="s">
        <v>46</v>
      </c>
      <c r="V77" s="38" t="s">
        <v>80</v>
      </c>
      <c r="W77" s="38" t="s">
        <v>46</v>
      </c>
    </row>
    <row r="78" spans="1:23" x14ac:dyDescent="0.2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N78" s="38">
        <v>1</v>
      </c>
      <c r="O78" s="38">
        <v>5</v>
      </c>
      <c r="P78" s="38" t="s">
        <v>43</v>
      </c>
      <c r="Q78" s="91" t="b">
        <v>0</v>
      </c>
      <c r="R78" s="38"/>
      <c r="S78" s="38">
        <v>0</v>
      </c>
      <c r="T78" s="38">
        <v>0</v>
      </c>
      <c r="U78" s="38" t="s">
        <v>46</v>
      </c>
      <c r="V78" s="38" t="s">
        <v>80</v>
      </c>
      <c r="W78" s="38" t="s">
        <v>46</v>
      </c>
    </row>
    <row r="79" spans="1:23" x14ac:dyDescent="0.2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N79" s="38">
        <v>1</v>
      </c>
      <c r="O79" s="38">
        <v>5</v>
      </c>
      <c r="P79" s="38" t="s">
        <v>43</v>
      </c>
      <c r="Q79" s="91" t="b">
        <v>0</v>
      </c>
      <c r="R79" s="38"/>
      <c r="S79" s="38">
        <v>0</v>
      </c>
      <c r="T79" s="38">
        <v>0</v>
      </c>
      <c r="U79" s="38" t="s">
        <v>46</v>
      </c>
      <c r="V79" s="38" t="s">
        <v>80</v>
      </c>
      <c r="W79" s="38" t="s">
        <v>46</v>
      </c>
    </row>
    <row r="80" spans="1:23" x14ac:dyDescent="0.2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N80" s="38">
        <v>1</v>
      </c>
      <c r="O80" s="38">
        <v>5</v>
      </c>
      <c r="P80" s="38" t="s">
        <v>43</v>
      </c>
      <c r="Q80" s="91" t="b">
        <v>0</v>
      </c>
      <c r="R80" s="38"/>
      <c r="S80" s="38">
        <v>0</v>
      </c>
      <c r="T80" s="38">
        <v>0</v>
      </c>
      <c r="U80" s="38" t="s">
        <v>46</v>
      </c>
      <c r="V80" s="38" t="s">
        <v>80</v>
      </c>
      <c r="W80" s="38" t="s">
        <v>46</v>
      </c>
    </row>
    <row r="81" spans="1:23" x14ac:dyDescent="0.2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N81" s="38">
        <v>1</v>
      </c>
      <c r="O81" s="38">
        <v>5</v>
      </c>
      <c r="P81" s="38" t="s">
        <v>43</v>
      </c>
      <c r="Q81" s="91" t="b">
        <v>0</v>
      </c>
      <c r="R81" s="38"/>
      <c r="S81" s="38">
        <v>0</v>
      </c>
      <c r="T81" s="38">
        <v>0</v>
      </c>
      <c r="U81" s="38" t="s">
        <v>46</v>
      </c>
      <c r="V81" s="38" t="s">
        <v>80</v>
      </c>
      <c r="W81" s="38" t="s">
        <v>46</v>
      </c>
    </row>
    <row r="82" spans="1:23" x14ac:dyDescent="0.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N82" s="38">
        <v>1</v>
      </c>
      <c r="O82" s="38">
        <v>5</v>
      </c>
      <c r="P82" s="38" t="s">
        <v>43</v>
      </c>
      <c r="Q82" s="91" t="b">
        <v>0</v>
      </c>
      <c r="R82" s="38"/>
      <c r="S82" s="38">
        <v>0</v>
      </c>
      <c r="T82" s="38">
        <v>0</v>
      </c>
      <c r="U82" s="38" t="s">
        <v>46</v>
      </c>
      <c r="V82" s="38" t="s">
        <v>80</v>
      </c>
      <c r="W82" s="38" t="s">
        <v>46</v>
      </c>
    </row>
    <row r="83" spans="1:23" x14ac:dyDescent="0.2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N83" s="38">
        <v>1</v>
      </c>
      <c r="O83" s="38">
        <v>5</v>
      </c>
      <c r="P83" s="38" t="s">
        <v>43</v>
      </c>
      <c r="Q83" s="91" t="b">
        <v>0</v>
      </c>
      <c r="R83" s="38"/>
      <c r="S83" s="38">
        <v>0</v>
      </c>
      <c r="T83" s="38">
        <v>0</v>
      </c>
      <c r="U83" s="38" t="s">
        <v>46</v>
      </c>
      <c r="V83" s="38" t="s">
        <v>80</v>
      </c>
      <c r="W83" s="38" t="s">
        <v>46</v>
      </c>
    </row>
    <row r="84" spans="1:23" x14ac:dyDescent="0.2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N84" s="38">
        <v>1</v>
      </c>
      <c r="O84" s="38">
        <v>5</v>
      </c>
      <c r="P84" s="38" t="s">
        <v>43</v>
      </c>
      <c r="Q84" s="91" t="b">
        <v>0</v>
      </c>
      <c r="R84" s="38"/>
      <c r="S84" s="38">
        <v>0</v>
      </c>
      <c r="T84" s="38">
        <v>0</v>
      </c>
      <c r="U84" s="38" t="s">
        <v>46</v>
      </c>
      <c r="V84" s="38" t="s">
        <v>80</v>
      </c>
      <c r="W84" s="38" t="s">
        <v>46</v>
      </c>
    </row>
    <row r="85" spans="1:23" x14ac:dyDescent="0.2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N85" s="38">
        <v>1</v>
      </c>
      <c r="O85" s="38">
        <v>5</v>
      </c>
      <c r="P85" s="38" t="s">
        <v>43</v>
      </c>
      <c r="Q85" s="91" t="b">
        <v>0</v>
      </c>
      <c r="R85" s="38"/>
      <c r="S85" s="38">
        <v>0</v>
      </c>
      <c r="T85" s="38">
        <v>0</v>
      </c>
      <c r="U85" s="38" t="s">
        <v>46</v>
      </c>
      <c r="V85" s="38" t="s">
        <v>80</v>
      </c>
      <c r="W85" s="38" t="s">
        <v>46</v>
      </c>
    </row>
    <row r="86" spans="1:23" x14ac:dyDescent="0.2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N86" s="38">
        <v>1</v>
      </c>
      <c r="O86" s="38">
        <v>5</v>
      </c>
      <c r="P86" s="38" t="s">
        <v>43</v>
      </c>
      <c r="Q86" s="91" t="b">
        <v>0</v>
      </c>
      <c r="R86" s="38"/>
      <c r="S86" s="38">
        <v>0</v>
      </c>
      <c r="T86" s="38">
        <v>0</v>
      </c>
      <c r="U86" s="38" t="s">
        <v>46</v>
      </c>
      <c r="V86" s="38" t="s">
        <v>80</v>
      </c>
      <c r="W86" s="38" t="s">
        <v>46</v>
      </c>
    </row>
    <row r="87" spans="1:23" x14ac:dyDescent="0.2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N87" s="38">
        <v>1</v>
      </c>
      <c r="O87" s="38">
        <v>5</v>
      </c>
      <c r="P87" s="38" t="s">
        <v>43</v>
      </c>
      <c r="Q87" s="91" t="b">
        <v>0</v>
      </c>
      <c r="R87" s="38"/>
      <c r="S87" s="38">
        <v>0</v>
      </c>
      <c r="T87" s="38">
        <v>0</v>
      </c>
      <c r="U87" s="38" t="s">
        <v>46</v>
      </c>
      <c r="V87" s="38" t="s">
        <v>80</v>
      </c>
      <c r="W87" s="38" t="s">
        <v>46</v>
      </c>
    </row>
    <row r="88" spans="1:23" x14ac:dyDescent="0.2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N88" s="38">
        <v>1</v>
      </c>
      <c r="O88" s="38">
        <v>5</v>
      </c>
      <c r="P88" s="38" t="s">
        <v>43</v>
      </c>
      <c r="Q88" s="91" t="b">
        <v>0</v>
      </c>
      <c r="R88" s="38"/>
      <c r="S88" s="38">
        <v>0</v>
      </c>
      <c r="T88" s="38">
        <v>0</v>
      </c>
      <c r="U88" s="38" t="s">
        <v>46</v>
      </c>
      <c r="V88" s="38" t="s">
        <v>80</v>
      </c>
      <c r="W88" s="38" t="s">
        <v>46</v>
      </c>
    </row>
    <row r="89" spans="1:23" x14ac:dyDescent="0.2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N89" s="38">
        <v>1</v>
      </c>
      <c r="O89" s="38">
        <v>5</v>
      </c>
      <c r="P89" s="38" t="s">
        <v>43</v>
      </c>
      <c r="Q89" s="91" t="b">
        <v>0</v>
      </c>
      <c r="R89" s="38"/>
      <c r="S89" s="38">
        <v>0</v>
      </c>
      <c r="T89" s="38">
        <v>0</v>
      </c>
      <c r="U89" s="38" t="s">
        <v>46</v>
      </c>
      <c r="V89" s="38" t="s">
        <v>80</v>
      </c>
      <c r="W89" s="38" t="s">
        <v>46</v>
      </c>
    </row>
    <row r="90" spans="1:23" x14ac:dyDescent="0.2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N90" s="38">
        <v>1</v>
      </c>
      <c r="O90" s="38">
        <v>5</v>
      </c>
      <c r="P90" s="38" t="s">
        <v>43</v>
      </c>
      <c r="Q90" s="91" t="b">
        <v>0</v>
      </c>
      <c r="R90" s="38"/>
      <c r="S90" s="38">
        <v>0</v>
      </c>
      <c r="T90" s="38">
        <v>0</v>
      </c>
      <c r="U90" s="38" t="s">
        <v>46</v>
      </c>
      <c r="V90" s="38" t="s">
        <v>80</v>
      </c>
      <c r="W90" s="38" t="s">
        <v>46</v>
      </c>
    </row>
    <row r="91" spans="1:23" x14ac:dyDescent="0.2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N91" s="38">
        <v>1</v>
      </c>
      <c r="O91" s="38">
        <v>5</v>
      </c>
      <c r="P91" s="38" t="s">
        <v>43</v>
      </c>
      <c r="Q91" s="91" t="b">
        <v>0</v>
      </c>
      <c r="R91" s="38"/>
      <c r="S91" s="38">
        <v>0</v>
      </c>
      <c r="T91" s="38">
        <v>0</v>
      </c>
      <c r="U91" s="38" t="s">
        <v>46</v>
      </c>
      <c r="V91" s="38" t="s">
        <v>80</v>
      </c>
      <c r="W91" s="38" t="s">
        <v>46</v>
      </c>
    </row>
    <row r="92" spans="1:23" x14ac:dyDescent="0.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N92" s="38">
        <v>1</v>
      </c>
      <c r="O92" s="38">
        <v>5</v>
      </c>
      <c r="P92" s="38" t="s">
        <v>43</v>
      </c>
      <c r="Q92" s="91" t="b">
        <v>0</v>
      </c>
      <c r="R92" s="38"/>
      <c r="S92" s="38">
        <v>0</v>
      </c>
      <c r="T92" s="38">
        <v>0</v>
      </c>
      <c r="U92" s="38" t="s">
        <v>46</v>
      </c>
      <c r="V92" s="38" t="s">
        <v>80</v>
      </c>
      <c r="W92" s="38" t="s">
        <v>46</v>
      </c>
    </row>
    <row r="93" spans="1:23" x14ac:dyDescent="0.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N93" s="38">
        <v>1</v>
      </c>
      <c r="O93" s="38">
        <v>5</v>
      </c>
      <c r="P93" s="38" t="s">
        <v>43</v>
      </c>
      <c r="Q93" s="91" t="b">
        <v>0</v>
      </c>
      <c r="R93" s="38"/>
      <c r="S93" s="38">
        <v>0</v>
      </c>
      <c r="T93" s="38">
        <v>0</v>
      </c>
      <c r="U93" s="38" t="s">
        <v>46</v>
      </c>
      <c r="V93" s="38" t="s">
        <v>80</v>
      </c>
      <c r="W93" s="38" t="s">
        <v>46</v>
      </c>
    </row>
    <row r="94" spans="1:23" x14ac:dyDescent="0.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N94" s="38">
        <v>1</v>
      </c>
      <c r="O94" s="38">
        <v>5</v>
      </c>
      <c r="P94" s="38" t="s">
        <v>43</v>
      </c>
      <c r="Q94" s="91" t="b">
        <v>0</v>
      </c>
      <c r="R94" s="38"/>
      <c r="S94" s="38">
        <v>0</v>
      </c>
      <c r="T94" s="38">
        <v>0</v>
      </c>
      <c r="U94" s="38" t="s">
        <v>46</v>
      </c>
      <c r="V94" s="38" t="s">
        <v>80</v>
      </c>
      <c r="W94" s="38" t="s">
        <v>46</v>
      </c>
    </row>
    <row r="95" spans="1:23" x14ac:dyDescent="0.2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N95" s="38">
        <v>1</v>
      </c>
      <c r="O95" s="38">
        <v>5</v>
      </c>
      <c r="P95" s="38" t="s">
        <v>43</v>
      </c>
      <c r="Q95" s="91" t="b">
        <v>0</v>
      </c>
      <c r="R95" s="38"/>
      <c r="S95" s="38">
        <v>0</v>
      </c>
      <c r="T95" s="38">
        <v>0</v>
      </c>
      <c r="U95" s="38" t="s">
        <v>46</v>
      </c>
      <c r="V95" s="38" t="s">
        <v>80</v>
      </c>
      <c r="W95" s="38" t="s">
        <v>46</v>
      </c>
    </row>
    <row r="96" spans="1:23" x14ac:dyDescent="0.2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N96" s="38">
        <v>1</v>
      </c>
      <c r="O96" s="38">
        <v>5</v>
      </c>
      <c r="P96" s="38" t="s">
        <v>43</v>
      </c>
      <c r="Q96" s="91" t="b">
        <v>0</v>
      </c>
      <c r="R96" s="38"/>
      <c r="S96" s="38">
        <v>0</v>
      </c>
      <c r="T96" s="38">
        <v>0</v>
      </c>
      <c r="U96" s="38" t="s">
        <v>46</v>
      </c>
      <c r="V96" s="38" t="s">
        <v>80</v>
      </c>
      <c r="W96" s="38" t="s">
        <v>46</v>
      </c>
    </row>
    <row r="97" spans="1:23" x14ac:dyDescent="0.2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N97" s="38">
        <v>1</v>
      </c>
      <c r="O97" s="38">
        <v>5</v>
      </c>
      <c r="P97" s="38" t="s">
        <v>43</v>
      </c>
      <c r="Q97" s="91" t="b">
        <v>0</v>
      </c>
      <c r="R97" s="38"/>
      <c r="S97" s="38">
        <v>0</v>
      </c>
      <c r="T97" s="38">
        <v>0</v>
      </c>
      <c r="U97" s="38" t="s">
        <v>46</v>
      </c>
      <c r="V97" s="38" t="s">
        <v>80</v>
      </c>
      <c r="W97" s="38" t="s">
        <v>46</v>
      </c>
    </row>
    <row r="98" spans="1:23" x14ac:dyDescent="0.2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N98" s="38">
        <v>1</v>
      </c>
      <c r="O98" s="38">
        <v>5</v>
      </c>
      <c r="P98" s="38" t="s">
        <v>43</v>
      </c>
      <c r="Q98" s="91" t="b">
        <v>0</v>
      </c>
      <c r="R98" s="38"/>
      <c r="S98" s="38">
        <v>0</v>
      </c>
      <c r="T98" s="38">
        <v>0</v>
      </c>
      <c r="U98" s="38" t="s">
        <v>46</v>
      </c>
      <c r="V98" s="38" t="s">
        <v>80</v>
      </c>
      <c r="W98" s="38" t="s">
        <v>46</v>
      </c>
    </row>
    <row r="99" spans="1:23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N99" s="38">
        <v>1</v>
      </c>
      <c r="O99" s="38">
        <v>5</v>
      </c>
      <c r="P99" s="38" t="s">
        <v>43</v>
      </c>
      <c r="Q99" s="91" t="b">
        <v>0</v>
      </c>
      <c r="R99" s="38"/>
      <c r="S99" s="38">
        <v>0</v>
      </c>
      <c r="T99" s="38">
        <v>0</v>
      </c>
      <c r="U99" s="38" t="s">
        <v>46</v>
      </c>
      <c r="V99" s="38" t="s">
        <v>80</v>
      </c>
      <c r="W99" s="38" t="s">
        <v>46</v>
      </c>
    </row>
    <row r="100" spans="1:23" x14ac:dyDescent="0.2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N100" s="38">
        <v>1</v>
      </c>
      <c r="O100" s="38">
        <v>5</v>
      </c>
      <c r="P100" s="38" t="s">
        <v>43</v>
      </c>
      <c r="Q100" s="91" t="b">
        <v>0</v>
      </c>
      <c r="R100" s="38"/>
      <c r="S100" s="38">
        <v>0</v>
      </c>
      <c r="T100" s="38">
        <v>0</v>
      </c>
      <c r="U100" s="38" t="s">
        <v>46</v>
      </c>
      <c r="V100" s="38" t="s">
        <v>80</v>
      </c>
      <c r="W100" s="38" t="s">
        <v>46</v>
      </c>
    </row>
    <row r="101" spans="1:23" x14ac:dyDescent="0.2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N101" s="38">
        <v>1</v>
      </c>
      <c r="O101" s="38">
        <v>5</v>
      </c>
      <c r="P101" s="38" t="s">
        <v>43</v>
      </c>
      <c r="Q101" s="91" t="b">
        <v>0</v>
      </c>
      <c r="R101" s="38"/>
      <c r="S101" s="38">
        <v>0</v>
      </c>
      <c r="T101" s="38">
        <v>0</v>
      </c>
      <c r="U101" s="38" t="s">
        <v>46</v>
      </c>
      <c r="V101" s="38" t="s">
        <v>80</v>
      </c>
      <c r="W101" s="38" t="s">
        <v>46</v>
      </c>
    </row>
    <row r="102" spans="1:23" x14ac:dyDescent="0.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N102" s="38">
        <v>1</v>
      </c>
      <c r="O102" s="38">
        <v>5</v>
      </c>
      <c r="P102" s="38" t="s">
        <v>43</v>
      </c>
      <c r="Q102" s="91" t="b">
        <v>0</v>
      </c>
      <c r="R102" s="38"/>
      <c r="S102" s="38">
        <v>0</v>
      </c>
      <c r="T102" s="38">
        <v>0</v>
      </c>
      <c r="U102" s="38" t="s">
        <v>46</v>
      </c>
      <c r="V102" s="38" t="s">
        <v>80</v>
      </c>
      <c r="W102" s="38" t="s">
        <v>46</v>
      </c>
    </row>
    <row r="103" spans="1:23" x14ac:dyDescent="0.2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N103" s="38">
        <v>1</v>
      </c>
      <c r="O103" s="38">
        <v>5</v>
      </c>
      <c r="P103" s="38" t="s">
        <v>43</v>
      </c>
      <c r="Q103" s="91" t="b">
        <v>0</v>
      </c>
      <c r="R103" s="38"/>
      <c r="S103" s="38">
        <v>0</v>
      </c>
      <c r="T103" s="38">
        <v>0</v>
      </c>
      <c r="U103" s="38" t="s">
        <v>46</v>
      </c>
      <c r="V103" s="38" t="s">
        <v>80</v>
      </c>
      <c r="W103" s="38" t="s">
        <v>46</v>
      </c>
    </row>
    <row r="104" spans="1:23" x14ac:dyDescent="0.2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N104" s="38">
        <v>1</v>
      </c>
      <c r="O104" s="38">
        <v>5</v>
      </c>
      <c r="P104" s="38" t="s">
        <v>43</v>
      </c>
      <c r="Q104" s="91" t="b">
        <v>0</v>
      </c>
      <c r="R104" s="38"/>
      <c r="S104" s="38">
        <v>0</v>
      </c>
      <c r="T104" s="38">
        <v>0</v>
      </c>
      <c r="U104" s="38" t="s">
        <v>46</v>
      </c>
      <c r="V104" s="38" t="s">
        <v>80</v>
      </c>
      <c r="W104" s="38" t="s">
        <v>46</v>
      </c>
    </row>
    <row r="105" spans="1:23" x14ac:dyDescent="0.2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N105" s="38">
        <v>1</v>
      </c>
      <c r="O105" s="38">
        <v>5</v>
      </c>
      <c r="P105" s="38" t="s">
        <v>43</v>
      </c>
      <c r="Q105" s="91" t="b">
        <v>0</v>
      </c>
      <c r="R105" s="38"/>
      <c r="S105" s="38">
        <v>0</v>
      </c>
      <c r="T105" s="38">
        <v>0</v>
      </c>
      <c r="U105" s="38" t="s">
        <v>46</v>
      </c>
      <c r="V105" s="38" t="s">
        <v>80</v>
      </c>
      <c r="W105" s="38" t="s">
        <v>46</v>
      </c>
    </row>
    <row r="106" spans="1:23" x14ac:dyDescent="0.2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N106" s="38">
        <v>1</v>
      </c>
      <c r="O106" s="38">
        <v>5</v>
      </c>
      <c r="P106" s="38" t="s">
        <v>43</v>
      </c>
      <c r="Q106" s="91" t="b">
        <v>0</v>
      </c>
      <c r="R106" s="38"/>
      <c r="S106" s="38">
        <v>0</v>
      </c>
      <c r="T106" s="38">
        <v>0</v>
      </c>
      <c r="U106" s="38" t="s">
        <v>46</v>
      </c>
      <c r="V106" s="38" t="s">
        <v>80</v>
      </c>
      <c r="W106" s="38" t="s">
        <v>46</v>
      </c>
    </row>
    <row r="107" spans="1:23" x14ac:dyDescent="0.2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N107" s="38">
        <v>1</v>
      </c>
      <c r="O107" s="38">
        <v>5</v>
      </c>
      <c r="P107" s="38" t="s">
        <v>43</v>
      </c>
      <c r="Q107" s="91" t="b">
        <v>0</v>
      </c>
      <c r="R107" s="38"/>
      <c r="S107" s="38">
        <v>0</v>
      </c>
      <c r="T107" s="38">
        <v>0</v>
      </c>
      <c r="U107" s="38" t="s">
        <v>46</v>
      </c>
      <c r="V107" s="38" t="s">
        <v>80</v>
      </c>
      <c r="W107" s="38" t="s">
        <v>46</v>
      </c>
    </row>
    <row r="108" spans="1:23" x14ac:dyDescent="0.2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N108" s="38">
        <v>1</v>
      </c>
      <c r="O108" s="38">
        <v>5</v>
      </c>
      <c r="P108" s="38" t="s">
        <v>43</v>
      </c>
      <c r="Q108" s="91" t="b">
        <v>0</v>
      </c>
      <c r="R108" s="38"/>
      <c r="S108" s="38">
        <v>0</v>
      </c>
      <c r="T108" s="38">
        <v>0</v>
      </c>
      <c r="U108" s="38" t="s">
        <v>46</v>
      </c>
      <c r="V108" s="38" t="s">
        <v>80</v>
      </c>
      <c r="W108" s="38" t="s">
        <v>46</v>
      </c>
    </row>
    <row r="109" spans="1:23" x14ac:dyDescent="0.2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N109" s="38">
        <v>1</v>
      </c>
      <c r="O109" s="38">
        <v>5</v>
      </c>
      <c r="P109" s="38" t="s">
        <v>43</v>
      </c>
      <c r="Q109" s="91" t="b">
        <v>0</v>
      </c>
      <c r="R109" s="38"/>
      <c r="S109" s="38">
        <v>0</v>
      </c>
      <c r="T109" s="38">
        <v>0</v>
      </c>
      <c r="U109" s="38" t="s">
        <v>46</v>
      </c>
      <c r="V109" s="38" t="s">
        <v>80</v>
      </c>
      <c r="W109" s="38" t="s">
        <v>46</v>
      </c>
    </row>
    <row r="110" spans="1:23" x14ac:dyDescent="0.2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N110" s="38">
        <v>1</v>
      </c>
      <c r="O110" s="38">
        <v>5</v>
      </c>
      <c r="P110" s="38" t="s">
        <v>43</v>
      </c>
      <c r="Q110" s="91" t="b">
        <v>0</v>
      </c>
      <c r="R110" s="38"/>
      <c r="S110" s="38">
        <v>0</v>
      </c>
      <c r="T110" s="38">
        <v>0</v>
      </c>
      <c r="U110" s="38" t="s">
        <v>46</v>
      </c>
      <c r="V110" s="38" t="s">
        <v>80</v>
      </c>
      <c r="W110" s="38" t="s">
        <v>46</v>
      </c>
    </row>
    <row r="111" spans="1:23" x14ac:dyDescent="0.2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N111" s="38">
        <v>1</v>
      </c>
      <c r="O111" s="38">
        <v>5</v>
      </c>
      <c r="P111" s="38" t="s">
        <v>43</v>
      </c>
      <c r="Q111" s="91" t="b">
        <v>0</v>
      </c>
      <c r="R111" s="38"/>
      <c r="S111" s="38">
        <v>0</v>
      </c>
      <c r="T111" s="38">
        <v>0</v>
      </c>
      <c r="U111" s="38" t="s">
        <v>46</v>
      </c>
      <c r="V111" s="38" t="s">
        <v>80</v>
      </c>
      <c r="W111" s="38" t="s">
        <v>46</v>
      </c>
    </row>
    <row r="112" spans="1:23" x14ac:dyDescent="0.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N112" s="38">
        <v>1</v>
      </c>
      <c r="O112" s="38">
        <v>5</v>
      </c>
      <c r="P112" s="38" t="s">
        <v>43</v>
      </c>
      <c r="Q112" s="91" t="b">
        <v>0</v>
      </c>
      <c r="R112" s="38"/>
      <c r="S112" s="38">
        <v>0</v>
      </c>
      <c r="T112" s="38">
        <v>0</v>
      </c>
      <c r="U112" s="38" t="s">
        <v>46</v>
      </c>
      <c r="V112" s="38" t="s">
        <v>80</v>
      </c>
      <c r="W112" s="38" t="s">
        <v>46</v>
      </c>
    </row>
    <row r="113" spans="1:23" x14ac:dyDescent="0.2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N113" s="38">
        <v>1</v>
      </c>
      <c r="O113" s="38">
        <v>5</v>
      </c>
      <c r="P113" s="38" t="s">
        <v>43</v>
      </c>
      <c r="Q113" s="91" t="b">
        <v>0</v>
      </c>
      <c r="R113" s="38"/>
      <c r="S113" s="38">
        <v>0</v>
      </c>
      <c r="T113" s="38">
        <v>0</v>
      </c>
      <c r="U113" s="38" t="s">
        <v>46</v>
      </c>
      <c r="V113" s="38" t="s">
        <v>80</v>
      </c>
      <c r="W113" s="38" t="s">
        <v>46</v>
      </c>
    </row>
    <row r="114" spans="1:23" x14ac:dyDescent="0.2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N114" s="38">
        <v>1</v>
      </c>
      <c r="O114" s="38">
        <v>5</v>
      </c>
      <c r="P114" s="38" t="s">
        <v>43</v>
      </c>
      <c r="Q114" s="91" t="b">
        <v>0</v>
      </c>
      <c r="R114" s="38"/>
      <c r="S114" s="38">
        <v>0</v>
      </c>
      <c r="T114" s="38">
        <v>0</v>
      </c>
      <c r="U114" s="38" t="s">
        <v>46</v>
      </c>
      <c r="V114" s="38" t="s">
        <v>80</v>
      </c>
      <c r="W114" s="38" t="s">
        <v>46</v>
      </c>
    </row>
    <row r="115" spans="1:23" x14ac:dyDescent="0.2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N115" s="38">
        <v>1</v>
      </c>
      <c r="O115" s="38">
        <v>5</v>
      </c>
      <c r="P115" s="38" t="s">
        <v>43</v>
      </c>
      <c r="Q115" s="91" t="b">
        <v>0</v>
      </c>
      <c r="R115" s="38"/>
      <c r="S115" s="38">
        <v>0</v>
      </c>
      <c r="T115" s="38">
        <v>0</v>
      </c>
      <c r="U115" s="38" t="s">
        <v>46</v>
      </c>
      <c r="V115" s="38" t="s">
        <v>80</v>
      </c>
      <c r="W115" s="38" t="s">
        <v>46</v>
      </c>
    </row>
    <row r="116" spans="1:23" x14ac:dyDescent="0.2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N116" s="38">
        <v>1</v>
      </c>
      <c r="O116" s="38">
        <v>5</v>
      </c>
      <c r="P116" s="38" t="s">
        <v>43</v>
      </c>
      <c r="Q116" s="91" t="b">
        <v>0</v>
      </c>
      <c r="R116" s="38"/>
      <c r="S116" s="38">
        <v>0</v>
      </c>
      <c r="T116" s="38">
        <v>0</v>
      </c>
      <c r="U116" s="38" t="s">
        <v>46</v>
      </c>
      <c r="V116" s="38" t="s">
        <v>80</v>
      </c>
      <c r="W116" s="38" t="s">
        <v>46</v>
      </c>
    </row>
    <row r="117" spans="1:23" x14ac:dyDescent="0.2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N117" s="38">
        <v>1</v>
      </c>
      <c r="O117" s="38">
        <v>5</v>
      </c>
      <c r="P117" s="38" t="s">
        <v>43</v>
      </c>
      <c r="Q117" s="91" t="b">
        <v>0</v>
      </c>
      <c r="R117" s="38"/>
      <c r="S117" s="38">
        <v>0</v>
      </c>
      <c r="T117" s="38">
        <v>0</v>
      </c>
      <c r="U117" s="38" t="s">
        <v>46</v>
      </c>
      <c r="V117" s="38" t="s">
        <v>80</v>
      </c>
      <c r="W117" s="38" t="s">
        <v>46</v>
      </c>
    </row>
    <row r="118" spans="1:23" x14ac:dyDescent="0.2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N118" s="38">
        <v>1</v>
      </c>
      <c r="O118" s="38">
        <v>5</v>
      </c>
      <c r="P118" s="38" t="s">
        <v>43</v>
      </c>
      <c r="Q118" s="91" t="b">
        <v>0</v>
      </c>
      <c r="R118" s="38"/>
      <c r="S118" s="38">
        <v>0</v>
      </c>
      <c r="T118" s="38">
        <v>0</v>
      </c>
      <c r="U118" s="38" t="s">
        <v>46</v>
      </c>
      <c r="V118" s="38" t="s">
        <v>80</v>
      </c>
      <c r="W118" s="38" t="s">
        <v>46</v>
      </c>
    </row>
    <row r="119" spans="1:23" x14ac:dyDescent="0.2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N119" s="38">
        <v>1</v>
      </c>
      <c r="O119" s="38">
        <v>5</v>
      </c>
      <c r="P119" s="38" t="s">
        <v>43</v>
      </c>
      <c r="Q119" s="91" t="b">
        <v>0</v>
      </c>
      <c r="R119" s="38"/>
      <c r="S119" s="38">
        <v>0</v>
      </c>
      <c r="T119" s="38">
        <v>0</v>
      </c>
      <c r="U119" s="38" t="s">
        <v>46</v>
      </c>
      <c r="V119" s="38" t="s">
        <v>80</v>
      </c>
      <c r="W119" s="38" t="s">
        <v>46</v>
      </c>
    </row>
    <row r="120" spans="1:23" x14ac:dyDescent="0.2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N120" s="38">
        <v>1</v>
      </c>
      <c r="O120" s="38">
        <v>5</v>
      </c>
      <c r="P120" s="38" t="s">
        <v>43</v>
      </c>
      <c r="Q120" s="91" t="b">
        <v>0</v>
      </c>
      <c r="R120" s="38"/>
      <c r="S120" s="38">
        <v>0</v>
      </c>
      <c r="T120" s="38">
        <v>0</v>
      </c>
      <c r="U120" s="38" t="s">
        <v>46</v>
      </c>
      <c r="V120" s="38" t="s">
        <v>80</v>
      </c>
      <c r="W120" s="38" t="s">
        <v>46</v>
      </c>
    </row>
    <row r="121" spans="1:23" x14ac:dyDescent="0.2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N121" s="38">
        <v>1</v>
      </c>
      <c r="O121" s="38">
        <v>5</v>
      </c>
      <c r="P121" s="38" t="s">
        <v>43</v>
      </c>
      <c r="Q121" s="91" t="b">
        <v>0</v>
      </c>
      <c r="R121" s="38"/>
      <c r="S121" s="38">
        <v>0</v>
      </c>
      <c r="T121" s="38">
        <v>0</v>
      </c>
      <c r="U121" s="38" t="s">
        <v>46</v>
      </c>
      <c r="V121" s="38" t="s">
        <v>80</v>
      </c>
      <c r="W121" s="38" t="s">
        <v>46</v>
      </c>
    </row>
    <row r="122" spans="1:23" x14ac:dyDescent="0.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N122" s="38">
        <v>1</v>
      </c>
      <c r="O122" s="38">
        <v>5</v>
      </c>
      <c r="P122" s="38" t="s">
        <v>43</v>
      </c>
      <c r="Q122" s="91" t="b">
        <v>0</v>
      </c>
      <c r="R122" s="38"/>
      <c r="S122" s="38">
        <v>0</v>
      </c>
      <c r="T122" s="38">
        <v>0</v>
      </c>
      <c r="U122" s="38" t="s">
        <v>46</v>
      </c>
      <c r="V122" s="38" t="s">
        <v>80</v>
      </c>
      <c r="W122" s="38" t="s">
        <v>46</v>
      </c>
    </row>
    <row r="123" spans="1:23" x14ac:dyDescent="0.2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N123" s="38">
        <v>1</v>
      </c>
      <c r="O123" s="38">
        <v>5</v>
      </c>
      <c r="P123" s="38" t="s">
        <v>43</v>
      </c>
      <c r="Q123" s="91" t="b">
        <v>0</v>
      </c>
      <c r="R123" s="38"/>
      <c r="S123" s="38">
        <v>0</v>
      </c>
      <c r="T123" s="38">
        <v>0</v>
      </c>
      <c r="U123" s="38" t="s">
        <v>46</v>
      </c>
      <c r="V123" s="38" t="s">
        <v>80</v>
      </c>
      <c r="W123" s="38" t="s">
        <v>46</v>
      </c>
    </row>
    <row r="124" spans="1:23" x14ac:dyDescent="0.2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N124" s="38">
        <v>1</v>
      </c>
      <c r="O124" s="38">
        <v>5</v>
      </c>
      <c r="P124" s="38" t="s">
        <v>43</v>
      </c>
      <c r="Q124" s="91" t="b">
        <v>0</v>
      </c>
      <c r="R124" s="38"/>
      <c r="S124" s="38">
        <v>0</v>
      </c>
      <c r="T124" s="38">
        <v>0</v>
      </c>
      <c r="U124" s="38" t="s">
        <v>46</v>
      </c>
      <c r="V124" s="38" t="s">
        <v>80</v>
      </c>
      <c r="W124" s="38" t="s">
        <v>46</v>
      </c>
    </row>
    <row r="125" spans="1:23" x14ac:dyDescent="0.2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N125" s="38">
        <v>1</v>
      </c>
      <c r="O125" s="38">
        <v>5</v>
      </c>
      <c r="P125" s="38" t="s">
        <v>43</v>
      </c>
      <c r="Q125" s="91" t="b">
        <v>0</v>
      </c>
      <c r="R125" s="38"/>
      <c r="S125" s="38">
        <v>0</v>
      </c>
      <c r="T125" s="38">
        <v>0</v>
      </c>
      <c r="U125" s="38" t="s">
        <v>46</v>
      </c>
      <c r="V125" s="38" t="s">
        <v>80</v>
      </c>
      <c r="W125" s="38" t="s">
        <v>46</v>
      </c>
    </row>
    <row r="126" spans="1:23" x14ac:dyDescent="0.2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N126" s="38">
        <v>1</v>
      </c>
      <c r="O126" s="38">
        <v>5</v>
      </c>
      <c r="P126" s="38" t="s">
        <v>43</v>
      </c>
      <c r="Q126" s="91" t="b">
        <v>0</v>
      </c>
      <c r="R126" s="38"/>
      <c r="S126" s="38">
        <v>0</v>
      </c>
      <c r="T126" s="38">
        <v>0</v>
      </c>
      <c r="U126" s="38" t="s">
        <v>46</v>
      </c>
      <c r="V126" s="38" t="s">
        <v>80</v>
      </c>
      <c r="W126" s="38" t="s">
        <v>46</v>
      </c>
    </row>
    <row r="127" spans="1:23" x14ac:dyDescent="0.2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N127" s="38">
        <v>1</v>
      </c>
      <c r="O127" s="38">
        <v>5</v>
      </c>
      <c r="P127" s="38" t="s">
        <v>43</v>
      </c>
      <c r="Q127" s="91" t="b">
        <v>0</v>
      </c>
      <c r="R127" s="38"/>
      <c r="S127" s="38">
        <v>0</v>
      </c>
      <c r="T127" s="38">
        <v>0</v>
      </c>
      <c r="U127" s="38" t="s">
        <v>46</v>
      </c>
      <c r="V127" s="38" t="s">
        <v>80</v>
      </c>
      <c r="W127" s="38" t="s">
        <v>46</v>
      </c>
    </row>
    <row r="128" spans="1:23" x14ac:dyDescent="0.2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N128" s="38">
        <v>1</v>
      </c>
      <c r="O128" s="38">
        <v>5</v>
      </c>
      <c r="P128" s="38" t="s">
        <v>43</v>
      </c>
      <c r="Q128" s="91" t="b">
        <v>0</v>
      </c>
      <c r="R128" s="38"/>
      <c r="S128" s="38">
        <v>0</v>
      </c>
      <c r="T128" s="38">
        <v>0</v>
      </c>
      <c r="U128" s="38" t="s">
        <v>46</v>
      </c>
      <c r="V128" s="38" t="s">
        <v>80</v>
      </c>
      <c r="W128" s="38" t="s">
        <v>46</v>
      </c>
    </row>
    <row r="129" spans="1:23" x14ac:dyDescent="0.2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N129" s="38">
        <v>1</v>
      </c>
      <c r="O129" s="38">
        <v>5</v>
      </c>
      <c r="P129" s="38" t="s">
        <v>43</v>
      </c>
      <c r="Q129" s="91" t="b">
        <v>0</v>
      </c>
      <c r="R129" s="38"/>
      <c r="S129" s="38">
        <v>0</v>
      </c>
      <c r="T129" s="38">
        <v>0</v>
      </c>
      <c r="U129" s="38" t="s">
        <v>46</v>
      </c>
      <c r="V129" s="38" t="s">
        <v>80</v>
      </c>
      <c r="W129" s="38" t="s">
        <v>46</v>
      </c>
    </row>
    <row r="130" spans="1:23" x14ac:dyDescent="0.2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N130" s="38">
        <v>1</v>
      </c>
      <c r="O130" s="38">
        <v>5</v>
      </c>
      <c r="P130" s="38" t="s">
        <v>43</v>
      </c>
      <c r="Q130" s="91" t="b">
        <v>0</v>
      </c>
      <c r="R130" s="38"/>
      <c r="S130" s="38">
        <v>0</v>
      </c>
      <c r="T130" s="38">
        <v>0</v>
      </c>
      <c r="U130" s="38" t="s">
        <v>46</v>
      </c>
      <c r="V130" s="38" t="s">
        <v>80</v>
      </c>
      <c r="W130" s="38" t="s">
        <v>46</v>
      </c>
    </row>
    <row r="131" spans="1:23" x14ac:dyDescent="0.2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N131" s="38">
        <v>1</v>
      </c>
      <c r="O131" s="38">
        <v>5</v>
      </c>
      <c r="P131" s="38" t="s">
        <v>43</v>
      </c>
      <c r="Q131" s="91" t="b">
        <v>0</v>
      </c>
      <c r="R131" s="38"/>
      <c r="S131" s="38">
        <v>0</v>
      </c>
      <c r="T131" s="38">
        <v>0</v>
      </c>
      <c r="U131" s="38" t="s">
        <v>46</v>
      </c>
      <c r="V131" s="38" t="s">
        <v>80</v>
      </c>
      <c r="W131" s="38" t="s">
        <v>46</v>
      </c>
    </row>
    <row r="132" spans="1:23" x14ac:dyDescent="0.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N132" s="38">
        <v>1</v>
      </c>
      <c r="O132" s="38">
        <v>5</v>
      </c>
      <c r="P132" s="38" t="s">
        <v>43</v>
      </c>
      <c r="Q132" s="91" t="b">
        <v>0</v>
      </c>
      <c r="R132" s="38"/>
      <c r="S132" s="38">
        <v>0</v>
      </c>
      <c r="T132" s="38">
        <v>0</v>
      </c>
      <c r="U132" s="38" t="s">
        <v>46</v>
      </c>
      <c r="V132" s="38" t="s">
        <v>80</v>
      </c>
      <c r="W132" s="38" t="s">
        <v>46</v>
      </c>
    </row>
    <row r="133" spans="1:23" x14ac:dyDescent="0.2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N133" s="38">
        <v>1</v>
      </c>
      <c r="O133" s="38">
        <v>5</v>
      </c>
      <c r="P133" s="38" t="s">
        <v>43</v>
      </c>
      <c r="Q133" s="91" t="b">
        <v>0</v>
      </c>
      <c r="R133" s="38"/>
      <c r="S133" s="38">
        <v>0</v>
      </c>
      <c r="T133" s="38">
        <v>0</v>
      </c>
      <c r="U133" s="38" t="s">
        <v>46</v>
      </c>
      <c r="V133" s="38" t="s">
        <v>80</v>
      </c>
      <c r="W133" s="38" t="s">
        <v>46</v>
      </c>
    </row>
    <row r="134" spans="1:23" x14ac:dyDescent="0.2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N134" s="38">
        <v>1</v>
      </c>
      <c r="O134" s="38">
        <v>5</v>
      </c>
      <c r="P134" s="38" t="s">
        <v>43</v>
      </c>
      <c r="Q134" s="91" t="b">
        <v>0</v>
      </c>
      <c r="R134" s="38"/>
      <c r="S134" s="38">
        <v>0</v>
      </c>
      <c r="T134" s="38">
        <v>0</v>
      </c>
      <c r="U134" s="38" t="s">
        <v>46</v>
      </c>
      <c r="V134" s="38" t="s">
        <v>80</v>
      </c>
      <c r="W134" s="38" t="s">
        <v>46</v>
      </c>
    </row>
    <row r="135" spans="1:23" x14ac:dyDescent="0.2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N135" s="38">
        <v>1</v>
      </c>
      <c r="O135" s="38">
        <v>5</v>
      </c>
      <c r="P135" s="38" t="s">
        <v>43</v>
      </c>
      <c r="Q135" s="91" t="b">
        <v>0</v>
      </c>
      <c r="R135" s="38"/>
      <c r="S135" s="38">
        <v>0</v>
      </c>
      <c r="T135" s="38">
        <v>0</v>
      </c>
      <c r="U135" s="38" t="s">
        <v>46</v>
      </c>
      <c r="V135" s="38" t="s">
        <v>80</v>
      </c>
      <c r="W135" s="38" t="s">
        <v>46</v>
      </c>
    </row>
    <row r="136" spans="1:23" x14ac:dyDescent="0.2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N136" s="38">
        <v>1</v>
      </c>
      <c r="O136" s="38">
        <v>5</v>
      </c>
      <c r="P136" s="38" t="s">
        <v>43</v>
      </c>
      <c r="Q136" s="91" t="b">
        <v>0</v>
      </c>
      <c r="R136" s="38"/>
      <c r="S136" s="38">
        <v>0</v>
      </c>
      <c r="T136" s="38">
        <v>0</v>
      </c>
      <c r="U136" s="38" t="s">
        <v>46</v>
      </c>
      <c r="V136" s="38" t="s">
        <v>80</v>
      </c>
      <c r="W136" s="38" t="s">
        <v>46</v>
      </c>
    </row>
    <row r="137" spans="1:23" x14ac:dyDescent="0.2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N137" s="38">
        <v>1</v>
      </c>
      <c r="O137" s="38">
        <v>5</v>
      </c>
      <c r="P137" s="38" t="s">
        <v>43</v>
      </c>
      <c r="Q137" s="91" t="b">
        <v>0</v>
      </c>
      <c r="R137" s="38"/>
      <c r="S137" s="38">
        <v>0</v>
      </c>
      <c r="T137" s="38">
        <v>0</v>
      </c>
      <c r="U137" s="38" t="s">
        <v>46</v>
      </c>
      <c r="V137" s="38" t="s">
        <v>80</v>
      </c>
      <c r="W137" s="38" t="s">
        <v>46</v>
      </c>
    </row>
    <row r="138" spans="1:23" x14ac:dyDescent="0.2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N138" s="38">
        <v>1</v>
      </c>
      <c r="O138" s="38">
        <v>5</v>
      </c>
      <c r="P138" s="38" t="s">
        <v>43</v>
      </c>
      <c r="Q138" s="91" t="b">
        <v>0</v>
      </c>
      <c r="R138" s="38"/>
      <c r="S138" s="38">
        <v>0</v>
      </c>
      <c r="T138" s="38">
        <v>0</v>
      </c>
      <c r="U138" s="38" t="s">
        <v>46</v>
      </c>
      <c r="V138" s="38" t="s">
        <v>80</v>
      </c>
      <c r="W138" s="38" t="s">
        <v>46</v>
      </c>
    </row>
    <row r="139" spans="1:23" x14ac:dyDescent="0.2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N139" s="38">
        <v>1</v>
      </c>
      <c r="O139" s="38">
        <v>5</v>
      </c>
      <c r="P139" s="38" t="s">
        <v>43</v>
      </c>
      <c r="Q139" s="91" t="b">
        <v>0</v>
      </c>
      <c r="R139" s="38"/>
      <c r="S139" s="38">
        <v>0</v>
      </c>
      <c r="T139" s="38">
        <v>0</v>
      </c>
      <c r="U139" s="38" t="s">
        <v>46</v>
      </c>
      <c r="V139" s="38" t="s">
        <v>80</v>
      </c>
      <c r="W139" s="38" t="s">
        <v>46</v>
      </c>
    </row>
    <row r="140" spans="1:23" x14ac:dyDescent="0.2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N140" s="38">
        <v>1</v>
      </c>
      <c r="O140" s="38">
        <v>5</v>
      </c>
      <c r="P140" s="38" t="s">
        <v>43</v>
      </c>
      <c r="Q140" s="91" t="b">
        <v>0</v>
      </c>
      <c r="R140" s="38"/>
      <c r="S140" s="38">
        <v>0</v>
      </c>
      <c r="T140" s="38">
        <v>0</v>
      </c>
      <c r="U140" s="38" t="s">
        <v>46</v>
      </c>
      <c r="V140" s="38" t="s">
        <v>80</v>
      </c>
      <c r="W140" s="38" t="s">
        <v>46</v>
      </c>
    </row>
    <row r="141" spans="1:23" x14ac:dyDescent="0.2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N141" s="38">
        <v>1</v>
      </c>
      <c r="O141" s="38">
        <v>5</v>
      </c>
      <c r="P141" s="38" t="s">
        <v>43</v>
      </c>
      <c r="Q141" s="91" t="b">
        <v>0</v>
      </c>
      <c r="R141" s="38"/>
      <c r="S141" s="38">
        <v>0</v>
      </c>
      <c r="T141" s="38">
        <v>0</v>
      </c>
      <c r="U141" s="38" t="s">
        <v>46</v>
      </c>
      <c r="V141" s="38" t="s">
        <v>80</v>
      </c>
      <c r="W141" s="38" t="s">
        <v>46</v>
      </c>
    </row>
    <row r="142" spans="1:23" x14ac:dyDescent="0.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N142" s="38">
        <v>1</v>
      </c>
      <c r="O142" s="38">
        <v>5</v>
      </c>
      <c r="P142" s="38" t="s">
        <v>43</v>
      </c>
      <c r="Q142" s="91" t="b">
        <v>0</v>
      </c>
      <c r="R142" s="38"/>
      <c r="S142" s="38">
        <v>0</v>
      </c>
      <c r="T142" s="38">
        <v>0</v>
      </c>
      <c r="U142" s="38" t="s">
        <v>46</v>
      </c>
      <c r="V142" s="38" t="s">
        <v>80</v>
      </c>
      <c r="W142" s="38" t="s">
        <v>46</v>
      </c>
    </row>
    <row r="143" spans="1:23" x14ac:dyDescent="0.2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N143" s="38">
        <v>1</v>
      </c>
      <c r="O143" s="38">
        <v>5</v>
      </c>
      <c r="P143" s="38" t="s">
        <v>43</v>
      </c>
      <c r="Q143" s="91" t="b">
        <v>0</v>
      </c>
      <c r="R143" s="38"/>
      <c r="S143" s="38">
        <v>0</v>
      </c>
      <c r="T143" s="38">
        <v>0</v>
      </c>
      <c r="U143" s="38" t="s">
        <v>46</v>
      </c>
      <c r="V143" s="38" t="s">
        <v>80</v>
      </c>
      <c r="W143" s="38" t="s">
        <v>46</v>
      </c>
    </row>
    <row r="144" spans="1:23" x14ac:dyDescent="0.2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N144" s="38">
        <v>1</v>
      </c>
      <c r="O144" s="38">
        <v>5</v>
      </c>
      <c r="P144" s="38" t="s">
        <v>43</v>
      </c>
      <c r="Q144" s="91" t="b">
        <v>0</v>
      </c>
      <c r="R144" s="38"/>
      <c r="S144" s="38">
        <v>0</v>
      </c>
      <c r="T144" s="38">
        <v>0</v>
      </c>
      <c r="U144" s="38" t="s">
        <v>46</v>
      </c>
      <c r="V144" s="38" t="s">
        <v>80</v>
      </c>
      <c r="W144" s="38" t="s">
        <v>46</v>
      </c>
    </row>
    <row r="145" spans="1:23" x14ac:dyDescent="0.2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N145" s="38">
        <v>1</v>
      </c>
      <c r="O145" s="38">
        <v>5</v>
      </c>
      <c r="P145" s="38" t="s">
        <v>43</v>
      </c>
      <c r="Q145" s="91" t="b">
        <v>0</v>
      </c>
      <c r="R145" s="38"/>
      <c r="S145" s="38">
        <v>0</v>
      </c>
      <c r="T145" s="38">
        <v>0</v>
      </c>
      <c r="U145" s="38" t="s">
        <v>46</v>
      </c>
      <c r="V145" s="38" t="s">
        <v>80</v>
      </c>
      <c r="W145" s="38" t="s">
        <v>46</v>
      </c>
    </row>
    <row r="146" spans="1:23" x14ac:dyDescent="0.2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N146" s="38">
        <v>1</v>
      </c>
      <c r="O146" s="38">
        <v>5</v>
      </c>
      <c r="P146" s="38" t="s">
        <v>43</v>
      </c>
      <c r="Q146" s="91" t="b">
        <v>0</v>
      </c>
      <c r="R146" s="38"/>
      <c r="S146" s="38">
        <v>0</v>
      </c>
      <c r="T146" s="38">
        <v>0</v>
      </c>
      <c r="U146" s="38" t="s">
        <v>46</v>
      </c>
      <c r="V146" s="38" t="s">
        <v>80</v>
      </c>
      <c r="W146" s="38" t="s">
        <v>46</v>
      </c>
    </row>
    <row r="147" spans="1:23" x14ac:dyDescent="0.2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N147" s="38">
        <v>1</v>
      </c>
      <c r="O147" s="38">
        <v>5</v>
      </c>
      <c r="P147" s="38" t="s">
        <v>43</v>
      </c>
      <c r="Q147" s="91" t="b">
        <v>0</v>
      </c>
      <c r="R147" s="38"/>
      <c r="S147" s="38">
        <v>0</v>
      </c>
      <c r="T147" s="38">
        <v>0</v>
      </c>
      <c r="U147" s="38" t="s">
        <v>46</v>
      </c>
      <c r="V147" s="38" t="s">
        <v>80</v>
      </c>
      <c r="W147" s="38" t="s">
        <v>46</v>
      </c>
    </row>
    <row r="148" spans="1:23" x14ac:dyDescent="0.2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N148" s="38">
        <v>1</v>
      </c>
      <c r="O148" s="38">
        <v>5</v>
      </c>
      <c r="P148" s="38" t="s">
        <v>43</v>
      </c>
      <c r="Q148" s="91" t="b">
        <v>0</v>
      </c>
      <c r="R148" s="38"/>
      <c r="S148" s="38">
        <v>0</v>
      </c>
      <c r="T148" s="38">
        <v>0</v>
      </c>
      <c r="U148" s="38" t="s">
        <v>46</v>
      </c>
      <c r="V148" s="38" t="s">
        <v>80</v>
      </c>
      <c r="W148" s="38" t="s">
        <v>46</v>
      </c>
    </row>
    <row r="149" spans="1:23" x14ac:dyDescent="0.2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N149" s="38">
        <v>1</v>
      </c>
      <c r="O149" s="38">
        <v>5</v>
      </c>
      <c r="P149" s="38" t="s">
        <v>43</v>
      </c>
      <c r="Q149" s="91" t="b">
        <v>0</v>
      </c>
      <c r="R149" s="38"/>
      <c r="S149" s="38">
        <v>0</v>
      </c>
      <c r="T149" s="38">
        <v>0</v>
      </c>
      <c r="U149" s="38" t="s">
        <v>46</v>
      </c>
      <c r="V149" s="38" t="s">
        <v>80</v>
      </c>
      <c r="W149" s="38" t="s">
        <v>46</v>
      </c>
    </row>
    <row r="150" spans="1:23" x14ac:dyDescent="0.2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N150" s="38">
        <v>1</v>
      </c>
      <c r="O150" s="38">
        <v>5</v>
      </c>
      <c r="P150" s="38" t="s">
        <v>43</v>
      </c>
      <c r="Q150" s="91" t="b">
        <v>0</v>
      </c>
      <c r="R150" s="38"/>
      <c r="S150" s="38">
        <v>0</v>
      </c>
      <c r="T150" s="38">
        <v>0</v>
      </c>
      <c r="U150" s="38" t="s">
        <v>46</v>
      </c>
      <c r="V150" s="38" t="s">
        <v>80</v>
      </c>
      <c r="W150" s="38" t="s">
        <v>46</v>
      </c>
    </row>
    <row r="151" spans="1:23" x14ac:dyDescent="0.2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N151" s="38">
        <v>1</v>
      </c>
      <c r="O151" s="38">
        <v>5</v>
      </c>
      <c r="P151" s="38" t="s">
        <v>43</v>
      </c>
      <c r="Q151" s="91" t="b">
        <v>0</v>
      </c>
      <c r="R151" s="38"/>
      <c r="S151" s="38">
        <v>0</v>
      </c>
      <c r="T151" s="38">
        <v>0</v>
      </c>
      <c r="U151" s="38" t="s">
        <v>46</v>
      </c>
      <c r="V151" s="38" t="s">
        <v>80</v>
      </c>
      <c r="W151" s="38" t="s">
        <v>46</v>
      </c>
    </row>
    <row r="152" spans="1:23" x14ac:dyDescent="0.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N152" s="38">
        <v>1</v>
      </c>
      <c r="O152" s="38">
        <v>5</v>
      </c>
      <c r="P152" s="38" t="s">
        <v>43</v>
      </c>
      <c r="Q152" s="91" t="b">
        <v>0</v>
      </c>
      <c r="R152" s="38"/>
      <c r="S152" s="38">
        <v>0</v>
      </c>
      <c r="T152" s="38">
        <v>0</v>
      </c>
      <c r="U152" s="38" t="s">
        <v>46</v>
      </c>
      <c r="V152" s="38" t="s">
        <v>80</v>
      </c>
      <c r="W152" s="38" t="s">
        <v>46</v>
      </c>
    </row>
    <row r="153" spans="1:23" x14ac:dyDescent="0.2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N153" s="38">
        <v>1</v>
      </c>
      <c r="O153" s="38">
        <v>5</v>
      </c>
      <c r="P153" s="38" t="s">
        <v>43</v>
      </c>
      <c r="Q153" s="91" t="b">
        <v>0</v>
      </c>
      <c r="R153" s="38"/>
      <c r="S153" s="38">
        <v>0</v>
      </c>
      <c r="T153" s="38">
        <v>0</v>
      </c>
      <c r="U153" s="38" t="s">
        <v>46</v>
      </c>
      <c r="V153" s="38" t="s">
        <v>80</v>
      </c>
      <c r="W153" s="38" t="s">
        <v>46</v>
      </c>
    </row>
    <row r="154" spans="1:23" x14ac:dyDescent="0.2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N154" s="38">
        <v>1</v>
      </c>
      <c r="O154" s="38">
        <v>5</v>
      </c>
      <c r="P154" s="38" t="s">
        <v>43</v>
      </c>
      <c r="Q154" s="91" t="b">
        <v>0</v>
      </c>
      <c r="R154" s="38"/>
      <c r="S154" s="38">
        <v>0</v>
      </c>
      <c r="T154" s="38">
        <v>0</v>
      </c>
      <c r="U154" s="38" t="s">
        <v>46</v>
      </c>
      <c r="V154" s="38" t="s">
        <v>80</v>
      </c>
      <c r="W154" s="38" t="s">
        <v>46</v>
      </c>
    </row>
    <row r="155" spans="1:23" x14ac:dyDescent="0.2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N155" s="38">
        <v>1</v>
      </c>
      <c r="O155" s="38">
        <v>5</v>
      </c>
      <c r="P155" s="38" t="s">
        <v>43</v>
      </c>
      <c r="Q155" s="91" t="b">
        <v>0</v>
      </c>
      <c r="R155" s="38"/>
      <c r="S155" s="38">
        <v>0</v>
      </c>
      <c r="T155" s="38">
        <v>0</v>
      </c>
      <c r="U155" s="38" t="s">
        <v>46</v>
      </c>
      <c r="V155" s="38" t="s">
        <v>80</v>
      </c>
      <c r="W155" s="38" t="s">
        <v>46</v>
      </c>
    </row>
    <row r="156" spans="1:23" x14ac:dyDescent="0.2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N156" s="38">
        <v>1</v>
      </c>
      <c r="O156" s="38">
        <v>5</v>
      </c>
      <c r="P156" s="38" t="s">
        <v>43</v>
      </c>
      <c r="Q156" s="91" t="b">
        <v>0</v>
      </c>
      <c r="R156" s="38"/>
      <c r="S156" s="38">
        <v>0</v>
      </c>
      <c r="T156" s="38">
        <v>0</v>
      </c>
      <c r="U156" s="38" t="s">
        <v>46</v>
      </c>
      <c r="V156" s="38" t="s">
        <v>80</v>
      </c>
      <c r="W156" s="38" t="s">
        <v>46</v>
      </c>
    </row>
    <row r="157" spans="1:23" x14ac:dyDescent="0.2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N157" s="38">
        <v>1</v>
      </c>
      <c r="O157" s="38">
        <v>5</v>
      </c>
      <c r="P157" s="38" t="s">
        <v>43</v>
      </c>
      <c r="Q157" s="91" t="b">
        <v>0</v>
      </c>
      <c r="R157" s="38"/>
      <c r="S157" s="38">
        <v>0</v>
      </c>
      <c r="T157" s="38">
        <v>0</v>
      </c>
      <c r="U157" s="38" t="s">
        <v>46</v>
      </c>
      <c r="V157" s="38" t="s">
        <v>80</v>
      </c>
      <c r="W157" s="38" t="s">
        <v>46</v>
      </c>
    </row>
    <row r="158" spans="1:23" x14ac:dyDescent="0.2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27">
        <v>148</v>
      </c>
      <c r="N158" s="38">
        <v>1</v>
      </c>
      <c r="O158" s="38">
        <v>5</v>
      </c>
      <c r="P158" s="38" t="s">
        <v>43</v>
      </c>
      <c r="Q158" s="91" t="b">
        <v>0</v>
      </c>
      <c r="R158" s="38"/>
      <c r="S158" s="38"/>
      <c r="T158" s="38"/>
      <c r="U158" s="38"/>
      <c r="V158" s="38"/>
      <c r="W158" s="38"/>
    </row>
    <row r="159" spans="1:23" x14ac:dyDescent="0.2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27">
        <v>149</v>
      </c>
      <c r="N159" s="38">
        <v>1</v>
      </c>
      <c r="O159" s="38">
        <v>5</v>
      </c>
      <c r="P159" s="38" t="s">
        <v>43</v>
      </c>
      <c r="Q159" s="91" t="b">
        <v>0</v>
      </c>
      <c r="R159" s="38"/>
      <c r="S159" s="38"/>
      <c r="T159" s="38"/>
      <c r="U159" s="38"/>
      <c r="V159" s="38"/>
      <c r="W159" s="38"/>
    </row>
    <row r="160" spans="1:23" x14ac:dyDescent="0.2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27">
        <v>150</v>
      </c>
      <c r="N160" s="38">
        <v>1</v>
      </c>
      <c r="O160" s="38">
        <v>5</v>
      </c>
      <c r="P160" s="38" t="s">
        <v>43</v>
      </c>
      <c r="Q160" s="91" t="b">
        <v>0</v>
      </c>
      <c r="R160" s="38"/>
      <c r="S160" s="38"/>
      <c r="T160" s="38"/>
      <c r="U160" s="38"/>
      <c r="V160" s="38"/>
      <c r="W160" s="38"/>
    </row>
    <row r="161" spans="1:23" x14ac:dyDescent="0.2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27">
        <v>151</v>
      </c>
      <c r="N161" s="38">
        <v>1</v>
      </c>
      <c r="O161" s="38">
        <v>5</v>
      </c>
      <c r="P161" s="38" t="s">
        <v>43</v>
      </c>
      <c r="Q161" s="91" t="b">
        <v>0</v>
      </c>
      <c r="R161" s="38"/>
      <c r="S161" s="38"/>
      <c r="T161" s="38"/>
      <c r="U161" s="38"/>
      <c r="V161" s="38"/>
      <c r="W161" s="38"/>
    </row>
    <row r="162" spans="1:23" x14ac:dyDescent="0.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27">
        <v>152</v>
      </c>
      <c r="N162" s="38">
        <v>1</v>
      </c>
      <c r="O162" s="38">
        <v>5</v>
      </c>
      <c r="P162" s="38" t="s">
        <v>43</v>
      </c>
      <c r="Q162" s="91" t="b">
        <v>0</v>
      </c>
      <c r="R162" s="38"/>
      <c r="S162" s="38"/>
      <c r="T162" s="38"/>
      <c r="U162" s="38"/>
      <c r="V162" s="38"/>
      <c r="W162" s="38"/>
    </row>
    <row r="163" spans="1:23" x14ac:dyDescent="0.2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27">
        <v>153</v>
      </c>
      <c r="N163" s="38">
        <v>1</v>
      </c>
      <c r="O163" s="38">
        <v>5</v>
      </c>
      <c r="P163" s="38" t="s">
        <v>43</v>
      </c>
      <c r="Q163" s="91" t="b">
        <v>0</v>
      </c>
      <c r="R163" s="38"/>
      <c r="S163" s="38"/>
      <c r="T163" s="38"/>
      <c r="U163" s="38"/>
      <c r="V163" s="38"/>
      <c r="W163" s="38"/>
    </row>
    <row r="164" spans="1:23" x14ac:dyDescent="0.2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27">
        <v>154</v>
      </c>
      <c r="N164" s="38">
        <v>1</v>
      </c>
      <c r="O164" s="38">
        <v>5</v>
      </c>
      <c r="P164" s="38" t="s">
        <v>43</v>
      </c>
      <c r="Q164" s="91" t="b">
        <v>0</v>
      </c>
      <c r="R164" s="38"/>
      <c r="S164" s="38"/>
      <c r="T164" s="38"/>
      <c r="U164" s="38"/>
      <c r="V164" s="38"/>
      <c r="W164" s="38"/>
    </row>
    <row r="165" spans="1:23" x14ac:dyDescent="0.2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27">
        <v>155</v>
      </c>
      <c r="N165" s="38">
        <v>1</v>
      </c>
      <c r="O165" s="38">
        <v>5</v>
      </c>
      <c r="P165" s="38" t="s">
        <v>43</v>
      </c>
      <c r="Q165" s="91" t="b">
        <v>0</v>
      </c>
      <c r="R165" s="38"/>
      <c r="S165" s="38"/>
      <c r="T165" s="38"/>
      <c r="U165" s="38"/>
      <c r="V165" s="38"/>
      <c r="W165" s="38"/>
    </row>
    <row r="166" spans="1:23" x14ac:dyDescent="0.2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27">
        <v>156</v>
      </c>
      <c r="N166" s="38">
        <v>1</v>
      </c>
      <c r="O166" s="38">
        <v>5</v>
      </c>
      <c r="P166" s="38" t="s">
        <v>43</v>
      </c>
      <c r="Q166" s="91" t="b">
        <v>0</v>
      </c>
      <c r="R166" s="38"/>
      <c r="S166" s="38"/>
      <c r="T166" s="38"/>
      <c r="U166" s="38"/>
      <c r="V166" s="38"/>
      <c r="W166" s="38"/>
    </row>
    <row r="167" spans="1:23" x14ac:dyDescent="0.2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27">
        <v>157</v>
      </c>
      <c r="N167" s="38">
        <v>1</v>
      </c>
      <c r="O167" s="38">
        <v>5</v>
      </c>
      <c r="P167" s="38" t="s">
        <v>43</v>
      </c>
      <c r="Q167" s="91" t="b">
        <v>0</v>
      </c>
      <c r="R167" s="38"/>
      <c r="S167" s="38"/>
      <c r="T167" s="38"/>
      <c r="U167" s="38"/>
      <c r="V167" s="38"/>
      <c r="W167" s="38"/>
    </row>
    <row r="168" spans="1:23" x14ac:dyDescent="0.2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27">
        <v>158</v>
      </c>
      <c r="N168" s="38">
        <v>1</v>
      </c>
      <c r="O168" s="38">
        <v>5</v>
      </c>
      <c r="P168" s="38" t="s">
        <v>43</v>
      </c>
      <c r="Q168" s="91" t="b">
        <v>0</v>
      </c>
      <c r="R168" s="38"/>
      <c r="S168" s="38"/>
      <c r="T168" s="38"/>
      <c r="U168" s="38"/>
      <c r="V168" s="38"/>
      <c r="W168" s="38"/>
    </row>
    <row r="169" spans="1:23" x14ac:dyDescent="0.2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27">
        <v>159</v>
      </c>
      <c r="N169" s="38">
        <v>1</v>
      </c>
      <c r="O169" s="38">
        <v>5</v>
      </c>
      <c r="P169" s="38" t="s">
        <v>43</v>
      </c>
      <c r="Q169" s="91" t="b">
        <v>0</v>
      </c>
      <c r="R169" s="38"/>
      <c r="S169" s="38"/>
      <c r="T169" s="38"/>
      <c r="U169" s="38"/>
      <c r="V169" s="38"/>
      <c r="W169" s="38"/>
    </row>
    <row r="170" spans="1:23" x14ac:dyDescent="0.2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27">
        <v>160</v>
      </c>
      <c r="N170" s="38">
        <v>1</v>
      </c>
      <c r="O170" s="38">
        <v>5</v>
      </c>
      <c r="P170" s="38" t="s">
        <v>43</v>
      </c>
      <c r="Q170" s="91" t="b">
        <v>0</v>
      </c>
      <c r="R170" s="38"/>
      <c r="S170" s="38"/>
      <c r="T170" s="38"/>
      <c r="U170" s="38"/>
      <c r="V170" s="38"/>
      <c r="W170" s="38"/>
    </row>
    <row r="171" spans="1:23" x14ac:dyDescent="0.2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27">
        <v>161</v>
      </c>
      <c r="N171" s="38">
        <v>1</v>
      </c>
      <c r="O171" s="38">
        <v>5</v>
      </c>
      <c r="P171" s="38" t="s">
        <v>43</v>
      </c>
      <c r="Q171" s="91" t="b">
        <v>0</v>
      </c>
      <c r="R171" s="38"/>
      <c r="S171" s="38"/>
      <c r="T171" s="38"/>
      <c r="U171" s="38"/>
      <c r="V171" s="38"/>
      <c r="W171" s="38"/>
    </row>
    <row r="172" spans="1:23" x14ac:dyDescent="0.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27">
        <v>162</v>
      </c>
      <c r="N172" s="38">
        <v>1</v>
      </c>
      <c r="O172" s="38">
        <v>5</v>
      </c>
      <c r="P172" s="38" t="s">
        <v>43</v>
      </c>
      <c r="Q172" s="91" t="b">
        <v>0</v>
      </c>
      <c r="R172" s="38"/>
      <c r="S172" s="38"/>
      <c r="T172" s="38"/>
      <c r="U172" s="38"/>
      <c r="V172" s="38"/>
      <c r="W172" s="38"/>
    </row>
    <row r="173" spans="1:23" x14ac:dyDescent="0.2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27">
        <v>163</v>
      </c>
      <c r="N173" s="38">
        <v>1</v>
      </c>
      <c r="O173" s="38">
        <v>5</v>
      </c>
      <c r="P173" s="38" t="s">
        <v>43</v>
      </c>
      <c r="Q173" s="91" t="b">
        <v>0</v>
      </c>
      <c r="R173" s="38"/>
      <c r="S173" s="38"/>
      <c r="T173" s="38"/>
      <c r="U173" s="38"/>
      <c r="V173" s="38"/>
      <c r="W173" s="38"/>
    </row>
    <row r="174" spans="1:23" x14ac:dyDescent="0.2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27">
        <v>164</v>
      </c>
      <c r="N174" s="38">
        <v>1</v>
      </c>
      <c r="O174" s="38">
        <v>5</v>
      </c>
      <c r="P174" s="38" t="s">
        <v>43</v>
      </c>
      <c r="Q174" s="91" t="b">
        <v>0</v>
      </c>
      <c r="R174" s="38"/>
      <c r="S174" s="38"/>
      <c r="T174" s="38"/>
      <c r="U174" s="38"/>
      <c r="V174" s="38"/>
      <c r="W174" s="38"/>
    </row>
    <row r="175" spans="1:23" x14ac:dyDescent="0.2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27">
        <v>165</v>
      </c>
      <c r="N175" s="38">
        <v>1</v>
      </c>
      <c r="O175" s="38">
        <v>5</v>
      </c>
      <c r="P175" s="38" t="s">
        <v>43</v>
      </c>
      <c r="Q175" s="91" t="b">
        <v>0</v>
      </c>
      <c r="R175" s="38"/>
      <c r="S175" s="38"/>
      <c r="T175" s="38"/>
      <c r="U175" s="38"/>
      <c r="V175" s="38"/>
      <c r="W175" s="38"/>
    </row>
    <row r="176" spans="1:23" x14ac:dyDescent="0.2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27">
        <v>166</v>
      </c>
      <c r="N176" s="38">
        <v>1</v>
      </c>
      <c r="O176" s="38">
        <v>5</v>
      </c>
      <c r="P176" s="38" t="s">
        <v>43</v>
      </c>
      <c r="Q176" s="91" t="b">
        <v>0</v>
      </c>
      <c r="R176" s="38"/>
      <c r="S176" s="38"/>
      <c r="T176" s="38"/>
      <c r="U176" s="38"/>
      <c r="V176" s="38"/>
      <c r="W176" s="38"/>
    </row>
    <row r="177" spans="1:23" x14ac:dyDescent="0.2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27">
        <v>167</v>
      </c>
      <c r="N177" s="38">
        <v>1</v>
      </c>
      <c r="O177" s="38">
        <v>5</v>
      </c>
      <c r="P177" s="38" t="s">
        <v>43</v>
      </c>
      <c r="Q177" s="91" t="b">
        <v>0</v>
      </c>
      <c r="R177" s="38"/>
      <c r="S177" s="38"/>
      <c r="T177" s="38"/>
      <c r="U177" s="38"/>
      <c r="V177" s="38"/>
      <c r="W177" s="38"/>
    </row>
    <row r="178" spans="1:23" x14ac:dyDescent="0.2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27">
        <v>168</v>
      </c>
      <c r="N178" s="38">
        <v>1</v>
      </c>
      <c r="O178" s="38">
        <v>5</v>
      </c>
      <c r="P178" s="38" t="s">
        <v>43</v>
      </c>
      <c r="Q178" s="91" t="b">
        <v>0</v>
      </c>
      <c r="R178" s="38"/>
      <c r="S178" s="38"/>
      <c r="T178" s="38"/>
      <c r="U178" s="38"/>
      <c r="V178" s="38"/>
      <c r="W178" s="38"/>
    </row>
    <row r="179" spans="1:23" x14ac:dyDescent="0.2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27">
        <v>169</v>
      </c>
      <c r="N179" s="38">
        <v>1</v>
      </c>
      <c r="O179" s="38">
        <v>5</v>
      </c>
      <c r="P179" s="38" t="s">
        <v>43</v>
      </c>
      <c r="Q179" s="91" t="b">
        <v>0</v>
      </c>
      <c r="R179" s="38"/>
      <c r="S179" s="38"/>
      <c r="T179" s="38"/>
      <c r="U179" s="38"/>
      <c r="V179" s="38"/>
      <c r="W179" s="38"/>
    </row>
    <row r="180" spans="1:23" x14ac:dyDescent="0.2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27">
        <v>170</v>
      </c>
      <c r="N180" s="38">
        <v>1</v>
      </c>
      <c r="O180" s="38">
        <v>5</v>
      </c>
      <c r="P180" s="38" t="s">
        <v>43</v>
      </c>
      <c r="Q180" s="91" t="b">
        <v>0</v>
      </c>
      <c r="R180" s="38"/>
      <c r="S180" s="38"/>
      <c r="T180" s="38"/>
      <c r="U180" s="38"/>
      <c r="V180" s="38"/>
      <c r="W180" s="38"/>
    </row>
    <row r="181" spans="1:23" x14ac:dyDescent="0.2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27">
        <v>171</v>
      </c>
      <c r="N181" s="38">
        <v>1</v>
      </c>
      <c r="O181" s="38">
        <v>5</v>
      </c>
      <c r="P181" s="38" t="s">
        <v>43</v>
      </c>
      <c r="Q181" s="91" t="b">
        <v>0</v>
      </c>
      <c r="R181" s="38"/>
      <c r="S181" s="38"/>
      <c r="T181" s="38"/>
      <c r="U181" s="38"/>
      <c r="V181" s="38"/>
      <c r="W181" s="38"/>
    </row>
    <row r="182" spans="1:23" x14ac:dyDescent="0.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27">
        <v>172</v>
      </c>
      <c r="N182" s="38">
        <v>1</v>
      </c>
      <c r="O182" s="38">
        <v>5</v>
      </c>
      <c r="P182" s="38" t="s">
        <v>43</v>
      </c>
      <c r="Q182" s="91" t="b">
        <v>0</v>
      </c>
      <c r="R182" s="38"/>
      <c r="S182" s="38"/>
      <c r="T182" s="38"/>
      <c r="U182" s="38"/>
      <c r="V182" s="38"/>
      <c r="W182" s="38"/>
    </row>
    <row r="183" spans="1:23" x14ac:dyDescent="0.2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27">
        <v>173</v>
      </c>
      <c r="N183" s="38">
        <v>1</v>
      </c>
      <c r="O183" s="38">
        <v>5</v>
      </c>
      <c r="P183" s="38" t="s">
        <v>43</v>
      </c>
      <c r="Q183" s="91" t="b">
        <v>0</v>
      </c>
      <c r="R183" s="38"/>
      <c r="S183" s="38"/>
      <c r="T183" s="38"/>
      <c r="U183" s="38"/>
      <c r="V183" s="38"/>
      <c r="W183" s="38"/>
    </row>
    <row r="184" spans="1:23" x14ac:dyDescent="0.2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27">
        <v>174</v>
      </c>
      <c r="N184" s="38">
        <v>1</v>
      </c>
      <c r="O184" s="38">
        <v>5</v>
      </c>
      <c r="P184" s="38" t="s">
        <v>43</v>
      </c>
      <c r="Q184" s="91" t="b">
        <v>0</v>
      </c>
      <c r="R184" s="38"/>
      <c r="S184" s="38"/>
      <c r="T184" s="38"/>
      <c r="U184" s="38"/>
      <c r="V184" s="38"/>
      <c r="W184" s="38"/>
    </row>
    <row r="185" spans="1:23" x14ac:dyDescent="0.2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27">
        <v>175</v>
      </c>
      <c r="N185" s="38">
        <v>1</v>
      </c>
      <c r="O185" s="38">
        <v>5</v>
      </c>
      <c r="P185" s="38" t="s">
        <v>43</v>
      </c>
      <c r="Q185" s="91" t="b">
        <v>0</v>
      </c>
      <c r="R185" s="38"/>
      <c r="S185" s="38"/>
      <c r="T185" s="38"/>
      <c r="U185" s="38"/>
      <c r="V185" s="38"/>
      <c r="W185" s="38"/>
    </row>
    <row r="186" spans="1:23" x14ac:dyDescent="0.2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27">
        <v>176</v>
      </c>
      <c r="N186" s="38">
        <v>1</v>
      </c>
      <c r="O186" s="38">
        <v>5</v>
      </c>
      <c r="P186" s="38" t="s">
        <v>43</v>
      </c>
      <c r="Q186" s="91" t="b">
        <v>0</v>
      </c>
      <c r="R186" s="38"/>
      <c r="S186" s="38"/>
      <c r="T186" s="38"/>
      <c r="U186" s="38"/>
      <c r="V186" s="38"/>
      <c r="W186" s="38"/>
    </row>
    <row r="187" spans="1:23" x14ac:dyDescent="0.2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27">
        <v>177</v>
      </c>
      <c r="N187" s="38">
        <v>1</v>
      </c>
      <c r="O187" s="38">
        <v>5</v>
      </c>
      <c r="P187" s="38" t="s">
        <v>43</v>
      </c>
      <c r="Q187" s="91" t="b">
        <v>0</v>
      </c>
      <c r="R187" s="38"/>
      <c r="S187" s="38"/>
      <c r="T187" s="38"/>
      <c r="U187" s="38"/>
      <c r="V187" s="38"/>
      <c r="W187" s="38"/>
    </row>
    <row r="188" spans="1:23" x14ac:dyDescent="0.2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27">
        <v>178</v>
      </c>
      <c r="N188" s="38">
        <v>1</v>
      </c>
      <c r="O188" s="38">
        <v>5</v>
      </c>
      <c r="P188" s="38" t="s">
        <v>43</v>
      </c>
      <c r="Q188" s="91" t="b">
        <v>0</v>
      </c>
      <c r="R188" s="38"/>
      <c r="S188" s="38"/>
      <c r="T188" s="38"/>
      <c r="U188" s="38"/>
      <c r="V188" s="38"/>
      <c r="W188" s="38"/>
    </row>
    <row r="189" spans="1:23" x14ac:dyDescent="0.2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27">
        <v>179</v>
      </c>
      <c r="N189" s="38">
        <v>1</v>
      </c>
      <c r="O189" s="38">
        <v>5</v>
      </c>
      <c r="P189" s="38" t="s">
        <v>43</v>
      </c>
      <c r="Q189" s="91" t="b">
        <v>0</v>
      </c>
      <c r="R189" s="38"/>
      <c r="S189" s="38"/>
      <c r="T189" s="38"/>
      <c r="U189" s="38"/>
      <c r="V189" s="38"/>
      <c r="W189" s="38"/>
    </row>
    <row r="190" spans="1:23" x14ac:dyDescent="0.2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27">
        <v>180</v>
      </c>
      <c r="N190" s="38">
        <v>1</v>
      </c>
      <c r="O190" s="38">
        <v>5</v>
      </c>
      <c r="P190" s="38" t="s">
        <v>43</v>
      </c>
      <c r="Q190" s="91" t="b">
        <v>0</v>
      </c>
      <c r="R190" s="38"/>
      <c r="S190" s="38"/>
      <c r="T190" s="38"/>
      <c r="U190" s="38"/>
      <c r="V190" s="38"/>
      <c r="W190" s="38"/>
    </row>
    <row r="191" spans="1:23" x14ac:dyDescent="0.2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27">
        <v>181</v>
      </c>
      <c r="N191" s="38">
        <v>1</v>
      </c>
      <c r="O191" s="38">
        <v>5</v>
      </c>
      <c r="P191" s="38" t="s">
        <v>43</v>
      </c>
      <c r="Q191" s="91" t="b">
        <v>0</v>
      </c>
      <c r="R191" s="38"/>
      <c r="S191" s="38"/>
      <c r="T191" s="38"/>
      <c r="U191" s="38"/>
      <c r="V191" s="38"/>
      <c r="W191" s="38"/>
    </row>
    <row r="192" spans="1:23" x14ac:dyDescent="0.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27">
        <v>182</v>
      </c>
      <c r="N192" s="38">
        <v>1</v>
      </c>
      <c r="O192" s="38">
        <v>5</v>
      </c>
      <c r="P192" s="38" t="s">
        <v>43</v>
      </c>
      <c r="Q192" s="91" t="b">
        <v>0</v>
      </c>
      <c r="R192" s="38"/>
      <c r="S192" s="38"/>
      <c r="T192" s="38"/>
      <c r="U192" s="38"/>
      <c r="V192" s="38"/>
      <c r="W192" s="38"/>
    </row>
    <row r="193" spans="1:23" x14ac:dyDescent="0.2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27">
        <v>183</v>
      </c>
      <c r="N193" s="38">
        <v>1</v>
      </c>
      <c r="O193" s="38">
        <v>5</v>
      </c>
      <c r="P193" s="38" t="s">
        <v>43</v>
      </c>
      <c r="Q193" s="91" t="b">
        <v>0</v>
      </c>
      <c r="R193" s="38"/>
      <c r="S193" s="38"/>
      <c r="T193" s="38"/>
      <c r="U193" s="38"/>
      <c r="V193" s="38"/>
      <c r="W193" s="38"/>
    </row>
    <row r="194" spans="1:23" x14ac:dyDescent="0.2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27">
        <v>184</v>
      </c>
      <c r="N194" s="38">
        <v>1</v>
      </c>
      <c r="O194" s="38">
        <v>5</v>
      </c>
      <c r="P194" s="38" t="s">
        <v>43</v>
      </c>
      <c r="Q194" s="91" t="b">
        <v>0</v>
      </c>
      <c r="R194" s="38"/>
      <c r="S194" s="38"/>
      <c r="T194" s="38"/>
      <c r="U194" s="38"/>
      <c r="V194" s="38"/>
      <c r="W194" s="38"/>
    </row>
    <row r="195" spans="1:23" x14ac:dyDescent="0.2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27">
        <v>185</v>
      </c>
      <c r="N195" s="38">
        <v>1</v>
      </c>
      <c r="O195" s="38">
        <v>5</v>
      </c>
      <c r="P195" s="38" t="s">
        <v>43</v>
      </c>
      <c r="Q195" s="91" t="b">
        <v>0</v>
      </c>
      <c r="R195" s="38"/>
      <c r="S195" s="38"/>
      <c r="T195" s="38"/>
      <c r="U195" s="38"/>
      <c r="V195" s="38"/>
      <c r="W195" s="38"/>
    </row>
    <row r="196" spans="1:23" x14ac:dyDescent="0.2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27">
        <v>186</v>
      </c>
      <c r="N196" s="38">
        <v>1</v>
      </c>
      <c r="O196" s="38">
        <v>5</v>
      </c>
      <c r="P196" s="38" t="s">
        <v>43</v>
      </c>
      <c r="Q196" s="91" t="b">
        <v>0</v>
      </c>
      <c r="R196" s="38"/>
      <c r="S196" s="38"/>
      <c r="T196" s="38"/>
      <c r="U196" s="38"/>
      <c r="V196" s="38"/>
      <c r="W196" s="38"/>
    </row>
    <row r="197" spans="1:23" x14ac:dyDescent="0.2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27">
        <v>187</v>
      </c>
      <c r="N197" s="38">
        <v>1</v>
      </c>
      <c r="O197" s="38">
        <v>5</v>
      </c>
      <c r="P197" s="38" t="s">
        <v>43</v>
      </c>
      <c r="Q197" s="91" t="b">
        <v>0</v>
      </c>
      <c r="R197" s="38"/>
      <c r="S197" s="38"/>
      <c r="T197" s="38"/>
      <c r="U197" s="38"/>
      <c r="V197" s="38"/>
      <c r="W197" s="38"/>
    </row>
    <row r="198" spans="1:23" x14ac:dyDescent="0.2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27">
        <v>188</v>
      </c>
      <c r="N198" s="38">
        <v>1</v>
      </c>
      <c r="O198" s="38">
        <v>5</v>
      </c>
      <c r="P198" s="38" t="s">
        <v>43</v>
      </c>
      <c r="Q198" s="91" t="b">
        <v>0</v>
      </c>
      <c r="R198" s="38"/>
      <c r="S198" s="38"/>
      <c r="T198" s="38"/>
      <c r="U198" s="38"/>
      <c r="V198" s="38"/>
      <c r="W198" s="38"/>
    </row>
    <row r="199" spans="1:23" x14ac:dyDescent="0.2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27">
        <v>189</v>
      </c>
      <c r="N199" s="38">
        <v>1</v>
      </c>
      <c r="O199" s="38">
        <v>5</v>
      </c>
      <c r="P199" s="38" t="s">
        <v>43</v>
      </c>
      <c r="Q199" s="91" t="b">
        <v>0</v>
      </c>
      <c r="R199" s="38"/>
      <c r="S199" s="38"/>
      <c r="T199" s="38"/>
      <c r="U199" s="38"/>
      <c r="V199" s="38"/>
      <c r="W199" s="38"/>
    </row>
    <row r="200" spans="1:23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27">
        <v>190</v>
      </c>
      <c r="N200" s="38">
        <v>1</v>
      </c>
      <c r="O200" s="38">
        <v>5</v>
      </c>
      <c r="P200" s="38" t="s">
        <v>43</v>
      </c>
      <c r="Q200" s="91" t="b">
        <v>0</v>
      </c>
      <c r="R200" s="38"/>
      <c r="S200" s="38"/>
      <c r="T200" s="38"/>
      <c r="U200" s="38"/>
      <c r="V200" s="38"/>
      <c r="W200" s="38"/>
    </row>
    <row r="201" spans="1:23" x14ac:dyDescent="0.2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27">
        <v>191</v>
      </c>
      <c r="N201" s="38">
        <v>1</v>
      </c>
      <c r="O201" s="38">
        <v>5</v>
      </c>
      <c r="P201" s="38" t="s">
        <v>43</v>
      </c>
      <c r="Q201" s="91" t="b">
        <v>0</v>
      </c>
      <c r="R201" s="38"/>
      <c r="S201" s="38"/>
      <c r="T201" s="38"/>
      <c r="U201" s="38"/>
      <c r="V201" s="38"/>
      <c r="W201" s="38"/>
    </row>
    <row r="202" spans="1:23" x14ac:dyDescent="0.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27">
        <v>192</v>
      </c>
      <c r="N202" s="38">
        <v>1</v>
      </c>
      <c r="O202" s="38">
        <v>5</v>
      </c>
      <c r="P202" s="38" t="s">
        <v>43</v>
      </c>
      <c r="Q202" s="91" t="b">
        <v>0</v>
      </c>
      <c r="R202" s="38"/>
      <c r="S202" s="38"/>
      <c r="T202" s="38"/>
      <c r="U202" s="38"/>
      <c r="V202" s="38"/>
      <c r="W202" s="38"/>
    </row>
    <row r="203" spans="1:23" x14ac:dyDescent="0.2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27">
        <v>193</v>
      </c>
      <c r="N203" s="38">
        <v>1</v>
      </c>
      <c r="O203" s="38">
        <v>5</v>
      </c>
      <c r="P203" s="38" t="s">
        <v>43</v>
      </c>
      <c r="Q203" s="91" t="b">
        <v>0</v>
      </c>
      <c r="R203" s="38"/>
      <c r="S203" s="38"/>
      <c r="T203" s="38"/>
      <c r="U203" s="38"/>
      <c r="V203" s="38"/>
      <c r="W203" s="38"/>
    </row>
    <row r="204" spans="1:23" x14ac:dyDescent="0.2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27">
        <v>194</v>
      </c>
      <c r="N204" s="38">
        <v>1</v>
      </c>
      <c r="O204" s="38">
        <v>5</v>
      </c>
      <c r="P204" s="38" t="s">
        <v>43</v>
      </c>
      <c r="Q204" s="91" t="b">
        <v>0</v>
      </c>
      <c r="R204" s="38"/>
      <c r="S204" s="38"/>
      <c r="T204" s="38"/>
      <c r="U204" s="38"/>
      <c r="V204" s="38"/>
      <c r="W204" s="38"/>
    </row>
    <row r="205" spans="1:23" x14ac:dyDescent="0.2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27">
        <v>195</v>
      </c>
      <c r="N205" s="38">
        <v>1</v>
      </c>
      <c r="O205" s="38">
        <v>5</v>
      </c>
      <c r="P205" s="38" t="s">
        <v>43</v>
      </c>
      <c r="Q205" s="91" t="b">
        <v>0</v>
      </c>
      <c r="R205" s="38"/>
      <c r="S205" s="38"/>
      <c r="T205" s="38"/>
      <c r="U205" s="38"/>
      <c r="V205" s="38"/>
      <c r="W205" s="38"/>
    </row>
    <row r="206" spans="1:23" x14ac:dyDescent="0.2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27">
        <v>196</v>
      </c>
      <c r="N206" s="38">
        <v>1</v>
      </c>
      <c r="O206" s="38">
        <v>5</v>
      </c>
      <c r="P206" s="38" t="s">
        <v>43</v>
      </c>
      <c r="Q206" s="91" t="b">
        <v>0</v>
      </c>
      <c r="R206" s="38"/>
      <c r="S206" s="38"/>
      <c r="T206" s="38"/>
      <c r="U206" s="38"/>
      <c r="V206" s="38"/>
      <c r="W206" s="38"/>
    </row>
    <row r="207" spans="1:23" x14ac:dyDescent="0.2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27">
        <v>197</v>
      </c>
      <c r="N207" s="38">
        <v>1</v>
      </c>
      <c r="O207" s="38">
        <v>5</v>
      </c>
      <c r="P207" s="38" t="s">
        <v>43</v>
      </c>
      <c r="Q207" s="91" t="b">
        <v>0</v>
      </c>
      <c r="R207" s="38"/>
      <c r="S207" s="38"/>
      <c r="T207" s="38"/>
      <c r="U207" s="38"/>
      <c r="V207" s="38"/>
      <c r="W207" s="38"/>
    </row>
    <row r="208" spans="1:23" x14ac:dyDescent="0.2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27">
        <v>198</v>
      </c>
      <c r="N208" s="38">
        <v>1</v>
      </c>
      <c r="O208" s="38">
        <v>5</v>
      </c>
      <c r="P208" s="38" t="s">
        <v>43</v>
      </c>
      <c r="Q208" s="91" t="b">
        <v>0</v>
      </c>
      <c r="R208" s="38"/>
      <c r="S208" s="38"/>
      <c r="T208" s="38"/>
      <c r="U208" s="38"/>
      <c r="V208" s="38"/>
      <c r="W208" s="38"/>
    </row>
    <row r="209" spans="1:23" x14ac:dyDescent="0.2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27">
        <v>199</v>
      </c>
      <c r="N209" s="38">
        <v>1</v>
      </c>
      <c r="O209" s="38">
        <v>5</v>
      </c>
      <c r="P209" s="38" t="s">
        <v>43</v>
      </c>
      <c r="Q209" s="91" t="b">
        <v>0</v>
      </c>
      <c r="R209" s="38"/>
      <c r="S209" s="38"/>
      <c r="T209" s="38"/>
      <c r="U209" s="38"/>
      <c r="V209" s="38"/>
      <c r="W209" s="38"/>
    </row>
    <row r="210" spans="1:23" x14ac:dyDescent="0.2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27">
        <v>200</v>
      </c>
      <c r="N210" s="38">
        <v>1</v>
      </c>
      <c r="O210" s="38">
        <v>5</v>
      </c>
      <c r="P210" s="38" t="s">
        <v>43</v>
      </c>
      <c r="Q210" s="91" t="b">
        <v>0</v>
      </c>
      <c r="R210" s="38"/>
      <c r="S210" s="38"/>
      <c r="T210" s="38"/>
      <c r="U210" s="38"/>
      <c r="V210" s="38"/>
      <c r="W210" s="38"/>
    </row>
    <row r="211" spans="1:23" x14ac:dyDescent="0.2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27">
        <v>201</v>
      </c>
      <c r="N211" s="38">
        <v>1</v>
      </c>
      <c r="O211" s="38">
        <v>5</v>
      </c>
      <c r="P211" s="38" t="s">
        <v>43</v>
      </c>
      <c r="Q211" s="91" t="b">
        <v>0</v>
      </c>
      <c r="R211" s="38"/>
      <c r="S211" s="38"/>
      <c r="T211" s="38"/>
      <c r="U211" s="38"/>
      <c r="V211" s="38"/>
      <c r="W211" s="38"/>
    </row>
    <row r="212" spans="1:23" x14ac:dyDescent="0.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27">
        <v>202</v>
      </c>
      <c r="N212" s="38">
        <v>1</v>
      </c>
      <c r="O212" s="38">
        <v>5</v>
      </c>
      <c r="P212" s="38" t="s">
        <v>43</v>
      </c>
      <c r="Q212" s="91" t="b">
        <v>0</v>
      </c>
      <c r="R212" s="38"/>
      <c r="S212" s="38"/>
      <c r="T212" s="38"/>
      <c r="U212" s="38"/>
      <c r="V212" s="38"/>
      <c r="W212" s="38"/>
    </row>
    <row r="213" spans="1:23" x14ac:dyDescent="0.2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27">
        <v>203</v>
      </c>
      <c r="N213" s="38">
        <v>1</v>
      </c>
      <c r="O213" s="38">
        <v>5</v>
      </c>
      <c r="P213" s="38" t="s">
        <v>43</v>
      </c>
      <c r="Q213" s="91" t="b">
        <v>0</v>
      </c>
      <c r="R213" s="38"/>
      <c r="S213" s="38"/>
      <c r="T213" s="38"/>
      <c r="U213" s="38"/>
      <c r="V213" s="38"/>
      <c r="W213" s="38"/>
    </row>
    <row r="214" spans="1:23" x14ac:dyDescent="0.2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27">
        <v>204</v>
      </c>
      <c r="N214" s="38">
        <v>1</v>
      </c>
      <c r="O214" s="38">
        <v>5</v>
      </c>
      <c r="P214" s="38" t="s">
        <v>43</v>
      </c>
      <c r="Q214" s="91" t="b">
        <v>0</v>
      </c>
      <c r="R214" s="38"/>
      <c r="S214" s="38"/>
      <c r="T214" s="38"/>
      <c r="U214" s="38"/>
      <c r="V214" s="38"/>
      <c r="W214" s="38"/>
    </row>
    <row r="215" spans="1:23" x14ac:dyDescent="0.2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27">
        <v>205</v>
      </c>
      <c r="N215" s="38">
        <v>1</v>
      </c>
      <c r="O215" s="38">
        <v>5</v>
      </c>
      <c r="P215" s="38" t="s">
        <v>43</v>
      </c>
      <c r="Q215" s="91" t="b">
        <v>0</v>
      </c>
      <c r="R215" s="38"/>
      <c r="S215" s="38"/>
      <c r="T215" s="38"/>
      <c r="U215" s="38"/>
      <c r="V215" s="38"/>
      <c r="W215" s="38"/>
    </row>
    <row r="216" spans="1:23" x14ac:dyDescent="0.2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27">
        <v>206</v>
      </c>
      <c r="N216" s="38">
        <v>1</v>
      </c>
      <c r="O216" s="38">
        <v>5</v>
      </c>
      <c r="P216" s="38" t="s">
        <v>43</v>
      </c>
      <c r="Q216" s="91" t="b">
        <v>0</v>
      </c>
      <c r="R216" s="38"/>
      <c r="S216" s="38"/>
      <c r="T216" s="38"/>
      <c r="U216" s="38"/>
      <c r="V216" s="38"/>
      <c r="W216" s="38"/>
    </row>
    <row r="217" spans="1:23" x14ac:dyDescent="0.2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27">
        <v>207</v>
      </c>
      <c r="N217" s="38">
        <v>1</v>
      </c>
      <c r="O217" s="38">
        <v>5</v>
      </c>
      <c r="P217" s="38" t="s">
        <v>43</v>
      </c>
      <c r="Q217" s="91" t="b">
        <v>0</v>
      </c>
      <c r="R217" s="38"/>
      <c r="S217" s="38"/>
      <c r="T217" s="38"/>
      <c r="U217" s="38"/>
      <c r="V217" s="38"/>
      <c r="W217" s="38"/>
    </row>
    <row r="218" spans="1:23" x14ac:dyDescent="0.2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27">
        <v>208</v>
      </c>
      <c r="N218" s="38">
        <v>1</v>
      </c>
      <c r="O218" s="38">
        <v>5</v>
      </c>
      <c r="P218" s="38" t="s">
        <v>43</v>
      </c>
      <c r="Q218" s="91" t="b">
        <v>0</v>
      </c>
      <c r="R218" s="38"/>
      <c r="S218" s="38"/>
      <c r="T218" s="38"/>
      <c r="U218" s="38"/>
      <c r="V218" s="38"/>
      <c r="W218" s="38"/>
    </row>
    <row r="219" spans="1:23" x14ac:dyDescent="0.2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27">
        <v>209</v>
      </c>
      <c r="N219" s="38">
        <v>1</v>
      </c>
      <c r="O219" s="38">
        <v>5</v>
      </c>
      <c r="P219" s="38" t="s">
        <v>43</v>
      </c>
      <c r="Q219" s="91" t="b">
        <v>0</v>
      </c>
      <c r="R219" s="38"/>
      <c r="S219" s="38"/>
      <c r="T219" s="38"/>
      <c r="U219" s="38"/>
      <c r="V219" s="38"/>
      <c r="W219" s="38"/>
    </row>
    <row r="220" spans="1:23" x14ac:dyDescent="0.2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27">
        <v>210</v>
      </c>
      <c r="N220" s="38">
        <v>1</v>
      </c>
      <c r="O220" s="38">
        <v>5</v>
      </c>
      <c r="P220" s="38" t="s">
        <v>43</v>
      </c>
      <c r="Q220" s="91" t="b">
        <v>0</v>
      </c>
      <c r="R220" s="38"/>
      <c r="S220" s="38"/>
      <c r="T220" s="38"/>
      <c r="U220" s="38"/>
      <c r="V220" s="38"/>
      <c r="W220" s="38"/>
    </row>
    <row r="221" spans="1:23" x14ac:dyDescent="0.2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27">
        <v>211</v>
      </c>
      <c r="N221" s="38">
        <v>1</v>
      </c>
      <c r="O221" s="38">
        <v>5</v>
      </c>
      <c r="P221" s="38" t="s">
        <v>43</v>
      </c>
      <c r="Q221" s="91" t="b">
        <v>0</v>
      </c>
      <c r="R221" s="38"/>
      <c r="S221" s="38"/>
      <c r="T221" s="38"/>
      <c r="U221" s="38"/>
      <c r="V221" s="38"/>
      <c r="W221" s="38"/>
    </row>
    <row r="222" spans="1:23" x14ac:dyDescent="0.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27">
        <v>212</v>
      </c>
      <c r="N222" s="38">
        <v>1</v>
      </c>
      <c r="O222" s="38">
        <v>5</v>
      </c>
      <c r="P222" s="38" t="s">
        <v>43</v>
      </c>
      <c r="Q222" s="91" t="b">
        <v>0</v>
      </c>
      <c r="R222" s="38"/>
      <c r="S222" s="38"/>
      <c r="T222" s="38"/>
      <c r="U222" s="38"/>
      <c r="V222" s="38"/>
      <c r="W222" s="38"/>
    </row>
    <row r="223" spans="1:23" x14ac:dyDescent="0.2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27">
        <v>213</v>
      </c>
      <c r="N223" s="38">
        <v>1</v>
      </c>
      <c r="O223" s="38">
        <v>5</v>
      </c>
      <c r="P223" s="38" t="s">
        <v>43</v>
      </c>
      <c r="Q223" s="91" t="b">
        <v>0</v>
      </c>
      <c r="R223" s="38"/>
      <c r="S223" s="38"/>
      <c r="T223" s="38"/>
      <c r="U223" s="38"/>
      <c r="V223" s="38"/>
      <c r="W223" s="38"/>
    </row>
    <row r="224" spans="1:23" x14ac:dyDescent="0.2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27">
        <v>214</v>
      </c>
      <c r="N224" s="38">
        <v>1</v>
      </c>
      <c r="O224" s="38">
        <v>5</v>
      </c>
      <c r="P224" s="38" t="s">
        <v>43</v>
      </c>
      <c r="Q224" s="91" t="b">
        <v>0</v>
      </c>
      <c r="R224" s="38"/>
      <c r="S224" s="38"/>
      <c r="T224" s="38"/>
      <c r="U224" s="38"/>
      <c r="V224" s="38"/>
      <c r="W224" s="38"/>
    </row>
    <row r="225" spans="1:23" x14ac:dyDescent="0.2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27">
        <v>215</v>
      </c>
      <c r="N225" s="38">
        <v>1</v>
      </c>
      <c r="O225" s="38">
        <v>5</v>
      </c>
      <c r="P225" s="38" t="s">
        <v>43</v>
      </c>
      <c r="Q225" s="91" t="b">
        <v>0</v>
      </c>
      <c r="R225" s="38"/>
      <c r="S225" s="38"/>
      <c r="T225" s="38"/>
      <c r="U225" s="38"/>
      <c r="V225" s="38"/>
      <c r="W225" s="38"/>
    </row>
    <row r="226" spans="1:23" x14ac:dyDescent="0.2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27">
        <v>216</v>
      </c>
      <c r="N226" s="38">
        <v>1</v>
      </c>
      <c r="O226" s="38">
        <v>5</v>
      </c>
      <c r="P226" s="38" t="s">
        <v>43</v>
      </c>
      <c r="Q226" s="91" t="b">
        <v>0</v>
      </c>
      <c r="R226" s="38"/>
      <c r="S226" s="38"/>
      <c r="T226" s="38"/>
      <c r="U226" s="38"/>
      <c r="V226" s="38"/>
      <c r="W226" s="38"/>
    </row>
    <row r="227" spans="1:23" x14ac:dyDescent="0.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27">
        <v>217</v>
      </c>
      <c r="N227" s="38">
        <v>1</v>
      </c>
      <c r="O227" s="38">
        <v>5</v>
      </c>
      <c r="P227" s="38" t="s">
        <v>43</v>
      </c>
      <c r="Q227" s="91" t="b">
        <v>0</v>
      </c>
      <c r="R227" s="38"/>
      <c r="S227" s="38"/>
      <c r="T227" s="38"/>
      <c r="U227" s="38"/>
      <c r="V227" s="38"/>
      <c r="W227" s="38"/>
    </row>
    <row r="228" spans="1:23" x14ac:dyDescent="0.2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27">
        <v>218</v>
      </c>
      <c r="N228" s="38">
        <v>1</v>
      </c>
      <c r="O228" s="38">
        <v>5</v>
      </c>
      <c r="P228" s="38" t="s">
        <v>43</v>
      </c>
      <c r="Q228" s="91" t="b">
        <v>0</v>
      </c>
      <c r="R228" s="38"/>
      <c r="S228" s="38"/>
      <c r="T228" s="38"/>
      <c r="U228" s="38"/>
      <c r="V228" s="38"/>
      <c r="W228" s="38"/>
    </row>
    <row r="229" spans="1:23" x14ac:dyDescent="0.2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27">
        <v>219</v>
      </c>
      <c r="N229" s="38">
        <v>1</v>
      </c>
      <c r="O229" s="38">
        <v>5</v>
      </c>
      <c r="P229" s="38" t="s">
        <v>43</v>
      </c>
      <c r="Q229" s="91" t="b">
        <v>0</v>
      </c>
      <c r="R229" s="38"/>
      <c r="S229" s="38"/>
      <c r="T229" s="38"/>
      <c r="U229" s="38"/>
      <c r="V229" s="38"/>
      <c r="W229" s="38"/>
    </row>
    <row r="230" spans="1:23" x14ac:dyDescent="0.2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27">
        <v>220</v>
      </c>
      <c r="N230" s="38">
        <v>1</v>
      </c>
      <c r="O230" s="38">
        <v>5</v>
      </c>
      <c r="P230" s="38" t="s">
        <v>43</v>
      </c>
      <c r="Q230" s="91" t="b">
        <v>0</v>
      </c>
      <c r="R230" s="38"/>
      <c r="S230" s="38"/>
      <c r="T230" s="38"/>
      <c r="U230" s="38"/>
      <c r="V230" s="38"/>
      <c r="W230" s="38"/>
    </row>
    <row r="231" spans="1:23" x14ac:dyDescent="0.2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27">
        <v>221</v>
      </c>
      <c r="N231" s="38">
        <v>1</v>
      </c>
      <c r="O231" s="38">
        <v>5</v>
      </c>
      <c r="P231" s="38" t="s">
        <v>43</v>
      </c>
      <c r="Q231" s="91" t="b">
        <v>0</v>
      </c>
      <c r="R231" s="38"/>
      <c r="S231" s="38"/>
      <c r="T231" s="38"/>
      <c r="U231" s="38"/>
      <c r="V231" s="38"/>
      <c r="W231" s="38"/>
    </row>
    <row r="232" spans="1:23" x14ac:dyDescent="0.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27">
        <v>222</v>
      </c>
      <c r="N232" s="38">
        <v>1</v>
      </c>
      <c r="O232" s="38">
        <v>5</v>
      </c>
      <c r="P232" s="38" t="s">
        <v>43</v>
      </c>
      <c r="Q232" s="91" t="b">
        <v>0</v>
      </c>
      <c r="R232" s="38"/>
      <c r="S232" s="38"/>
      <c r="T232" s="38"/>
      <c r="U232" s="38"/>
      <c r="V232" s="38"/>
      <c r="W232" s="38"/>
    </row>
    <row r="233" spans="1:23" x14ac:dyDescent="0.2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27">
        <v>223</v>
      </c>
      <c r="N233" s="38">
        <v>1</v>
      </c>
      <c r="O233" s="38">
        <v>5</v>
      </c>
      <c r="P233" s="38" t="s">
        <v>43</v>
      </c>
      <c r="Q233" s="91" t="b">
        <v>0</v>
      </c>
      <c r="R233" s="38"/>
      <c r="S233" s="38"/>
      <c r="T233" s="38"/>
      <c r="U233" s="38"/>
      <c r="V233" s="38"/>
      <c r="W233" s="38"/>
    </row>
    <row r="234" spans="1:23" x14ac:dyDescent="0.2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27">
        <v>224</v>
      </c>
      <c r="N234" s="38">
        <v>1</v>
      </c>
      <c r="O234" s="38">
        <v>5</v>
      </c>
      <c r="P234" s="38" t="s">
        <v>43</v>
      </c>
      <c r="Q234" s="91" t="b">
        <v>0</v>
      </c>
      <c r="R234" s="38"/>
      <c r="S234" s="38"/>
      <c r="T234" s="38"/>
      <c r="U234" s="38"/>
      <c r="V234" s="38"/>
      <c r="W234" s="38"/>
    </row>
    <row r="235" spans="1:23" x14ac:dyDescent="0.2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27">
        <v>225</v>
      </c>
      <c r="N235" s="38">
        <v>1</v>
      </c>
      <c r="O235" s="38">
        <v>5</v>
      </c>
      <c r="P235" s="38" t="s">
        <v>43</v>
      </c>
      <c r="Q235" s="91" t="b">
        <v>0</v>
      </c>
      <c r="R235" s="38"/>
      <c r="S235" s="38"/>
      <c r="T235" s="38"/>
      <c r="U235" s="38"/>
      <c r="V235" s="38"/>
      <c r="W235" s="38"/>
    </row>
    <row r="236" spans="1:23" x14ac:dyDescent="0.2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27">
        <v>226</v>
      </c>
      <c r="N236" s="38">
        <v>1</v>
      </c>
      <c r="O236" s="38">
        <v>5</v>
      </c>
      <c r="P236" s="38" t="s">
        <v>43</v>
      </c>
      <c r="Q236" s="91" t="b">
        <v>0</v>
      </c>
      <c r="R236" s="38"/>
      <c r="S236" s="38"/>
      <c r="T236" s="38"/>
      <c r="U236" s="38"/>
      <c r="V236" s="38"/>
      <c r="W236" s="38"/>
    </row>
    <row r="237" spans="1:23" x14ac:dyDescent="0.2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27">
        <v>227</v>
      </c>
      <c r="N237" s="38">
        <v>1</v>
      </c>
      <c r="O237" s="38">
        <v>5</v>
      </c>
      <c r="P237" s="38" t="s">
        <v>43</v>
      </c>
      <c r="Q237" s="91" t="b">
        <v>0</v>
      </c>
      <c r="R237" s="38"/>
      <c r="S237" s="38"/>
      <c r="T237" s="38"/>
      <c r="U237" s="38"/>
      <c r="V237" s="38"/>
      <c r="W237" s="38"/>
    </row>
    <row r="238" spans="1:23" x14ac:dyDescent="0.2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27">
        <v>228</v>
      </c>
      <c r="N238" s="38">
        <v>1</v>
      </c>
      <c r="O238" s="38">
        <v>5</v>
      </c>
      <c r="P238" s="38" t="s">
        <v>43</v>
      </c>
      <c r="Q238" s="91" t="b">
        <v>0</v>
      </c>
      <c r="R238" s="38"/>
      <c r="S238" s="38"/>
      <c r="T238" s="38"/>
      <c r="U238" s="38"/>
      <c r="V238" s="38"/>
      <c r="W238" s="38"/>
    </row>
    <row r="239" spans="1:23" x14ac:dyDescent="0.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27">
        <v>229</v>
      </c>
      <c r="N239" s="38">
        <v>1</v>
      </c>
      <c r="O239" s="38">
        <v>5</v>
      </c>
      <c r="P239" s="38" t="s">
        <v>43</v>
      </c>
      <c r="Q239" s="91" t="b">
        <v>0</v>
      </c>
      <c r="R239" s="38"/>
      <c r="S239" s="38"/>
      <c r="T239" s="38"/>
      <c r="U239" s="38"/>
      <c r="V239" s="38"/>
      <c r="W239" s="38"/>
    </row>
    <row r="240" spans="1:23" x14ac:dyDescent="0.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27">
        <v>230</v>
      </c>
      <c r="N240" s="38">
        <v>1</v>
      </c>
      <c r="O240" s="38">
        <v>5</v>
      </c>
      <c r="P240" s="38" t="s">
        <v>43</v>
      </c>
      <c r="Q240" s="91" t="b">
        <v>0</v>
      </c>
      <c r="R240" s="38"/>
      <c r="S240" s="38"/>
      <c r="T240" s="38"/>
      <c r="U240" s="38"/>
      <c r="V240" s="38"/>
      <c r="W240" s="38"/>
    </row>
    <row r="241" spans="1:23" x14ac:dyDescent="0.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27">
        <v>231</v>
      </c>
      <c r="N241" s="38">
        <v>1</v>
      </c>
      <c r="O241" s="38">
        <v>5</v>
      </c>
      <c r="P241" s="38" t="s">
        <v>43</v>
      </c>
      <c r="Q241" s="91" t="b">
        <v>0</v>
      </c>
      <c r="R241" s="38"/>
      <c r="S241" s="38"/>
      <c r="T241" s="38"/>
      <c r="U241" s="38"/>
      <c r="V241" s="38"/>
      <c r="W241" s="38"/>
    </row>
    <row r="242" spans="1:23" x14ac:dyDescent="0.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27">
        <v>232</v>
      </c>
      <c r="N242" s="38">
        <v>1</v>
      </c>
      <c r="O242" s="38">
        <v>5</v>
      </c>
      <c r="P242" s="38" t="s">
        <v>43</v>
      </c>
      <c r="Q242" s="91" t="b">
        <v>0</v>
      </c>
      <c r="R242" s="38"/>
      <c r="S242" s="38"/>
      <c r="T242" s="38"/>
      <c r="U242" s="38"/>
      <c r="V242" s="38"/>
      <c r="W242" s="38"/>
    </row>
    <row r="243" spans="1:23" x14ac:dyDescent="0.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27">
        <v>233</v>
      </c>
      <c r="N243" s="38">
        <v>1</v>
      </c>
      <c r="O243" s="38">
        <v>5</v>
      </c>
      <c r="P243" s="38" t="s">
        <v>43</v>
      </c>
      <c r="Q243" s="91" t="b">
        <v>0</v>
      </c>
      <c r="R243" s="38"/>
      <c r="S243" s="38"/>
      <c r="T243" s="38"/>
      <c r="U243" s="38"/>
      <c r="V243" s="38"/>
      <c r="W243" s="38"/>
    </row>
    <row r="244" spans="1:23" x14ac:dyDescent="0.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27">
        <v>234</v>
      </c>
      <c r="N244" s="38">
        <v>1</v>
      </c>
      <c r="O244" s="38">
        <v>5</v>
      </c>
      <c r="P244" s="38" t="s">
        <v>43</v>
      </c>
      <c r="Q244" s="91" t="b">
        <v>0</v>
      </c>
      <c r="R244" s="38"/>
      <c r="S244" s="38"/>
      <c r="T244" s="38"/>
      <c r="U244" s="38"/>
      <c r="V244" s="38"/>
      <c r="W244" s="38"/>
    </row>
    <row r="245" spans="1:23" x14ac:dyDescent="0.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27">
        <v>235</v>
      </c>
      <c r="N245" s="38">
        <v>1</v>
      </c>
      <c r="O245" s="38">
        <v>5</v>
      </c>
      <c r="P245" s="38" t="s">
        <v>43</v>
      </c>
      <c r="Q245" s="91" t="b">
        <v>0</v>
      </c>
      <c r="R245" s="38"/>
      <c r="S245" s="38"/>
      <c r="T245" s="38"/>
      <c r="U245" s="38"/>
      <c r="V245" s="38"/>
      <c r="W245" s="38"/>
    </row>
    <row r="246" spans="1:23" x14ac:dyDescent="0.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27">
        <v>236</v>
      </c>
      <c r="N246" s="38">
        <v>1</v>
      </c>
      <c r="O246" s="38">
        <v>5</v>
      </c>
      <c r="P246" s="38" t="s">
        <v>43</v>
      </c>
      <c r="Q246" s="91" t="b">
        <v>0</v>
      </c>
      <c r="R246" s="38"/>
      <c r="S246" s="38"/>
      <c r="T246" s="38"/>
      <c r="U246" s="38"/>
      <c r="V246" s="38"/>
      <c r="W246" s="38"/>
    </row>
    <row r="247" spans="1:23" x14ac:dyDescent="0.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27">
        <v>237</v>
      </c>
      <c r="N247" s="38">
        <v>1</v>
      </c>
      <c r="O247" s="38">
        <v>5</v>
      </c>
      <c r="P247" s="38" t="s">
        <v>43</v>
      </c>
      <c r="Q247" s="91" t="b">
        <v>0</v>
      </c>
      <c r="R247" s="38"/>
      <c r="S247" s="38"/>
      <c r="T247" s="38"/>
      <c r="U247" s="38"/>
      <c r="V247" s="38"/>
      <c r="W247" s="38"/>
    </row>
    <row r="248" spans="1:23" x14ac:dyDescent="0.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27">
        <v>238</v>
      </c>
      <c r="N248" s="38">
        <v>1</v>
      </c>
      <c r="O248" s="38">
        <v>5</v>
      </c>
      <c r="P248" s="38" t="s">
        <v>43</v>
      </c>
      <c r="Q248" s="91" t="b">
        <v>0</v>
      </c>
      <c r="R248" s="38"/>
      <c r="S248" s="38"/>
      <c r="T248" s="38"/>
      <c r="U248" s="38"/>
      <c r="V248" s="38"/>
      <c r="W248" s="38"/>
    </row>
    <row r="249" spans="1:23" x14ac:dyDescent="0.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27">
        <v>239</v>
      </c>
      <c r="N249" s="38">
        <v>1</v>
      </c>
      <c r="O249" s="38">
        <v>5</v>
      </c>
      <c r="P249" s="38" t="s">
        <v>43</v>
      </c>
      <c r="Q249" s="91" t="b">
        <v>0</v>
      </c>
      <c r="R249" s="38"/>
      <c r="S249" s="38"/>
      <c r="T249" s="38"/>
      <c r="U249" s="38"/>
      <c r="V249" s="38"/>
      <c r="W249" s="38"/>
    </row>
    <row r="250" spans="1:23" x14ac:dyDescent="0.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27">
        <v>240</v>
      </c>
      <c r="N250" s="38">
        <v>1</v>
      </c>
      <c r="O250" s="38">
        <v>5</v>
      </c>
      <c r="P250" s="38" t="s">
        <v>43</v>
      </c>
      <c r="Q250" s="91" t="b">
        <v>0</v>
      </c>
      <c r="R250" s="38"/>
      <c r="S250" s="38"/>
      <c r="T250" s="38"/>
      <c r="U250" s="38"/>
      <c r="V250" s="38"/>
      <c r="W250" s="38"/>
    </row>
    <row r="251" spans="1:23" x14ac:dyDescent="0.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27">
        <v>241</v>
      </c>
      <c r="N251" s="38">
        <v>1</v>
      </c>
      <c r="O251" s="38">
        <v>5</v>
      </c>
      <c r="P251" s="38" t="s">
        <v>43</v>
      </c>
      <c r="Q251" s="91" t="b">
        <v>0</v>
      </c>
      <c r="R251" s="38"/>
      <c r="S251" s="38"/>
      <c r="T251" s="38"/>
      <c r="U251" s="38"/>
      <c r="V251" s="38"/>
      <c r="W251" s="38"/>
    </row>
    <row r="252" spans="1:23" x14ac:dyDescent="0.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27">
        <v>242</v>
      </c>
      <c r="N252" s="38">
        <v>1</v>
      </c>
      <c r="O252" s="38">
        <v>5</v>
      </c>
      <c r="P252" s="38" t="s">
        <v>43</v>
      </c>
      <c r="Q252" s="91" t="b">
        <v>0</v>
      </c>
      <c r="R252" s="38"/>
      <c r="S252" s="38"/>
      <c r="T252" s="38"/>
      <c r="U252" s="38"/>
      <c r="V252" s="38"/>
      <c r="W252" s="38"/>
    </row>
    <row r="253" spans="1:23" x14ac:dyDescent="0.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27">
        <v>243</v>
      </c>
      <c r="N253" s="38">
        <v>1</v>
      </c>
      <c r="O253" s="38">
        <v>5</v>
      </c>
      <c r="P253" s="38" t="s">
        <v>43</v>
      </c>
      <c r="Q253" s="91" t="b">
        <v>0</v>
      </c>
      <c r="R253" s="38"/>
      <c r="S253" s="38"/>
      <c r="T253" s="38"/>
      <c r="U253" s="38"/>
      <c r="V253" s="38"/>
      <c r="W253" s="38"/>
    </row>
    <row r="254" spans="1:23" x14ac:dyDescent="0.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27">
        <v>244</v>
      </c>
      <c r="N254" s="38">
        <v>1</v>
      </c>
      <c r="O254" s="38">
        <v>5</v>
      </c>
      <c r="P254" s="38" t="s">
        <v>43</v>
      </c>
      <c r="Q254" s="91" t="b">
        <v>0</v>
      </c>
      <c r="R254" s="38"/>
      <c r="S254" s="38"/>
      <c r="T254" s="38"/>
      <c r="U254" s="38"/>
      <c r="V254" s="38"/>
      <c r="W254" s="38"/>
    </row>
    <row r="255" spans="1:23" x14ac:dyDescent="0.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27">
        <v>245</v>
      </c>
      <c r="N255" s="38">
        <v>1</v>
      </c>
      <c r="O255" s="38">
        <v>5</v>
      </c>
      <c r="P255" s="38" t="s">
        <v>43</v>
      </c>
      <c r="Q255" s="91" t="b">
        <v>0</v>
      </c>
      <c r="R255" s="38"/>
      <c r="S255" s="38"/>
      <c r="T255" s="38"/>
      <c r="U255" s="38"/>
      <c r="V255" s="38"/>
      <c r="W255" s="38"/>
    </row>
    <row r="256" spans="1:23" x14ac:dyDescent="0.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27">
        <v>246</v>
      </c>
      <c r="N256" s="38">
        <v>1</v>
      </c>
      <c r="O256" s="38">
        <v>5</v>
      </c>
      <c r="P256" s="38" t="s">
        <v>43</v>
      </c>
      <c r="Q256" s="91" t="b">
        <v>0</v>
      </c>
      <c r="R256" s="38"/>
      <c r="S256" s="38"/>
      <c r="T256" s="38"/>
      <c r="U256" s="38"/>
      <c r="V256" s="38"/>
      <c r="W256" s="38"/>
    </row>
    <row r="257" spans="1:23" x14ac:dyDescent="0.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27">
        <v>247</v>
      </c>
      <c r="N257" s="38">
        <v>1</v>
      </c>
      <c r="O257" s="38">
        <v>5</v>
      </c>
      <c r="P257" s="38" t="s">
        <v>43</v>
      </c>
      <c r="Q257" s="91" t="b">
        <v>0</v>
      </c>
      <c r="R257" s="38"/>
      <c r="S257" s="38"/>
      <c r="T257" s="38"/>
      <c r="U257" s="38"/>
      <c r="V257" s="38"/>
      <c r="W257" s="38"/>
    </row>
    <row r="258" spans="1:23" x14ac:dyDescent="0.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27">
        <v>248</v>
      </c>
      <c r="N258" s="38">
        <v>1</v>
      </c>
      <c r="O258" s="38">
        <v>5</v>
      </c>
      <c r="P258" s="38" t="s">
        <v>43</v>
      </c>
      <c r="Q258" s="91" t="b">
        <v>0</v>
      </c>
      <c r="R258" s="38"/>
      <c r="S258" s="38"/>
      <c r="T258" s="38"/>
      <c r="U258" s="38"/>
      <c r="V258" s="38"/>
      <c r="W258" s="38"/>
    </row>
    <row r="259" spans="1:23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27">
        <v>249</v>
      </c>
      <c r="N259" s="38">
        <v>1</v>
      </c>
      <c r="O259" s="38">
        <v>5</v>
      </c>
      <c r="P259" s="38" t="s">
        <v>43</v>
      </c>
      <c r="Q259" s="91" t="b">
        <v>0</v>
      </c>
      <c r="R259" s="38"/>
      <c r="S259" s="38"/>
      <c r="T259" s="38"/>
      <c r="U259" s="38"/>
      <c r="V259" s="38"/>
      <c r="W259" s="38"/>
    </row>
    <row r="260" spans="1:23" x14ac:dyDescent="0.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27">
        <v>250</v>
      </c>
      <c r="N260" s="38">
        <v>1</v>
      </c>
      <c r="O260" s="38">
        <v>5</v>
      </c>
      <c r="P260" s="38" t="s">
        <v>43</v>
      </c>
      <c r="Q260" s="91" t="b">
        <v>0</v>
      </c>
      <c r="R260" s="38"/>
      <c r="S260" s="38"/>
      <c r="T260" s="38"/>
      <c r="U260" s="38"/>
      <c r="V260" s="38"/>
      <c r="W260" s="38"/>
    </row>
    <row r="261" spans="1:23" x14ac:dyDescent="0.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27">
        <v>251</v>
      </c>
      <c r="N261" s="38">
        <v>1</v>
      </c>
      <c r="O261" s="38">
        <v>5</v>
      </c>
      <c r="P261" s="38" t="s">
        <v>43</v>
      </c>
      <c r="Q261" s="91" t="b">
        <v>0</v>
      </c>
      <c r="R261" s="38"/>
      <c r="S261" s="38"/>
      <c r="T261" s="38"/>
      <c r="U261" s="38"/>
      <c r="V261" s="38"/>
      <c r="W261" s="38"/>
    </row>
    <row r="262" spans="1:23" x14ac:dyDescent="0.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27">
        <v>252</v>
      </c>
      <c r="N262" s="38">
        <v>1</v>
      </c>
      <c r="O262" s="38">
        <v>5</v>
      </c>
      <c r="P262" s="38" t="s">
        <v>43</v>
      </c>
      <c r="Q262" s="91" t="b">
        <v>0</v>
      </c>
      <c r="R262" s="38"/>
      <c r="S262" s="38"/>
      <c r="T262" s="38"/>
      <c r="U262" s="38"/>
      <c r="V262" s="38"/>
      <c r="W262" s="38"/>
    </row>
    <row r="263" spans="1:23" x14ac:dyDescent="0.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27">
        <v>253</v>
      </c>
      <c r="N263" s="38">
        <v>1</v>
      </c>
      <c r="O263" s="38">
        <v>5</v>
      </c>
      <c r="P263" s="38" t="s">
        <v>43</v>
      </c>
      <c r="Q263" s="91" t="b">
        <v>0</v>
      </c>
      <c r="R263" s="38"/>
      <c r="S263" s="38"/>
      <c r="T263" s="38"/>
      <c r="U263" s="38"/>
      <c r="V263" s="38"/>
      <c r="W263" s="38"/>
    </row>
    <row r="264" spans="1:23" x14ac:dyDescent="0.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27">
        <v>254</v>
      </c>
      <c r="N264" s="38">
        <v>1</v>
      </c>
      <c r="O264" s="38">
        <v>5</v>
      </c>
      <c r="P264" s="38" t="s">
        <v>43</v>
      </c>
      <c r="Q264" s="91" t="b">
        <v>0</v>
      </c>
      <c r="R264" s="38"/>
      <c r="S264" s="38"/>
      <c r="T264" s="38"/>
      <c r="U264" s="38"/>
      <c r="V264" s="38"/>
      <c r="W264" s="38"/>
    </row>
    <row r="265" spans="1:23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27">
        <v>255</v>
      </c>
      <c r="N265" s="38">
        <v>1</v>
      </c>
      <c r="O265" s="38">
        <v>5</v>
      </c>
      <c r="P265" s="38" t="s">
        <v>43</v>
      </c>
      <c r="Q265" s="91" t="b">
        <v>0</v>
      </c>
      <c r="R265" s="38"/>
      <c r="S265" s="38"/>
      <c r="T265" s="38"/>
      <c r="U265" s="38"/>
      <c r="V265" s="38"/>
      <c r="W265" s="38"/>
    </row>
    <row r="266" spans="1:23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27">
        <v>256</v>
      </c>
      <c r="N266" s="38">
        <v>1</v>
      </c>
      <c r="O266" s="38">
        <v>5</v>
      </c>
      <c r="P266" s="38" t="s">
        <v>43</v>
      </c>
      <c r="Q266" s="91" t="b">
        <v>0</v>
      </c>
      <c r="R266" s="38"/>
      <c r="S266" s="38"/>
      <c r="T266" s="38"/>
      <c r="U266" s="38"/>
      <c r="V266" s="38"/>
      <c r="W266" s="38"/>
    </row>
    <row r="267" spans="1:23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27">
        <v>257</v>
      </c>
      <c r="N267" s="38">
        <v>1</v>
      </c>
      <c r="O267" s="38">
        <v>5</v>
      </c>
      <c r="P267" s="38" t="s">
        <v>43</v>
      </c>
      <c r="Q267" s="91" t="b">
        <v>0</v>
      </c>
      <c r="R267" s="38"/>
      <c r="S267" s="38"/>
      <c r="T267" s="38"/>
      <c r="U267" s="38"/>
      <c r="V267" s="38"/>
      <c r="W267" s="38"/>
    </row>
    <row r="268" spans="1:23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27">
        <v>258</v>
      </c>
      <c r="N268" s="38">
        <v>1</v>
      </c>
      <c r="O268" s="38">
        <v>5</v>
      </c>
      <c r="P268" s="38" t="s">
        <v>43</v>
      </c>
      <c r="Q268" s="91" t="b">
        <v>0</v>
      </c>
      <c r="R268" s="38"/>
      <c r="S268" s="38"/>
      <c r="T268" s="38"/>
      <c r="U268" s="38"/>
      <c r="V268" s="38"/>
      <c r="W268" s="38"/>
    </row>
    <row r="269" spans="1:23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27">
        <v>259</v>
      </c>
      <c r="N269" s="38">
        <v>1</v>
      </c>
      <c r="O269" s="38">
        <v>5</v>
      </c>
      <c r="P269" s="38" t="s">
        <v>43</v>
      </c>
      <c r="Q269" s="91" t="b">
        <v>0</v>
      </c>
      <c r="R269" s="38"/>
      <c r="S269" s="38"/>
      <c r="T269" s="38"/>
      <c r="U269" s="38"/>
      <c r="V269" s="38"/>
      <c r="W269" s="38"/>
    </row>
    <row r="270" spans="1:23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27">
        <v>260</v>
      </c>
      <c r="N270" s="38">
        <v>1</v>
      </c>
      <c r="O270" s="38">
        <v>5</v>
      </c>
      <c r="P270" s="38" t="s">
        <v>43</v>
      </c>
      <c r="Q270" s="91" t="b">
        <v>0</v>
      </c>
      <c r="R270" s="38"/>
      <c r="S270" s="38"/>
      <c r="T270" s="38"/>
      <c r="U270" s="38"/>
      <c r="V270" s="38"/>
      <c r="W270" s="38"/>
    </row>
    <row r="271" spans="1:23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27">
        <v>261</v>
      </c>
      <c r="N271" s="38">
        <v>1</v>
      </c>
      <c r="O271" s="38">
        <v>5</v>
      </c>
      <c r="P271" s="38" t="s">
        <v>43</v>
      </c>
      <c r="Q271" s="91" t="b">
        <v>0</v>
      </c>
      <c r="R271" s="38"/>
      <c r="S271" s="38"/>
      <c r="T271" s="38"/>
      <c r="U271" s="38"/>
      <c r="V271" s="38"/>
      <c r="W271" s="38"/>
    </row>
    <row r="272" spans="1:23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27">
        <v>262</v>
      </c>
      <c r="N272" s="38">
        <v>1</v>
      </c>
      <c r="O272" s="38">
        <v>5</v>
      </c>
      <c r="P272" s="38" t="s">
        <v>43</v>
      </c>
      <c r="Q272" s="91" t="b">
        <v>0</v>
      </c>
      <c r="R272" s="38"/>
      <c r="S272" s="38"/>
      <c r="T272" s="38"/>
      <c r="U272" s="38"/>
      <c r="V272" s="38"/>
      <c r="W272" s="38"/>
    </row>
    <row r="273" spans="1:23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27">
        <v>263</v>
      </c>
      <c r="N273" s="38">
        <v>1</v>
      </c>
      <c r="O273" s="38">
        <v>5</v>
      </c>
      <c r="P273" s="38" t="s">
        <v>43</v>
      </c>
      <c r="Q273" s="91" t="b">
        <v>0</v>
      </c>
      <c r="R273" s="38"/>
      <c r="S273" s="38"/>
      <c r="T273" s="38"/>
      <c r="U273" s="38"/>
      <c r="V273" s="38"/>
      <c r="W273" s="38"/>
    </row>
    <row r="274" spans="1:23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27">
        <v>264</v>
      </c>
      <c r="N274" s="38">
        <v>1</v>
      </c>
      <c r="O274" s="38">
        <v>5</v>
      </c>
      <c r="P274" s="38" t="s">
        <v>43</v>
      </c>
      <c r="Q274" s="91" t="b">
        <v>0</v>
      </c>
      <c r="R274" s="38"/>
      <c r="S274" s="38"/>
      <c r="T274" s="38"/>
      <c r="U274" s="38"/>
      <c r="V274" s="38"/>
      <c r="W274" s="38"/>
    </row>
    <row r="275" spans="1:23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27">
        <v>265</v>
      </c>
      <c r="N275" s="38">
        <v>1</v>
      </c>
      <c r="O275" s="38">
        <v>5</v>
      </c>
      <c r="P275" s="38" t="s">
        <v>43</v>
      </c>
      <c r="Q275" s="91" t="b">
        <v>0</v>
      </c>
      <c r="R275" s="38"/>
      <c r="S275" s="38"/>
      <c r="T275" s="38"/>
      <c r="U275" s="38"/>
      <c r="V275" s="38"/>
      <c r="W275" s="38"/>
    </row>
    <row r="276" spans="1:23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27">
        <v>266</v>
      </c>
      <c r="N276" s="38">
        <v>1</v>
      </c>
      <c r="O276" s="38">
        <v>5</v>
      </c>
      <c r="P276" s="38" t="s">
        <v>43</v>
      </c>
      <c r="Q276" s="91" t="b">
        <v>0</v>
      </c>
      <c r="R276" s="38"/>
      <c r="S276" s="38"/>
      <c r="T276" s="38"/>
      <c r="U276" s="38"/>
      <c r="V276" s="38"/>
      <c r="W276" s="38"/>
    </row>
    <row r="277" spans="1:23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27">
        <v>267</v>
      </c>
      <c r="N277" s="38">
        <v>1</v>
      </c>
      <c r="O277" s="38">
        <v>5</v>
      </c>
      <c r="P277" s="38" t="s">
        <v>43</v>
      </c>
      <c r="Q277" s="91" t="b">
        <v>0</v>
      </c>
      <c r="R277" s="38"/>
      <c r="S277" s="38"/>
      <c r="T277" s="38"/>
      <c r="U277" s="38"/>
      <c r="V277" s="38"/>
      <c r="W277" s="38"/>
    </row>
    <row r="278" spans="1:23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27">
        <v>268</v>
      </c>
      <c r="N278" s="38">
        <v>1</v>
      </c>
      <c r="O278" s="38">
        <v>5</v>
      </c>
      <c r="P278" s="38" t="s">
        <v>43</v>
      </c>
      <c r="Q278" s="91" t="b">
        <v>0</v>
      </c>
      <c r="R278" s="38"/>
      <c r="S278" s="38"/>
      <c r="T278" s="38"/>
      <c r="U278" s="38"/>
      <c r="V278" s="38"/>
      <c r="W278" s="38"/>
    </row>
    <row r="279" spans="1:23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27">
        <v>269</v>
      </c>
      <c r="N279" s="38">
        <v>1</v>
      </c>
      <c r="O279" s="38">
        <v>5</v>
      </c>
      <c r="P279" s="38" t="s">
        <v>43</v>
      </c>
      <c r="Q279" s="91" t="b">
        <v>0</v>
      </c>
      <c r="R279" s="38"/>
      <c r="S279" s="38"/>
      <c r="T279" s="38"/>
      <c r="U279" s="38"/>
      <c r="V279" s="38"/>
      <c r="W279" s="38"/>
    </row>
    <row r="280" spans="1:23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27">
        <v>270</v>
      </c>
      <c r="N280" s="38">
        <v>1</v>
      </c>
      <c r="O280" s="38">
        <v>5</v>
      </c>
      <c r="P280" s="38" t="s">
        <v>43</v>
      </c>
      <c r="Q280" s="91" t="b">
        <v>0</v>
      </c>
      <c r="R280" s="38"/>
      <c r="S280" s="38"/>
      <c r="T280" s="38"/>
      <c r="U280" s="38"/>
      <c r="V280" s="38"/>
      <c r="W280" s="38"/>
    </row>
    <row r="281" spans="1:23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27">
        <v>271</v>
      </c>
      <c r="N281" s="38">
        <v>1</v>
      </c>
      <c r="O281" s="38">
        <v>5</v>
      </c>
      <c r="P281" s="38" t="s">
        <v>43</v>
      </c>
      <c r="Q281" s="91" t="b">
        <v>0</v>
      </c>
      <c r="R281" s="38"/>
      <c r="S281" s="38"/>
      <c r="T281" s="38"/>
      <c r="U281" s="38"/>
      <c r="V281" s="38"/>
      <c r="W281" s="38"/>
    </row>
    <row r="282" spans="1:23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27">
        <v>272</v>
      </c>
      <c r="N282" s="38">
        <v>1</v>
      </c>
      <c r="O282" s="38">
        <v>5</v>
      </c>
      <c r="P282" s="38" t="s">
        <v>43</v>
      </c>
      <c r="Q282" s="91" t="b">
        <v>0</v>
      </c>
      <c r="R282" s="38"/>
      <c r="S282" s="38"/>
      <c r="T282" s="38"/>
      <c r="U282" s="38"/>
      <c r="V282" s="38"/>
      <c r="W282" s="38"/>
    </row>
    <row r="283" spans="1:23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27">
        <v>273</v>
      </c>
      <c r="N283" s="38">
        <v>1</v>
      </c>
      <c r="O283" s="38">
        <v>5</v>
      </c>
      <c r="P283" s="38" t="s">
        <v>43</v>
      </c>
      <c r="Q283" s="91" t="b">
        <v>0</v>
      </c>
      <c r="R283" s="38"/>
      <c r="S283" s="38"/>
      <c r="T283" s="38"/>
      <c r="U283" s="38"/>
      <c r="V283" s="38"/>
      <c r="W283" s="38"/>
    </row>
    <row r="284" spans="1:23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27">
        <v>274</v>
      </c>
      <c r="N284" s="38">
        <v>1</v>
      </c>
      <c r="O284" s="38">
        <v>5</v>
      </c>
      <c r="P284" s="38" t="s">
        <v>43</v>
      </c>
      <c r="Q284" s="91" t="b">
        <v>0</v>
      </c>
      <c r="R284" s="38"/>
      <c r="S284" s="38"/>
      <c r="T284" s="38"/>
      <c r="U284" s="38"/>
      <c r="V284" s="38"/>
      <c r="W284" s="38"/>
    </row>
    <row r="285" spans="1:23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27">
        <v>275</v>
      </c>
      <c r="N285" s="38">
        <v>1</v>
      </c>
      <c r="O285" s="38">
        <v>5</v>
      </c>
      <c r="P285" s="38" t="s">
        <v>43</v>
      </c>
      <c r="Q285" s="91" t="b">
        <v>0</v>
      </c>
      <c r="R285" s="38"/>
      <c r="S285" s="38"/>
      <c r="T285" s="38"/>
      <c r="U285" s="38"/>
      <c r="V285" s="38"/>
      <c r="W285" s="38"/>
    </row>
    <row r="286" spans="1:23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27">
        <v>276</v>
      </c>
      <c r="N286" s="38">
        <v>1</v>
      </c>
      <c r="O286" s="38">
        <v>5</v>
      </c>
      <c r="P286" s="38" t="s">
        <v>43</v>
      </c>
      <c r="Q286" s="91" t="b">
        <v>0</v>
      </c>
      <c r="R286" s="38"/>
      <c r="S286" s="38"/>
      <c r="T286" s="38"/>
      <c r="U286" s="38"/>
      <c r="V286" s="38"/>
      <c r="W286" s="38"/>
    </row>
    <row r="287" spans="1:23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27">
        <v>277</v>
      </c>
      <c r="N287" s="38">
        <v>1</v>
      </c>
      <c r="O287" s="38">
        <v>5</v>
      </c>
      <c r="P287" s="38" t="s">
        <v>43</v>
      </c>
      <c r="Q287" s="91" t="b">
        <v>0</v>
      </c>
      <c r="R287" s="38"/>
      <c r="S287" s="38"/>
      <c r="T287" s="38"/>
      <c r="U287" s="38"/>
      <c r="V287" s="38"/>
      <c r="W287" s="38"/>
    </row>
    <row r="288" spans="1:23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27">
        <v>278</v>
      </c>
      <c r="N288" s="38">
        <v>1</v>
      </c>
      <c r="O288" s="38">
        <v>5</v>
      </c>
      <c r="P288" s="38" t="s">
        <v>43</v>
      </c>
      <c r="Q288" s="91" t="b">
        <v>0</v>
      </c>
      <c r="R288" s="38"/>
      <c r="S288" s="38"/>
      <c r="T288" s="38"/>
      <c r="U288" s="38"/>
      <c r="V288" s="38"/>
      <c r="W288" s="38"/>
    </row>
    <row r="289" spans="1:23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27">
        <v>279</v>
      </c>
      <c r="N289" s="38">
        <v>1</v>
      </c>
      <c r="O289" s="38">
        <v>5</v>
      </c>
      <c r="P289" s="38" t="s">
        <v>43</v>
      </c>
      <c r="Q289" s="91" t="b">
        <v>0</v>
      </c>
      <c r="R289" s="38"/>
      <c r="S289" s="38"/>
      <c r="T289" s="38"/>
      <c r="U289" s="38"/>
      <c r="V289" s="38"/>
      <c r="W289" s="38"/>
    </row>
    <row r="290" spans="1:23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27">
        <v>280</v>
      </c>
      <c r="N290" s="38">
        <v>1</v>
      </c>
      <c r="O290" s="38">
        <v>5</v>
      </c>
      <c r="P290" s="38" t="s">
        <v>43</v>
      </c>
      <c r="Q290" s="91" t="b">
        <v>0</v>
      </c>
      <c r="R290" s="38"/>
      <c r="S290" s="38"/>
      <c r="T290" s="38"/>
      <c r="U290" s="38"/>
      <c r="V290" s="38"/>
      <c r="W290" s="38"/>
    </row>
    <row r="291" spans="1:23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27">
        <v>281</v>
      </c>
      <c r="N291" s="38">
        <v>1</v>
      </c>
      <c r="O291" s="38">
        <v>5</v>
      </c>
      <c r="P291" s="38" t="s">
        <v>43</v>
      </c>
      <c r="Q291" s="91" t="b">
        <v>0</v>
      </c>
      <c r="R291" s="38"/>
      <c r="S291" s="38"/>
      <c r="T291" s="38"/>
      <c r="U291" s="38"/>
      <c r="V291" s="38"/>
      <c r="W291" s="38"/>
    </row>
    <row r="292" spans="1:23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27">
        <v>282</v>
      </c>
      <c r="N292" s="38">
        <v>1</v>
      </c>
      <c r="O292" s="38">
        <v>5</v>
      </c>
      <c r="P292" s="38" t="s">
        <v>43</v>
      </c>
      <c r="Q292" s="91" t="b">
        <v>0</v>
      </c>
      <c r="R292" s="38"/>
      <c r="S292" s="38"/>
      <c r="T292" s="38"/>
      <c r="U292" s="38"/>
      <c r="V292" s="38"/>
      <c r="W292" s="38"/>
    </row>
    <row r="293" spans="1:23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27">
        <v>283</v>
      </c>
      <c r="N293" s="38">
        <v>1</v>
      </c>
      <c r="O293" s="38">
        <v>5</v>
      </c>
      <c r="P293" s="38" t="s">
        <v>43</v>
      </c>
      <c r="Q293" s="91" t="b">
        <v>0</v>
      </c>
      <c r="R293" s="38"/>
      <c r="S293" s="38"/>
      <c r="T293" s="38"/>
      <c r="U293" s="38"/>
      <c r="V293" s="38"/>
      <c r="W293" s="38"/>
    </row>
    <row r="294" spans="1:23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27">
        <v>284</v>
      </c>
      <c r="N294" s="38">
        <v>1</v>
      </c>
      <c r="O294" s="38">
        <v>5</v>
      </c>
      <c r="P294" s="38" t="s">
        <v>43</v>
      </c>
      <c r="Q294" s="91" t="b">
        <v>0</v>
      </c>
      <c r="R294" s="38"/>
      <c r="S294" s="38"/>
      <c r="T294" s="38"/>
      <c r="U294" s="38"/>
      <c r="V294" s="38"/>
      <c r="W294" s="38"/>
    </row>
    <row r="295" spans="1:23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27">
        <v>285</v>
      </c>
      <c r="N295" s="38">
        <v>1</v>
      </c>
      <c r="O295" s="38">
        <v>5</v>
      </c>
      <c r="P295" s="38" t="s">
        <v>43</v>
      </c>
      <c r="Q295" s="91" t="b">
        <v>0</v>
      </c>
      <c r="R295" s="38"/>
      <c r="S295" s="38"/>
      <c r="T295" s="38"/>
      <c r="U295" s="38"/>
      <c r="V295" s="38"/>
      <c r="W295" s="38"/>
    </row>
    <row r="296" spans="1:23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27">
        <v>286</v>
      </c>
      <c r="N296" s="38">
        <v>1</v>
      </c>
      <c r="O296" s="38">
        <v>5</v>
      </c>
      <c r="P296" s="38" t="s">
        <v>43</v>
      </c>
      <c r="Q296" s="91" t="b">
        <v>0</v>
      </c>
      <c r="R296" s="38"/>
      <c r="S296" s="38"/>
      <c r="T296" s="38"/>
      <c r="U296" s="38"/>
      <c r="V296" s="38"/>
      <c r="W296" s="38"/>
    </row>
    <row r="297" spans="1:23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27">
        <v>287</v>
      </c>
      <c r="N297" s="38">
        <v>1</v>
      </c>
      <c r="O297" s="38">
        <v>5</v>
      </c>
      <c r="P297" s="38" t="s">
        <v>43</v>
      </c>
      <c r="Q297" s="91" t="b">
        <v>0</v>
      </c>
      <c r="R297" s="38"/>
      <c r="S297" s="38"/>
      <c r="T297" s="38"/>
      <c r="U297" s="38"/>
      <c r="V297" s="38"/>
      <c r="W297" s="38"/>
    </row>
    <row r="298" spans="1:23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27">
        <v>288</v>
      </c>
      <c r="N298" s="38">
        <v>1</v>
      </c>
      <c r="O298" s="38">
        <v>5</v>
      </c>
      <c r="P298" s="38" t="s">
        <v>43</v>
      </c>
      <c r="Q298" s="91" t="b">
        <v>0</v>
      </c>
      <c r="R298" s="38"/>
      <c r="S298" s="38"/>
      <c r="T298" s="38"/>
      <c r="U298" s="38"/>
      <c r="V298" s="38"/>
      <c r="W298" s="38"/>
    </row>
    <row r="299" spans="1:23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27">
        <v>289</v>
      </c>
      <c r="N299" s="38">
        <v>1</v>
      </c>
      <c r="O299" s="38">
        <v>5</v>
      </c>
      <c r="P299" s="38" t="s">
        <v>43</v>
      </c>
      <c r="Q299" s="91" t="b">
        <v>0</v>
      </c>
      <c r="R299" s="38"/>
      <c r="S299" s="38"/>
      <c r="T299" s="38"/>
      <c r="U299" s="38"/>
      <c r="V299" s="38"/>
      <c r="W299" s="38"/>
    </row>
    <row r="300" spans="1:23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27">
        <v>290</v>
      </c>
      <c r="N300" s="38">
        <v>1</v>
      </c>
      <c r="O300" s="38">
        <v>5</v>
      </c>
      <c r="P300" s="38" t="s">
        <v>43</v>
      </c>
      <c r="Q300" s="91" t="b">
        <v>0</v>
      </c>
      <c r="R300" s="38"/>
      <c r="S300" s="38"/>
      <c r="T300" s="38"/>
      <c r="U300" s="38"/>
      <c r="V300" s="38"/>
      <c r="W300" s="38"/>
    </row>
    <row r="301" spans="1:23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27">
        <v>291</v>
      </c>
      <c r="N301" s="38">
        <v>1</v>
      </c>
      <c r="O301" s="38">
        <v>5</v>
      </c>
      <c r="P301" s="38" t="s">
        <v>43</v>
      </c>
      <c r="Q301" s="91" t="b">
        <v>0</v>
      </c>
      <c r="R301" s="38"/>
      <c r="S301" s="38"/>
      <c r="T301" s="38"/>
      <c r="U301" s="38"/>
      <c r="V301" s="38"/>
      <c r="W301" s="38"/>
    </row>
    <row r="302" spans="1:23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27">
        <v>292</v>
      </c>
      <c r="N302" s="38">
        <v>1</v>
      </c>
      <c r="O302" s="38">
        <v>5</v>
      </c>
      <c r="P302" s="38" t="s">
        <v>43</v>
      </c>
      <c r="Q302" s="91" t="b">
        <v>0</v>
      </c>
      <c r="R302" s="38"/>
      <c r="S302" s="38"/>
      <c r="T302" s="38"/>
      <c r="U302" s="38"/>
      <c r="V302" s="38"/>
      <c r="W302" s="38"/>
    </row>
    <row r="303" spans="1:23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27">
        <v>293</v>
      </c>
      <c r="N303" s="38">
        <v>1</v>
      </c>
      <c r="O303" s="38">
        <v>5</v>
      </c>
      <c r="P303" s="38" t="s">
        <v>43</v>
      </c>
      <c r="Q303" s="91" t="b">
        <v>0</v>
      </c>
      <c r="R303" s="38"/>
      <c r="S303" s="38"/>
      <c r="T303" s="38"/>
      <c r="U303" s="38"/>
      <c r="V303" s="38"/>
      <c r="W303" s="38"/>
    </row>
    <row r="304" spans="1:23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27">
        <v>294</v>
      </c>
      <c r="N304" s="38">
        <v>1</v>
      </c>
      <c r="O304" s="38">
        <v>5</v>
      </c>
      <c r="P304" s="38" t="s">
        <v>43</v>
      </c>
      <c r="Q304" s="91" t="b">
        <v>0</v>
      </c>
      <c r="R304" s="38"/>
      <c r="S304" s="38"/>
      <c r="T304" s="38"/>
      <c r="U304" s="38"/>
      <c r="V304" s="38"/>
      <c r="W304" s="38"/>
    </row>
    <row r="305" spans="1:23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27">
        <v>295</v>
      </c>
      <c r="N305" s="38">
        <v>1</v>
      </c>
      <c r="O305" s="38">
        <v>5</v>
      </c>
      <c r="P305" s="38" t="s">
        <v>43</v>
      </c>
      <c r="Q305" s="91" t="b">
        <v>0</v>
      </c>
      <c r="R305" s="38"/>
      <c r="S305" s="38"/>
      <c r="T305" s="38"/>
      <c r="U305" s="38"/>
      <c r="V305" s="38"/>
      <c r="W305" s="38"/>
    </row>
    <row r="306" spans="1:23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27">
        <v>296</v>
      </c>
      <c r="N306" s="38">
        <v>1</v>
      </c>
      <c r="O306" s="38">
        <v>5</v>
      </c>
      <c r="P306" s="38" t="s">
        <v>43</v>
      </c>
      <c r="Q306" s="91" t="b">
        <v>0</v>
      </c>
      <c r="R306" s="38"/>
      <c r="S306" s="38"/>
      <c r="T306" s="38"/>
      <c r="U306" s="38"/>
      <c r="V306" s="38"/>
      <c r="W306" s="38"/>
    </row>
    <row r="307" spans="1:23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27">
        <v>297</v>
      </c>
      <c r="N307" s="38">
        <v>1</v>
      </c>
      <c r="O307" s="38">
        <v>5</v>
      </c>
      <c r="P307" s="38" t="s">
        <v>43</v>
      </c>
      <c r="Q307" s="91" t="b">
        <v>0</v>
      </c>
      <c r="R307" s="38"/>
      <c r="S307" s="38"/>
      <c r="T307" s="38"/>
      <c r="U307" s="38"/>
      <c r="V307" s="38"/>
      <c r="W307" s="38"/>
    </row>
    <row r="308" spans="1:23" x14ac:dyDescent="0.2">
      <c r="A308" s="39"/>
      <c r="B308" s="39"/>
      <c r="C308" s="39"/>
      <c r="D308" s="39"/>
      <c r="E308" s="39"/>
      <c r="F308" s="39"/>
      <c r="G308" s="39"/>
      <c r="H308" s="39"/>
      <c r="I308" s="39"/>
      <c r="J308" s="38"/>
      <c r="K308" s="39"/>
      <c r="L308" s="39"/>
      <c r="M308" s="27">
        <v>298</v>
      </c>
      <c r="N308" s="39">
        <v>1</v>
      </c>
      <c r="O308" s="39">
        <v>5</v>
      </c>
      <c r="P308" s="38" t="s">
        <v>43</v>
      </c>
      <c r="Q308" s="91" t="b">
        <v>0</v>
      </c>
      <c r="R308" s="38"/>
      <c r="S308" s="38"/>
      <c r="T308" s="38"/>
      <c r="U308" s="38"/>
      <c r="V308" s="38"/>
      <c r="W308" s="38"/>
    </row>
  </sheetData>
  <phoneticPr fontId="0" type="noConversion"/>
  <dataValidations count="7">
    <dataValidation type="list" allowBlank="1" showInputMessage="1" showErrorMessage="1" sqref="B4:B5" xr:uid="{00000000-0002-0000-0100-000000000000}">
      <formula1>"mm,inch"</formula1>
    </dataValidation>
    <dataValidation type="list" allowBlank="1" showInputMessage="1" showErrorMessage="1" sqref="B1" xr:uid="{00000000-0002-0000-0100-000001000000}">
      <formula1>"m3/h,USgpm"</formula1>
    </dataValidation>
    <dataValidation type="list" allowBlank="1" showInputMessage="1" showErrorMessage="1" sqref="B8" xr:uid="{00000000-0002-0000-0100-000002000000}">
      <formula1>"Radial,Turbine,Mixed,Axial"</formula1>
    </dataValidation>
    <dataValidation type="list" allowBlank="1" showInputMessage="1" showErrorMessage="1" sqref="P11:P308" xr:uid="{00000000-0002-0000-0100-000003000000}">
      <formula1>"Round up,Round down,Round to nearest,Minimize trims"</formula1>
    </dataValidation>
    <dataValidation type="list" allowBlank="1" showInputMessage="1" showErrorMessage="1" sqref="B2" xr:uid="{00000000-0002-0000-0100-000004000000}">
      <formula1>"m,ft"</formula1>
    </dataValidation>
    <dataValidation type="list" allowBlank="1" showInputMessage="1" showErrorMessage="1" sqref="B3" xr:uid="{00000000-0002-0000-0100-000005000000}">
      <formula1>"kW,hp"</formula1>
    </dataValidation>
    <dataValidation type="list" allowBlank="1" showInputMessage="1" showErrorMessage="1" sqref="Q11:Q308" xr:uid="{00000000-0002-0000-0100-000006000000}">
      <formula1>"False,True"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8"/>
  <dimension ref="A1:IV85"/>
  <sheetViews>
    <sheetView topLeftCell="A4" zoomScale="70" zoomScaleNormal="70" workbookViewId="0">
      <selection activeCell="BH30" sqref="BH30"/>
    </sheetView>
  </sheetViews>
  <sheetFormatPr defaultColWidth="11.42578125" defaultRowHeight="12.75" outlineLevelCol="1" x14ac:dyDescent="0.2"/>
  <cols>
    <col min="6" max="10" width="11.42578125" hidden="1" customWidth="1" outlineLevel="1" collapsed="1"/>
    <col min="11" max="11" width="11.42578125" collapsed="1"/>
    <col min="13" max="17" width="11.42578125" hidden="1" customWidth="1" outlineLevel="1" collapsed="1"/>
    <col min="18" max="18" width="11.42578125" collapsed="1"/>
    <col min="20" max="24" width="11.42578125" hidden="1" customWidth="1" outlineLevel="1" collapsed="1"/>
    <col min="25" max="25" width="11.42578125" collapsed="1"/>
    <col min="27" max="31" width="11.42578125" hidden="1" customWidth="1" outlineLevel="1" collapsed="1"/>
    <col min="32" max="32" width="11.42578125" collapsed="1"/>
    <col min="34" max="38" width="11.42578125" hidden="1" customWidth="1" outlineLevel="1" collapsed="1"/>
    <col min="39" max="39" width="11.42578125" collapsed="1"/>
    <col min="41" max="45" width="11.42578125" hidden="1" customWidth="1" outlineLevel="1" collapsed="1"/>
    <col min="46" max="46" width="11.42578125" collapsed="1"/>
    <col min="48" max="52" width="11.42578125" hidden="1" customWidth="1" outlineLevel="1" collapsed="1"/>
    <col min="53" max="53" width="11.42578125" collapsed="1"/>
    <col min="55" max="59" width="11.42578125" hidden="1" customWidth="1" outlineLevel="1" collapsed="1"/>
    <col min="60" max="60" width="11.42578125" collapsed="1"/>
    <col min="62" max="66" width="11.42578125" hidden="1" customWidth="1" outlineLevel="1" collapsed="1"/>
    <col min="67" max="67" width="11.42578125" collapsed="1"/>
    <col min="69" max="73" width="11.42578125" hidden="1" customWidth="1" outlineLevel="1" collapsed="1"/>
    <col min="74" max="74" width="11.42578125" collapsed="1"/>
    <col min="76" max="80" width="11.42578125" hidden="1" customWidth="1" outlineLevel="1" collapsed="1"/>
    <col min="81" max="81" width="11.42578125" collapsed="1"/>
    <col min="83" max="87" width="11.42578125" hidden="1" customWidth="1" outlineLevel="1" collapsed="1"/>
    <col min="88" max="88" width="11.42578125" collapsed="1"/>
    <col min="90" max="94" width="11.42578125" hidden="1" customWidth="1" outlineLevel="1" collapsed="1"/>
    <col min="95" max="95" width="11.42578125" collapsed="1"/>
    <col min="97" max="101" width="11.42578125" hidden="1" customWidth="1" outlineLevel="1" collapsed="1"/>
    <col min="102" max="102" width="11.42578125" collapsed="1"/>
    <col min="104" max="108" width="11.42578125" hidden="1" customWidth="1" outlineLevel="1" collapsed="1"/>
    <col min="109" max="109" width="11.42578125" collapsed="1"/>
    <col min="111" max="115" width="11.42578125" hidden="1" customWidth="1" outlineLevel="1" collapsed="1"/>
    <col min="116" max="116" width="11.42578125" collapsed="1"/>
    <col min="118" max="122" width="11.42578125" hidden="1" customWidth="1" outlineLevel="1" collapsed="1"/>
    <col min="123" max="123" width="11.42578125" collapsed="1"/>
    <col min="125" max="129" width="11.42578125" hidden="1" customWidth="1" outlineLevel="1" collapsed="1"/>
    <col min="130" max="130" width="11.42578125" collapsed="1"/>
    <col min="132" max="136" width="11.42578125" hidden="1" customWidth="1" outlineLevel="1" collapsed="1"/>
    <col min="137" max="137" width="11.42578125" collapsed="1"/>
    <col min="139" max="143" width="11.42578125" hidden="1" customWidth="1" outlineLevel="1" collapsed="1"/>
    <col min="144" max="144" width="11.42578125" collapsed="1"/>
    <col min="146" max="150" width="11.42578125" hidden="1" customWidth="1" outlineLevel="1" collapsed="1"/>
    <col min="151" max="151" width="11.42578125" collapsed="1"/>
    <col min="153" max="157" width="11.42578125" hidden="1" customWidth="1" outlineLevel="1" collapsed="1"/>
    <col min="158" max="158" width="11.42578125" collapsed="1"/>
    <col min="160" max="164" width="11.42578125" hidden="1" customWidth="1" outlineLevel="1" collapsed="1"/>
    <col min="165" max="165" width="11.42578125" collapsed="1"/>
    <col min="167" max="171" width="11.42578125" hidden="1" customWidth="1" outlineLevel="1" collapsed="1"/>
    <col min="172" max="172" width="11.42578125" collapsed="1"/>
    <col min="174" max="178" width="11.42578125" hidden="1" customWidth="1" outlineLevel="1" collapsed="1"/>
    <col min="179" max="179" width="11.42578125" collapsed="1"/>
    <col min="181" max="185" width="11.42578125" hidden="1" customWidth="1" outlineLevel="1" collapsed="1"/>
    <col min="186" max="186" width="11.42578125" collapsed="1"/>
    <col min="188" max="192" width="11.42578125" hidden="1" customWidth="1" outlineLevel="1" collapsed="1"/>
    <col min="193" max="193" width="11.42578125" collapsed="1"/>
    <col min="195" max="199" width="11.42578125" hidden="1" customWidth="1" outlineLevel="1" collapsed="1"/>
    <col min="200" max="200" width="11.42578125" collapsed="1"/>
    <col min="202" max="206" width="11.42578125" hidden="1" customWidth="1" outlineLevel="1" collapsed="1"/>
    <col min="207" max="207" width="11.42578125" collapsed="1"/>
    <col min="209" max="213" width="11.42578125" hidden="1" customWidth="1" outlineLevel="1" collapsed="1"/>
    <col min="214" max="214" width="11.42578125" collapsed="1"/>
    <col min="216" max="220" width="11.42578125" hidden="1" customWidth="1" outlineLevel="1" collapsed="1"/>
    <col min="221" max="221" width="11.42578125" collapsed="1"/>
    <col min="223" max="227" width="11.42578125" hidden="1" customWidth="1" outlineLevel="1" collapsed="1"/>
    <col min="228" max="228" width="11.42578125" collapsed="1"/>
    <col min="230" max="234" width="11.42578125" hidden="1" customWidth="1" outlineLevel="1" collapsed="1"/>
    <col min="235" max="235" width="11.42578125" collapsed="1"/>
    <col min="237" max="241" width="11.42578125" hidden="1" customWidth="1" outlineLevel="1" collapsed="1"/>
    <col min="242" max="242" width="11.42578125" collapsed="1"/>
    <col min="244" max="248" width="11.42578125" hidden="1" customWidth="1" outlineLevel="1" collapsed="1"/>
    <col min="249" max="249" width="11.42578125" collapsed="1"/>
    <col min="251" max="255" width="11.42578125" hidden="1" customWidth="1" outlineLevel="1" collapsed="1"/>
    <col min="256" max="256" width="11.42578125" collapsed="1"/>
  </cols>
  <sheetData>
    <row r="1" spans="1:256" x14ac:dyDescent="0.2">
      <c r="A1" s="6" t="s">
        <v>11</v>
      </c>
      <c r="B1" s="4" t="s">
        <v>9</v>
      </c>
      <c r="C1" s="29" t="s">
        <v>22</v>
      </c>
    </row>
    <row r="2" spans="1:256" x14ac:dyDescent="0.2">
      <c r="A2" s="7" t="s">
        <v>12</v>
      </c>
      <c r="B2" s="5" t="s">
        <v>10</v>
      </c>
    </row>
    <row r="3" spans="1:256" x14ac:dyDescent="0.2">
      <c r="A3" s="7" t="s">
        <v>13</v>
      </c>
      <c r="B3" s="5" t="s">
        <v>8</v>
      </c>
      <c r="D3" s="28" t="s">
        <v>54</v>
      </c>
    </row>
    <row r="4" spans="1:256" x14ac:dyDescent="0.2">
      <c r="A4" s="7" t="s">
        <v>25</v>
      </c>
      <c r="B4" s="5" t="s">
        <v>26</v>
      </c>
      <c r="D4" s="28" t="s">
        <v>55</v>
      </c>
    </row>
    <row r="5" spans="1:256" x14ac:dyDescent="0.2">
      <c r="A5" s="52" t="s">
        <v>24</v>
      </c>
      <c r="B5" s="53" t="s">
        <v>44</v>
      </c>
      <c r="D5" s="28"/>
    </row>
    <row r="6" spans="1:256" ht="30.75" customHeight="1" thickBot="1" x14ac:dyDescent="0.3">
      <c r="A6" s="2"/>
      <c r="E6" s="72" t="s">
        <v>35</v>
      </c>
      <c r="F6" s="86"/>
      <c r="G6" s="86"/>
      <c r="H6" s="72" t="s">
        <v>76</v>
      </c>
      <c r="I6" s="86"/>
      <c r="J6" s="86"/>
      <c r="K6" s="72" t="s">
        <v>36</v>
      </c>
      <c r="L6" s="72" t="s">
        <v>37</v>
      </c>
      <c r="M6" s="72" t="s">
        <v>74</v>
      </c>
      <c r="N6" s="72" t="s">
        <v>73</v>
      </c>
      <c r="O6" s="72" t="s">
        <v>77</v>
      </c>
      <c r="P6" s="86"/>
      <c r="Q6" s="86"/>
      <c r="R6" s="72" t="s">
        <v>62</v>
      </c>
      <c r="S6" s="72" t="s">
        <v>75</v>
      </c>
      <c r="T6" s="86"/>
      <c r="U6" s="86"/>
      <c r="V6" s="72" t="s">
        <v>78</v>
      </c>
      <c r="W6" s="86"/>
      <c r="X6" s="86"/>
      <c r="Z6" s="72" t="s">
        <v>35</v>
      </c>
      <c r="AA6" s="86"/>
      <c r="AB6" s="86"/>
      <c r="AC6" s="86"/>
      <c r="AD6" s="86"/>
      <c r="AE6" s="86"/>
      <c r="AF6" s="72" t="s">
        <v>36</v>
      </c>
      <c r="AG6" s="72" t="s">
        <v>37</v>
      </c>
      <c r="AH6" s="72" t="s">
        <v>74</v>
      </c>
      <c r="AI6" s="72" t="s">
        <v>73</v>
      </c>
      <c r="AJ6" s="86"/>
      <c r="AK6" s="86"/>
      <c r="AL6" s="86"/>
      <c r="AM6" s="72" t="s">
        <v>62</v>
      </c>
      <c r="AN6" s="72" t="s">
        <v>75</v>
      </c>
      <c r="AO6" s="86"/>
      <c r="AP6" s="86"/>
      <c r="AQ6" s="86"/>
      <c r="AR6" s="86"/>
      <c r="AS6" s="86"/>
      <c r="AU6" s="72" t="s">
        <v>35</v>
      </c>
      <c r="AV6" s="86"/>
      <c r="AW6" s="86"/>
      <c r="AX6" s="86"/>
      <c r="AY6" s="86"/>
      <c r="AZ6" s="86"/>
      <c r="BA6" s="72" t="s">
        <v>36</v>
      </c>
      <c r="BB6" s="72" t="s">
        <v>37</v>
      </c>
      <c r="BC6" s="72" t="s">
        <v>74</v>
      </c>
      <c r="BD6" s="72" t="s">
        <v>73</v>
      </c>
      <c r="BE6" s="86"/>
      <c r="BF6" s="86"/>
      <c r="BG6" s="86"/>
      <c r="BH6" s="72" t="s">
        <v>62</v>
      </c>
      <c r="BI6" s="72" t="s">
        <v>75</v>
      </c>
      <c r="BJ6" s="86"/>
      <c r="BK6" s="86"/>
      <c r="BL6" s="86"/>
      <c r="BM6" s="86"/>
      <c r="BN6" s="86"/>
      <c r="BP6" s="72" t="s">
        <v>35</v>
      </c>
      <c r="BQ6" s="86"/>
      <c r="BR6" s="86"/>
      <c r="BS6" s="86"/>
      <c r="BT6" s="86"/>
      <c r="BU6" s="86"/>
      <c r="BV6" s="72" t="s">
        <v>36</v>
      </c>
      <c r="BW6" s="72" t="s">
        <v>37</v>
      </c>
      <c r="BX6" s="72" t="s">
        <v>74</v>
      </c>
      <c r="BY6" s="72" t="s">
        <v>73</v>
      </c>
      <c r="BZ6" s="86"/>
      <c r="CA6" s="86"/>
      <c r="CB6" s="86"/>
      <c r="CC6" s="72" t="s">
        <v>62</v>
      </c>
      <c r="CD6" s="72" t="s">
        <v>75</v>
      </c>
      <c r="CE6" s="86"/>
      <c r="CF6" s="86"/>
      <c r="CG6" s="86"/>
      <c r="CH6" s="86"/>
      <c r="CI6" s="86"/>
      <c r="CK6" s="72" t="s">
        <v>35</v>
      </c>
      <c r="CL6" s="86"/>
      <c r="CM6" s="86"/>
      <c r="CN6" s="86"/>
      <c r="CO6" s="86"/>
      <c r="CP6" s="86"/>
      <c r="CQ6" s="72" t="s">
        <v>36</v>
      </c>
      <c r="CR6" s="72" t="s">
        <v>37</v>
      </c>
      <c r="CS6" s="72" t="s">
        <v>74</v>
      </c>
      <c r="CT6" s="72" t="s">
        <v>73</v>
      </c>
      <c r="CU6" s="86"/>
      <c r="CV6" s="86"/>
      <c r="CW6" s="86"/>
      <c r="CX6" s="72" t="s">
        <v>62</v>
      </c>
      <c r="CY6" s="72" t="s">
        <v>75</v>
      </c>
      <c r="CZ6" s="86"/>
      <c r="DA6" s="86"/>
      <c r="DB6" s="86"/>
      <c r="DC6" s="86"/>
      <c r="DD6" s="86"/>
      <c r="DF6" s="72" t="s">
        <v>35</v>
      </c>
      <c r="DG6" s="86"/>
      <c r="DH6" s="86"/>
      <c r="DI6" s="86"/>
      <c r="DJ6" s="86"/>
      <c r="DK6" s="86"/>
      <c r="DL6" s="72" t="s">
        <v>36</v>
      </c>
      <c r="DM6" s="72" t="s">
        <v>37</v>
      </c>
      <c r="DN6" s="72" t="s">
        <v>74</v>
      </c>
      <c r="DO6" s="72" t="s">
        <v>73</v>
      </c>
      <c r="DP6" s="86"/>
      <c r="DQ6" s="86"/>
      <c r="DR6" s="86"/>
      <c r="DS6" s="72" t="s">
        <v>62</v>
      </c>
      <c r="DT6" s="72" t="s">
        <v>75</v>
      </c>
      <c r="DU6" s="86"/>
      <c r="DV6" s="86"/>
      <c r="DW6" s="86"/>
      <c r="DX6" s="86"/>
      <c r="DY6" s="86"/>
      <c r="EA6" s="72" t="s">
        <v>35</v>
      </c>
      <c r="EB6" s="86"/>
      <c r="EC6" s="86"/>
      <c r="ED6" s="86"/>
      <c r="EE6" s="86"/>
      <c r="EF6" s="86"/>
      <c r="EG6" s="72" t="s">
        <v>36</v>
      </c>
      <c r="EH6" s="72" t="s">
        <v>37</v>
      </c>
      <c r="EI6" s="72" t="s">
        <v>74</v>
      </c>
      <c r="EJ6" s="72" t="s">
        <v>73</v>
      </c>
      <c r="EK6" s="86"/>
      <c r="EL6" s="86"/>
      <c r="EM6" s="86"/>
      <c r="EN6" s="72" t="s">
        <v>62</v>
      </c>
      <c r="EO6" s="72" t="s">
        <v>75</v>
      </c>
      <c r="EP6" s="86"/>
      <c r="EQ6" s="86"/>
      <c r="ER6" s="86"/>
      <c r="ES6" s="86"/>
      <c r="ET6" s="86"/>
      <c r="EV6" s="72" t="s">
        <v>35</v>
      </c>
      <c r="EW6" s="86"/>
      <c r="EX6" s="86"/>
      <c r="EY6" s="86"/>
      <c r="EZ6" s="86"/>
      <c r="FA6" s="86"/>
      <c r="FB6" s="72" t="s">
        <v>36</v>
      </c>
      <c r="FC6" s="72" t="s">
        <v>37</v>
      </c>
      <c r="FD6" s="72" t="s">
        <v>74</v>
      </c>
      <c r="FE6" s="72" t="s">
        <v>73</v>
      </c>
      <c r="FF6" s="86"/>
      <c r="FG6" s="86"/>
      <c r="FH6" s="86"/>
      <c r="FI6" s="72" t="s">
        <v>62</v>
      </c>
      <c r="FJ6" s="72" t="s">
        <v>75</v>
      </c>
      <c r="FK6" s="86"/>
      <c r="FL6" s="86"/>
      <c r="FM6" s="86"/>
      <c r="FN6" s="86"/>
      <c r="FO6" s="86"/>
      <c r="FQ6" s="72" t="s">
        <v>35</v>
      </c>
      <c r="FR6" s="86"/>
      <c r="FS6" s="86"/>
      <c r="FT6" s="86"/>
      <c r="FU6" s="86"/>
      <c r="FV6" s="86"/>
      <c r="FW6" s="72" t="s">
        <v>36</v>
      </c>
      <c r="FX6" s="72" t="s">
        <v>37</v>
      </c>
      <c r="FY6" s="72" t="s">
        <v>74</v>
      </c>
      <c r="FZ6" s="72" t="s">
        <v>73</v>
      </c>
      <c r="GA6" s="86"/>
      <c r="GB6" s="86"/>
      <c r="GC6" s="86"/>
      <c r="GD6" s="72" t="s">
        <v>62</v>
      </c>
      <c r="GE6" s="72" t="s">
        <v>75</v>
      </c>
      <c r="GF6" s="86"/>
      <c r="GG6" s="86"/>
      <c r="GH6" s="86"/>
      <c r="GI6" s="86"/>
      <c r="GJ6" s="86"/>
      <c r="GL6" s="72" t="s">
        <v>35</v>
      </c>
      <c r="GM6" s="86"/>
      <c r="GN6" s="86"/>
      <c r="GO6" s="86"/>
      <c r="GP6" s="86"/>
      <c r="GQ6" s="86"/>
      <c r="GR6" s="72" t="s">
        <v>36</v>
      </c>
      <c r="GS6" s="72" t="s">
        <v>37</v>
      </c>
      <c r="GT6" s="72" t="s">
        <v>74</v>
      </c>
      <c r="GU6" s="72" t="s">
        <v>73</v>
      </c>
      <c r="GV6" s="86"/>
      <c r="GW6" s="86"/>
      <c r="GX6" s="86"/>
      <c r="GY6" s="72" t="s">
        <v>62</v>
      </c>
      <c r="GZ6" s="72" t="s">
        <v>75</v>
      </c>
      <c r="HA6" s="86"/>
      <c r="HB6" s="86"/>
      <c r="HC6" s="86"/>
      <c r="HD6" s="86"/>
      <c r="HE6" s="86"/>
      <c r="HG6" s="72" t="s">
        <v>35</v>
      </c>
      <c r="HH6" s="86"/>
      <c r="HI6" s="86"/>
      <c r="HJ6" s="86"/>
      <c r="HK6" s="86"/>
      <c r="HL6" s="86"/>
      <c r="HM6" s="72" t="s">
        <v>36</v>
      </c>
      <c r="HN6" s="72" t="s">
        <v>37</v>
      </c>
      <c r="HO6" s="72" t="s">
        <v>74</v>
      </c>
      <c r="HP6" s="72" t="s">
        <v>73</v>
      </c>
      <c r="HQ6" s="86"/>
      <c r="HR6" s="86"/>
      <c r="HS6" s="86"/>
      <c r="HT6" s="72" t="s">
        <v>62</v>
      </c>
      <c r="HU6" s="72" t="s">
        <v>75</v>
      </c>
      <c r="HV6" s="86"/>
      <c r="HW6" s="86"/>
      <c r="HX6" s="86"/>
      <c r="HY6" s="86"/>
      <c r="HZ6" s="86"/>
      <c r="IB6" s="72" t="s">
        <v>35</v>
      </c>
      <c r="IC6" s="86"/>
      <c r="ID6" s="86"/>
      <c r="IE6" s="86"/>
      <c r="IF6" s="86"/>
      <c r="IG6" s="86"/>
      <c r="IH6" s="72" t="s">
        <v>36</v>
      </c>
      <c r="II6" s="72" t="s">
        <v>37</v>
      </c>
      <c r="IJ6" s="72" t="s">
        <v>74</v>
      </c>
      <c r="IK6" s="72" t="s">
        <v>73</v>
      </c>
      <c r="IL6" s="86"/>
      <c r="IM6" s="86"/>
      <c r="IN6" s="86"/>
      <c r="IO6" s="72" t="s">
        <v>62</v>
      </c>
      <c r="IP6" s="72" t="s">
        <v>75</v>
      </c>
      <c r="IQ6" s="86"/>
      <c r="IR6" s="86"/>
      <c r="IS6" s="86"/>
      <c r="IT6" s="86"/>
      <c r="IU6" s="86"/>
    </row>
    <row r="7" spans="1:256" s="3" customFormat="1" ht="14.25" thickTop="1" thickBot="1" x14ac:dyDescent="0.25">
      <c r="B7" s="27"/>
      <c r="D7" s="94">
        <f>A10</f>
        <v>0</v>
      </c>
      <c r="E7" s="95">
        <v>0</v>
      </c>
      <c r="F7" s="96"/>
      <c r="G7" s="96"/>
      <c r="H7" s="95" t="s">
        <v>81</v>
      </c>
      <c r="I7" s="96"/>
      <c r="J7" s="96"/>
      <c r="K7" s="95">
        <v>0</v>
      </c>
      <c r="L7" s="95">
        <v>0</v>
      </c>
      <c r="M7" s="95">
        <v>0</v>
      </c>
      <c r="N7" s="95">
        <v>0</v>
      </c>
      <c r="O7" s="95" t="s">
        <v>81</v>
      </c>
      <c r="P7" s="96"/>
      <c r="Q7" s="96"/>
      <c r="R7" s="95">
        <v>0</v>
      </c>
      <c r="S7" s="95"/>
      <c r="T7" s="96"/>
      <c r="U7" s="96"/>
      <c r="V7" s="95" t="s">
        <v>81</v>
      </c>
      <c r="W7" s="96"/>
      <c r="X7" s="97"/>
      <c r="Y7" s="109">
        <f>A11</f>
        <v>0</v>
      </c>
      <c r="Z7" s="95">
        <v>0</v>
      </c>
      <c r="AA7" s="96"/>
      <c r="AB7" s="96"/>
      <c r="AC7" s="96" t="s">
        <v>81</v>
      </c>
      <c r="AD7" s="96"/>
      <c r="AE7" s="96"/>
      <c r="AF7" s="95">
        <v>0</v>
      </c>
      <c r="AG7" s="95">
        <v>0</v>
      </c>
      <c r="AH7" s="95">
        <v>0</v>
      </c>
      <c r="AI7" s="95">
        <v>0</v>
      </c>
      <c r="AJ7" s="96" t="s">
        <v>81</v>
      </c>
      <c r="AK7" s="96"/>
      <c r="AL7" s="96"/>
      <c r="AM7" s="95">
        <v>0</v>
      </c>
      <c r="AN7" s="95"/>
      <c r="AO7" s="96"/>
      <c r="AP7" s="96"/>
      <c r="AQ7" s="96" t="s">
        <v>81</v>
      </c>
      <c r="AR7" s="96"/>
      <c r="AS7" s="97"/>
      <c r="AT7" s="109">
        <f>A12</f>
        <v>0</v>
      </c>
      <c r="AU7" s="95">
        <v>0</v>
      </c>
      <c r="AV7" s="96"/>
      <c r="AW7" s="96"/>
      <c r="AX7" s="96" t="s">
        <v>81</v>
      </c>
      <c r="AY7" s="96"/>
      <c r="AZ7" s="96"/>
      <c r="BA7" s="95">
        <v>0</v>
      </c>
      <c r="BB7" s="95">
        <v>0</v>
      </c>
      <c r="BC7" s="95">
        <v>0</v>
      </c>
      <c r="BD7" s="95">
        <v>0</v>
      </c>
      <c r="BE7" s="96" t="s">
        <v>81</v>
      </c>
      <c r="BF7" s="96"/>
      <c r="BG7" s="96"/>
      <c r="BH7" s="95">
        <v>0</v>
      </c>
      <c r="BI7" s="95"/>
      <c r="BJ7" s="96"/>
      <c r="BK7" s="96"/>
      <c r="BL7" s="96" t="s">
        <v>81</v>
      </c>
      <c r="BM7" s="96"/>
      <c r="BN7" s="97"/>
      <c r="BO7" s="109">
        <f>A13</f>
        <v>0</v>
      </c>
      <c r="BP7" s="95"/>
      <c r="BQ7" s="96"/>
      <c r="BR7" s="96"/>
      <c r="BS7" s="96"/>
      <c r="BT7" s="96"/>
      <c r="BU7" s="96"/>
      <c r="BV7" s="95"/>
      <c r="BW7" s="95"/>
      <c r="BX7" s="95"/>
      <c r="BY7" s="95"/>
      <c r="BZ7" s="96"/>
      <c r="CA7" s="96"/>
      <c r="CB7" s="96"/>
      <c r="CC7" s="95"/>
      <c r="CD7" s="95"/>
      <c r="CE7" s="96"/>
      <c r="CF7" s="96"/>
      <c r="CG7" s="96"/>
      <c r="CH7" s="96"/>
      <c r="CI7" s="97"/>
      <c r="CJ7" s="109">
        <f>A14</f>
        <v>0</v>
      </c>
      <c r="CK7" s="95"/>
      <c r="CL7" s="96"/>
      <c r="CM7" s="96"/>
      <c r="CN7" s="96"/>
      <c r="CO7" s="96"/>
      <c r="CP7" s="96"/>
      <c r="CQ7" s="95"/>
      <c r="CR7" s="95"/>
      <c r="CS7" s="95"/>
      <c r="CT7" s="95"/>
      <c r="CU7" s="96"/>
      <c r="CV7" s="96"/>
      <c r="CW7" s="96"/>
      <c r="CX7" s="95"/>
      <c r="CY7" s="95"/>
      <c r="CZ7" s="96"/>
      <c r="DA7" s="96"/>
      <c r="DB7" s="96"/>
      <c r="DC7" s="96"/>
      <c r="DD7" s="97"/>
      <c r="DE7" s="109">
        <f>A15</f>
        <v>0</v>
      </c>
      <c r="DF7" s="95"/>
      <c r="DG7" s="96"/>
      <c r="DH7" s="96"/>
      <c r="DI7" s="96"/>
      <c r="DJ7" s="96"/>
      <c r="DK7" s="96"/>
      <c r="DL7" s="95"/>
      <c r="DM7" s="95"/>
      <c r="DN7" s="95"/>
      <c r="DO7" s="95"/>
      <c r="DP7" s="96"/>
      <c r="DQ7" s="96"/>
      <c r="DR7" s="96"/>
      <c r="DS7" s="95"/>
      <c r="DT7" s="95"/>
      <c r="DU7" s="96"/>
      <c r="DV7" s="96"/>
      <c r="DW7" s="96"/>
      <c r="DX7" s="96"/>
      <c r="DY7" s="97"/>
      <c r="DZ7" s="109">
        <f>A16</f>
        <v>0</v>
      </c>
      <c r="EA7" s="95"/>
      <c r="EB7" s="96"/>
      <c r="EC7" s="96"/>
      <c r="ED7" s="96"/>
      <c r="EE7" s="96"/>
      <c r="EF7" s="96"/>
      <c r="EG7" s="95"/>
      <c r="EH7" s="95"/>
      <c r="EI7" s="95"/>
      <c r="EJ7" s="95"/>
      <c r="EK7" s="96"/>
      <c r="EL7" s="96"/>
      <c r="EM7" s="96"/>
      <c r="EN7" s="95"/>
      <c r="EO7" s="95"/>
      <c r="EP7" s="96"/>
      <c r="EQ7" s="96"/>
      <c r="ER7" s="96"/>
      <c r="ES7" s="96"/>
      <c r="ET7" s="97"/>
      <c r="EU7" s="109">
        <f>A17</f>
        <v>0</v>
      </c>
      <c r="EV7" s="95"/>
      <c r="EW7" s="96"/>
      <c r="EX7" s="96"/>
      <c r="EY7" s="96"/>
      <c r="EZ7" s="96"/>
      <c r="FA7" s="96"/>
      <c r="FB7" s="95"/>
      <c r="FC7" s="95"/>
      <c r="FD7" s="95"/>
      <c r="FE7" s="95"/>
      <c r="FF7" s="96"/>
      <c r="FG7" s="96"/>
      <c r="FH7" s="96"/>
      <c r="FI7" s="95"/>
      <c r="FJ7" s="95"/>
      <c r="FK7" s="96"/>
      <c r="FL7" s="96"/>
      <c r="FM7" s="96"/>
      <c r="FN7" s="96"/>
      <c r="FO7" s="97"/>
      <c r="FP7" s="109">
        <f>A18</f>
        <v>0</v>
      </c>
      <c r="FQ7" s="95"/>
      <c r="FR7" s="96"/>
      <c r="FS7" s="96"/>
      <c r="FT7" s="96"/>
      <c r="FU7" s="96"/>
      <c r="FV7" s="96"/>
      <c r="FW7" s="95"/>
      <c r="FX7" s="95"/>
      <c r="FY7" s="95"/>
      <c r="FZ7" s="95"/>
      <c r="GA7" s="96"/>
      <c r="GB7" s="96"/>
      <c r="GC7" s="96"/>
      <c r="GD7" s="95"/>
      <c r="GE7" s="95"/>
      <c r="GF7" s="96"/>
      <c r="GG7" s="96"/>
      <c r="GH7" s="96"/>
      <c r="GI7" s="96"/>
      <c r="GJ7" s="97"/>
      <c r="GK7" s="109">
        <f>A19</f>
        <v>0</v>
      </c>
      <c r="GL7" s="95"/>
      <c r="GM7" s="96"/>
      <c r="GN7" s="96"/>
      <c r="GO7" s="96"/>
      <c r="GP7" s="96"/>
      <c r="GQ7" s="96"/>
      <c r="GR7" s="95"/>
      <c r="GS7" s="95"/>
      <c r="GT7" s="95"/>
      <c r="GU7" s="95"/>
      <c r="GV7" s="96"/>
      <c r="GW7" s="96"/>
      <c r="GX7" s="96"/>
      <c r="GY7" s="95"/>
      <c r="GZ7" s="95"/>
      <c r="HA7" s="96"/>
      <c r="HB7" s="96"/>
      <c r="HC7" s="96"/>
      <c r="HD7" s="96"/>
      <c r="HE7" s="97"/>
      <c r="HF7" s="109">
        <f>A20</f>
        <v>0</v>
      </c>
      <c r="HG7" s="95"/>
      <c r="HH7" s="96"/>
      <c r="HI7" s="96"/>
      <c r="HJ7" s="96"/>
      <c r="HK7" s="96"/>
      <c r="HL7" s="96"/>
      <c r="HM7" s="95"/>
      <c r="HN7" s="95"/>
      <c r="HO7" s="95"/>
      <c r="HP7" s="95"/>
      <c r="HQ7" s="96"/>
      <c r="HR7" s="96"/>
      <c r="HS7" s="96"/>
      <c r="HT7" s="95"/>
      <c r="HU7" s="95"/>
      <c r="HV7" s="96"/>
      <c r="HW7" s="96"/>
      <c r="HX7" s="96"/>
      <c r="HY7" s="96"/>
      <c r="HZ7" s="97"/>
      <c r="IA7" s="109">
        <f>A21</f>
        <v>0</v>
      </c>
      <c r="IB7" s="95"/>
      <c r="IC7" s="96"/>
      <c r="ID7" s="96"/>
      <c r="IE7" s="96"/>
      <c r="IF7" s="96"/>
      <c r="IG7" s="96"/>
      <c r="IH7" s="95"/>
      <c r="II7" s="95"/>
      <c r="IJ7" s="95"/>
      <c r="IK7" s="95"/>
      <c r="IL7" s="96"/>
      <c r="IM7" s="96"/>
      <c r="IN7" s="96"/>
      <c r="IO7" s="95"/>
      <c r="IP7" s="95"/>
      <c r="IQ7" s="96"/>
      <c r="IR7" s="96"/>
      <c r="IS7" s="96"/>
      <c r="IT7" s="96"/>
      <c r="IU7" s="97"/>
      <c r="IV7" s="111"/>
    </row>
    <row r="8" spans="1:256" ht="25.5" x14ac:dyDescent="0.2">
      <c r="A8" s="9" t="s">
        <v>2</v>
      </c>
      <c r="B8" s="9" t="s">
        <v>63</v>
      </c>
      <c r="D8" s="98" t="s">
        <v>3</v>
      </c>
      <c r="E8" s="74" t="s">
        <v>4</v>
      </c>
      <c r="F8" s="74" t="s">
        <v>48</v>
      </c>
      <c r="G8" s="74" t="s">
        <v>49</v>
      </c>
      <c r="H8" s="74" t="s">
        <v>50</v>
      </c>
      <c r="I8" s="74" t="s">
        <v>51</v>
      </c>
      <c r="J8" s="77" t="s">
        <v>52</v>
      </c>
      <c r="K8" s="76" t="s">
        <v>3</v>
      </c>
      <c r="L8" s="74" t="str">
        <f>$B$5</f>
        <v>Power</v>
      </c>
      <c r="M8" s="74" t="s">
        <v>48</v>
      </c>
      <c r="N8" s="74" t="s">
        <v>49</v>
      </c>
      <c r="O8" s="74" t="s">
        <v>50</v>
      </c>
      <c r="P8" s="74" t="s">
        <v>51</v>
      </c>
      <c r="Q8" s="77" t="s">
        <v>52</v>
      </c>
      <c r="R8" s="76" t="s">
        <v>3</v>
      </c>
      <c r="S8" s="74" t="s">
        <v>5</v>
      </c>
      <c r="T8" s="74" t="s">
        <v>48</v>
      </c>
      <c r="U8" s="74" t="s">
        <v>49</v>
      </c>
      <c r="V8" s="74" t="s">
        <v>50</v>
      </c>
      <c r="W8" s="74" t="s">
        <v>51</v>
      </c>
      <c r="X8" s="99" t="s">
        <v>52</v>
      </c>
      <c r="Y8" s="110" t="s">
        <v>3</v>
      </c>
      <c r="Z8" s="74" t="s">
        <v>4</v>
      </c>
      <c r="AA8" s="74" t="s">
        <v>48</v>
      </c>
      <c r="AB8" s="74" t="s">
        <v>49</v>
      </c>
      <c r="AC8" s="74" t="s">
        <v>50</v>
      </c>
      <c r="AD8" s="74" t="s">
        <v>51</v>
      </c>
      <c r="AE8" s="77" t="s">
        <v>52</v>
      </c>
      <c r="AF8" s="76" t="s">
        <v>3</v>
      </c>
      <c r="AG8" s="74" t="str">
        <f>$B$5</f>
        <v>Power</v>
      </c>
      <c r="AH8" s="74" t="s">
        <v>48</v>
      </c>
      <c r="AI8" s="74" t="s">
        <v>49</v>
      </c>
      <c r="AJ8" s="74" t="s">
        <v>50</v>
      </c>
      <c r="AK8" s="74" t="s">
        <v>51</v>
      </c>
      <c r="AL8" s="77" t="s">
        <v>52</v>
      </c>
      <c r="AM8" s="76" t="s">
        <v>3</v>
      </c>
      <c r="AN8" s="74" t="s">
        <v>5</v>
      </c>
      <c r="AO8" s="74" t="s">
        <v>48</v>
      </c>
      <c r="AP8" s="74" t="s">
        <v>49</v>
      </c>
      <c r="AQ8" s="74" t="s">
        <v>50</v>
      </c>
      <c r="AR8" s="74" t="s">
        <v>51</v>
      </c>
      <c r="AS8" s="99" t="s">
        <v>52</v>
      </c>
      <c r="AT8" s="110" t="s">
        <v>3</v>
      </c>
      <c r="AU8" s="74" t="s">
        <v>4</v>
      </c>
      <c r="AV8" s="74" t="s">
        <v>48</v>
      </c>
      <c r="AW8" s="74" t="s">
        <v>49</v>
      </c>
      <c r="AX8" s="74" t="s">
        <v>50</v>
      </c>
      <c r="AY8" s="74" t="s">
        <v>51</v>
      </c>
      <c r="AZ8" s="77" t="s">
        <v>52</v>
      </c>
      <c r="BA8" s="76" t="s">
        <v>3</v>
      </c>
      <c r="BB8" s="74" t="str">
        <f>$B$5</f>
        <v>Power</v>
      </c>
      <c r="BC8" s="74" t="s">
        <v>48</v>
      </c>
      <c r="BD8" s="74" t="s">
        <v>49</v>
      </c>
      <c r="BE8" s="74" t="s">
        <v>50</v>
      </c>
      <c r="BF8" s="74" t="s">
        <v>51</v>
      </c>
      <c r="BG8" s="77" t="s">
        <v>52</v>
      </c>
      <c r="BH8" s="76" t="s">
        <v>3</v>
      </c>
      <c r="BI8" s="74" t="s">
        <v>5</v>
      </c>
      <c r="BJ8" s="74" t="s">
        <v>48</v>
      </c>
      <c r="BK8" s="74" t="s">
        <v>49</v>
      </c>
      <c r="BL8" s="74" t="s">
        <v>50</v>
      </c>
      <c r="BM8" s="74" t="s">
        <v>51</v>
      </c>
      <c r="BN8" s="99" t="s">
        <v>52</v>
      </c>
      <c r="BO8" s="110" t="s">
        <v>3</v>
      </c>
      <c r="BP8" s="74" t="s">
        <v>4</v>
      </c>
      <c r="BQ8" s="74" t="s">
        <v>48</v>
      </c>
      <c r="BR8" s="74" t="s">
        <v>49</v>
      </c>
      <c r="BS8" s="74" t="s">
        <v>50</v>
      </c>
      <c r="BT8" s="74" t="s">
        <v>51</v>
      </c>
      <c r="BU8" s="77" t="s">
        <v>52</v>
      </c>
      <c r="BV8" s="76" t="s">
        <v>3</v>
      </c>
      <c r="BW8" s="74" t="str">
        <f>$B$5</f>
        <v>Power</v>
      </c>
      <c r="BX8" s="74" t="s">
        <v>48</v>
      </c>
      <c r="BY8" s="74" t="s">
        <v>49</v>
      </c>
      <c r="BZ8" s="74" t="s">
        <v>50</v>
      </c>
      <c r="CA8" s="74" t="s">
        <v>51</v>
      </c>
      <c r="CB8" s="77" t="s">
        <v>52</v>
      </c>
      <c r="CC8" s="76" t="s">
        <v>3</v>
      </c>
      <c r="CD8" s="74" t="s">
        <v>5</v>
      </c>
      <c r="CE8" s="74" t="s">
        <v>48</v>
      </c>
      <c r="CF8" s="74" t="s">
        <v>49</v>
      </c>
      <c r="CG8" s="74" t="s">
        <v>50</v>
      </c>
      <c r="CH8" s="74" t="s">
        <v>51</v>
      </c>
      <c r="CI8" s="99" t="s">
        <v>52</v>
      </c>
      <c r="CJ8" s="110" t="s">
        <v>3</v>
      </c>
      <c r="CK8" s="74" t="s">
        <v>4</v>
      </c>
      <c r="CL8" s="74" t="s">
        <v>48</v>
      </c>
      <c r="CM8" s="74" t="s">
        <v>49</v>
      </c>
      <c r="CN8" s="74" t="s">
        <v>50</v>
      </c>
      <c r="CO8" s="74" t="s">
        <v>51</v>
      </c>
      <c r="CP8" s="77" t="s">
        <v>52</v>
      </c>
      <c r="CQ8" s="76" t="s">
        <v>3</v>
      </c>
      <c r="CR8" s="74" t="str">
        <f>$B$5</f>
        <v>Power</v>
      </c>
      <c r="CS8" s="74" t="s">
        <v>48</v>
      </c>
      <c r="CT8" s="74" t="s">
        <v>49</v>
      </c>
      <c r="CU8" s="74" t="s">
        <v>50</v>
      </c>
      <c r="CV8" s="74" t="s">
        <v>51</v>
      </c>
      <c r="CW8" s="77" t="s">
        <v>52</v>
      </c>
      <c r="CX8" s="76" t="s">
        <v>3</v>
      </c>
      <c r="CY8" s="74" t="s">
        <v>5</v>
      </c>
      <c r="CZ8" s="74" t="s">
        <v>48</v>
      </c>
      <c r="DA8" s="74" t="s">
        <v>49</v>
      </c>
      <c r="DB8" s="74" t="s">
        <v>50</v>
      </c>
      <c r="DC8" s="74" t="s">
        <v>51</v>
      </c>
      <c r="DD8" s="99" t="s">
        <v>52</v>
      </c>
      <c r="DE8" s="110" t="s">
        <v>3</v>
      </c>
      <c r="DF8" s="74" t="s">
        <v>4</v>
      </c>
      <c r="DG8" s="74" t="s">
        <v>48</v>
      </c>
      <c r="DH8" s="74" t="s">
        <v>49</v>
      </c>
      <c r="DI8" s="74" t="s">
        <v>50</v>
      </c>
      <c r="DJ8" s="74" t="s">
        <v>51</v>
      </c>
      <c r="DK8" s="77" t="s">
        <v>52</v>
      </c>
      <c r="DL8" s="76" t="s">
        <v>3</v>
      </c>
      <c r="DM8" s="74" t="str">
        <f>$B$5</f>
        <v>Power</v>
      </c>
      <c r="DN8" s="74" t="s">
        <v>48</v>
      </c>
      <c r="DO8" s="74" t="s">
        <v>49</v>
      </c>
      <c r="DP8" s="74" t="s">
        <v>50</v>
      </c>
      <c r="DQ8" s="74" t="s">
        <v>51</v>
      </c>
      <c r="DR8" s="77" t="s">
        <v>52</v>
      </c>
      <c r="DS8" s="76" t="s">
        <v>3</v>
      </c>
      <c r="DT8" s="74" t="s">
        <v>5</v>
      </c>
      <c r="DU8" s="74" t="s">
        <v>48</v>
      </c>
      <c r="DV8" s="74" t="s">
        <v>49</v>
      </c>
      <c r="DW8" s="74" t="s">
        <v>50</v>
      </c>
      <c r="DX8" s="74" t="s">
        <v>51</v>
      </c>
      <c r="DY8" s="99" t="s">
        <v>52</v>
      </c>
      <c r="DZ8" s="110" t="s">
        <v>3</v>
      </c>
      <c r="EA8" s="74" t="s">
        <v>4</v>
      </c>
      <c r="EB8" s="74" t="s">
        <v>48</v>
      </c>
      <c r="EC8" s="74" t="s">
        <v>49</v>
      </c>
      <c r="ED8" s="74" t="s">
        <v>50</v>
      </c>
      <c r="EE8" s="74" t="s">
        <v>51</v>
      </c>
      <c r="EF8" s="77" t="s">
        <v>52</v>
      </c>
      <c r="EG8" s="76" t="s">
        <v>3</v>
      </c>
      <c r="EH8" s="74" t="str">
        <f>$B$5</f>
        <v>Power</v>
      </c>
      <c r="EI8" s="74" t="s">
        <v>48</v>
      </c>
      <c r="EJ8" s="74" t="s">
        <v>49</v>
      </c>
      <c r="EK8" s="74" t="s">
        <v>50</v>
      </c>
      <c r="EL8" s="74" t="s">
        <v>51</v>
      </c>
      <c r="EM8" s="77" t="s">
        <v>52</v>
      </c>
      <c r="EN8" s="76" t="s">
        <v>3</v>
      </c>
      <c r="EO8" s="74" t="s">
        <v>5</v>
      </c>
      <c r="EP8" s="74" t="s">
        <v>48</v>
      </c>
      <c r="EQ8" s="74" t="s">
        <v>49</v>
      </c>
      <c r="ER8" s="74" t="s">
        <v>50</v>
      </c>
      <c r="ES8" s="74" t="s">
        <v>51</v>
      </c>
      <c r="ET8" s="99" t="s">
        <v>52</v>
      </c>
      <c r="EU8" s="110" t="s">
        <v>3</v>
      </c>
      <c r="EV8" s="74" t="s">
        <v>4</v>
      </c>
      <c r="EW8" s="74" t="s">
        <v>48</v>
      </c>
      <c r="EX8" s="74" t="s">
        <v>49</v>
      </c>
      <c r="EY8" s="74" t="s">
        <v>50</v>
      </c>
      <c r="EZ8" s="74" t="s">
        <v>51</v>
      </c>
      <c r="FA8" s="77" t="s">
        <v>52</v>
      </c>
      <c r="FB8" s="76" t="s">
        <v>3</v>
      </c>
      <c r="FC8" s="74" t="str">
        <f>$B$5</f>
        <v>Power</v>
      </c>
      <c r="FD8" s="74" t="s">
        <v>48</v>
      </c>
      <c r="FE8" s="74" t="s">
        <v>49</v>
      </c>
      <c r="FF8" s="74" t="s">
        <v>50</v>
      </c>
      <c r="FG8" s="74" t="s">
        <v>51</v>
      </c>
      <c r="FH8" s="77" t="s">
        <v>52</v>
      </c>
      <c r="FI8" s="76" t="s">
        <v>3</v>
      </c>
      <c r="FJ8" s="74" t="s">
        <v>5</v>
      </c>
      <c r="FK8" s="74" t="s">
        <v>48</v>
      </c>
      <c r="FL8" s="74" t="s">
        <v>49</v>
      </c>
      <c r="FM8" s="74" t="s">
        <v>50</v>
      </c>
      <c r="FN8" s="74" t="s">
        <v>51</v>
      </c>
      <c r="FO8" s="99" t="s">
        <v>52</v>
      </c>
      <c r="FP8" s="110" t="s">
        <v>3</v>
      </c>
      <c r="FQ8" s="74" t="s">
        <v>4</v>
      </c>
      <c r="FR8" s="74" t="s">
        <v>48</v>
      </c>
      <c r="FS8" s="74" t="s">
        <v>49</v>
      </c>
      <c r="FT8" s="74" t="s">
        <v>50</v>
      </c>
      <c r="FU8" s="74" t="s">
        <v>51</v>
      </c>
      <c r="FV8" s="77" t="s">
        <v>52</v>
      </c>
      <c r="FW8" s="76" t="s">
        <v>3</v>
      </c>
      <c r="FX8" s="74" t="str">
        <f>$B$5</f>
        <v>Power</v>
      </c>
      <c r="FY8" s="74" t="s">
        <v>48</v>
      </c>
      <c r="FZ8" s="74" t="s">
        <v>49</v>
      </c>
      <c r="GA8" s="74" t="s">
        <v>50</v>
      </c>
      <c r="GB8" s="74" t="s">
        <v>51</v>
      </c>
      <c r="GC8" s="77" t="s">
        <v>52</v>
      </c>
      <c r="GD8" s="76" t="s">
        <v>3</v>
      </c>
      <c r="GE8" s="74" t="s">
        <v>5</v>
      </c>
      <c r="GF8" s="74" t="s">
        <v>48</v>
      </c>
      <c r="GG8" s="74" t="s">
        <v>49</v>
      </c>
      <c r="GH8" s="74" t="s">
        <v>50</v>
      </c>
      <c r="GI8" s="74" t="s">
        <v>51</v>
      </c>
      <c r="GJ8" s="99" t="s">
        <v>52</v>
      </c>
      <c r="GK8" s="110" t="s">
        <v>3</v>
      </c>
      <c r="GL8" s="74" t="s">
        <v>4</v>
      </c>
      <c r="GM8" s="74" t="s">
        <v>48</v>
      </c>
      <c r="GN8" s="74" t="s">
        <v>49</v>
      </c>
      <c r="GO8" s="74" t="s">
        <v>50</v>
      </c>
      <c r="GP8" s="74" t="s">
        <v>51</v>
      </c>
      <c r="GQ8" s="77" t="s">
        <v>52</v>
      </c>
      <c r="GR8" s="76" t="s">
        <v>3</v>
      </c>
      <c r="GS8" s="74" t="str">
        <f>$B$5</f>
        <v>Power</v>
      </c>
      <c r="GT8" s="74" t="s">
        <v>48</v>
      </c>
      <c r="GU8" s="74" t="s">
        <v>49</v>
      </c>
      <c r="GV8" s="74" t="s">
        <v>50</v>
      </c>
      <c r="GW8" s="74" t="s">
        <v>51</v>
      </c>
      <c r="GX8" s="77" t="s">
        <v>52</v>
      </c>
      <c r="GY8" s="76" t="s">
        <v>3</v>
      </c>
      <c r="GZ8" s="74" t="s">
        <v>5</v>
      </c>
      <c r="HA8" s="74" t="s">
        <v>48</v>
      </c>
      <c r="HB8" s="74" t="s">
        <v>49</v>
      </c>
      <c r="HC8" s="74" t="s">
        <v>50</v>
      </c>
      <c r="HD8" s="74" t="s">
        <v>51</v>
      </c>
      <c r="HE8" s="99" t="s">
        <v>52</v>
      </c>
      <c r="HF8" s="110" t="s">
        <v>3</v>
      </c>
      <c r="HG8" s="74" t="s">
        <v>4</v>
      </c>
      <c r="HH8" s="74" t="s">
        <v>48</v>
      </c>
      <c r="HI8" s="74" t="s">
        <v>49</v>
      </c>
      <c r="HJ8" s="74" t="s">
        <v>50</v>
      </c>
      <c r="HK8" s="74" t="s">
        <v>51</v>
      </c>
      <c r="HL8" s="77" t="s">
        <v>52</v>
      </c>
      <c r="HM8" s="76" t="s">
        <v>3</v>
      </c>
      <c r="HN8" s="74" t="str">
        <f>$B$5</f>
        <v>Power</v>
      </c>
      <c r="HO8" s="74" t="s">
        <v>48</v>
      </c>
      <c r="HP8" s="74" t="s">
        <v>49</v>
      </c>
      <c r="HQ8" s="74" t="s">
        <v>50</v>
      </c>
      <c r="HR8" s="74" t="s">
        <v>51</v>
      </c>
      <c r="HS8" s="77" t="s">
        <v>52</v>
      </c>
      <c r="HT8" s="76" t="s">
        <v>3</v>
      </c>
      <c r="HU8" s="74" t="s">
        <v>5</v>
      </c>
      <c r="HV8" s="74" t="s">
        <v>48</v>
      </c>
      <c r="HW8" s="74" t="s">
        <v>49</v>
      </c>
      <c r="HX8" s="74" t="s">
        <v>50</v>
      </c>
      <c r="HY8" s="74" t="s">
        <v>51</v>
      </c>
      <c r="HZ8" s="99" t="s">
        <v>52</v>
      </c>
      <c r="IA8" s="110" t="s">
        <v>3</v>
      </c>
      <c r="IB8" s="74" t="s">
        <v>4</v>
      </c>
      <c r="IC8" s="74" t="s">
        <v>48</v>
      </c>
      <c r="ID8" s="74" t="s">
        <v>49</v>
      </c>
      <c r="IE8" s="74" t="s">
        <v>50</v>
      </c>
      <c r="IF8" s="74" t="s">
        <v>51</v>
      </c>
      <c r="IG8" s="77" t="s">
        <v>52</v>
      </c>
      <c r="IH8" s="76" t="s">
        <v>3</v>
      </c>
      <c r="II8" s="74" t="str">
        <f>$B$5</f>
        <v>Power</v>
      </c>
      <c r="IJ8" s="74" t="s">
        <v>48</v>
      </c>
      <c r="IK8" s="74" t="s">
        <v>49</v>
      </c>
      <c r="IL8" s="74" t="s">
        <v>50</v>
      </c>
      <c r="IM8" s="74" t="s">
        <v>51</v>
      </c>
      <c r="IN8" s="77" t="s">
        <v>52</v>
      </c>
      <c r="IO8" s="76" t="s">
        <v>3</v>
      </c>
      <c r="IP8" s="74" t="s">
        <v>5</v>
      </c>
      <c r="IQ8" s="74" t="s">
        <v>48</v>
      </c>
      <c r="IR8" s="74" t="s">
        <v>49</v>
      </c>
      <c r="IS8" s="74" t="s">
        <v>50</v>
      </c>
      <c r="IT8" s="74" t="s">
        <v>51</v>
      </c>
      <c r="IU8" s="99" t="s">
        <v>52</v>
      </c>
      <c r="IV8" s="112"/>
    </row>
    <row r="9" spans="1:256" s="71" customFormat="1" ht="13.5" thickBot="1" x14ac:dyDescent="0.25">
      <c r="A9" s="73" t="str">
        <f>B3</f>
        <v>inch</v>
      </c>
      <c r="B9" s="73" t="str">
        <f>B3</f>
        <v>inch</v>
      </c>
      <c r="D9" s="100" t="str">
        <f>$B$1</f>
        <v>USgpm</v>
      </c>
      <c r="E9" s="83" t="str">
        <f>$B$2</f>
        <v>ft</v>
      </c>
      <c r="F9" s="84"/>
      <c r="G9" s="84"/>
      <c r="H9" s="84"/>
      <c r="I9" s="84"/>
      <c r="J9" s="75"/>
      <c r="K9" s="82" t="str">
        <f>$B$1</f>
        <v>USgpm</v>
      </c>
      <c r="L9" s="83" t="str">
        <f>IF(L8="Eta","%",$B$4)</f>
        <v>hp</v>
      </c>
      <c r="M9" s="84"/>
      <c r="N9" s="84"/>
      <c r="O9" s="84"/>
      <c r="P9" s="84"/>
      <c r="Q9" s="75"/>
      <c r="R9" s="82" t="str">
        <f>$B$1</f>
        <v>USgpm</v>
      </c>
      <c r="S9" s="83" t="str">
        <f>$B$2</f>
        <v>ft</v>
      </c>
      <c r="T9" s="84"/>
      <c r="U9" s="84"/>
      <c r="V9" s="84"/>
      <c r="W9" s="84"/>
      <c r="X9" s="101"/>
      <c r="Y9" s="100" t="str">
        <f>$B$1</f>
        <v>USgpm</v>
      </c>
      <c r="Z9" s="83" t="str">
        <f>$B$2</f>
        <v>ft</v>
      </c>
      <c r="AA9" s="84"/>
      <c r="AB9" s="84"/>
      <c r="AC9" s="84"/>
      <c r="AD9" s="84"/>
      <c r="AE9" s="75"/>
      <c r="AF9" s="82" t="str">
        <f>$B$1</f>
        <v>USgpm</v>
      </c>
      <c r="AG9" s="83" t="str">
        <f>IF(AG8="Eta","%",$B$4)</f>
        <v>hp</v>
      </c>
      <c r="AH9" s="84"/>
      <c r="AI9" s="84"/>
      <c r="AJ9" s="84"/>
      <c r="AK9" s="84"/>
      <c r="AL9" s="75"/>
      <c r="AM9" s="82" t="str">
        <f>$B$1</f>
        <v>USgpm</v>
      </c>
      <c r="AN9" s="83" t="str">
        <f>$B$2</f>
        <v>ft</v>
      </c>
      <c r="AO9" s="84"/>
      <c r="AP9" s="84"/>
      <c r="AQ9" s="84"/>
      <c r="AR9" s="84"/>
      <c r="AS9" s="101"/>
      <c r="AT9" s="100" t="str">
        <f>$B$1</f>
        <v>USgpm</v>
      </c>
      <c r="AU9" s="83" t="str">
        <f>$B$2</f>
        <v>ft</v>
      </c>
      <c r="AV9" s="84"/>
      <c r="AW9" s="84"/>
      <c r="AX9" s="84"/>
      <c r="AY9" s="84"/>
      <c r="AZ9" s="75"/>
      <c r="BA9" s="82" t="str">
        <f>$B$1</f>
        <v>USgpm</v>
      </c>
      <c r="BB9" s="83" t="str">
        <f>IF(BB8="Eta","%",$B$4)</f>
        <v>hp</v>
      </c>
      <c r="BC9" s="84"/>
      <c r="BD9" s="84"/>
      <c r="BE9" s="84"/>
      <c r="BF9" s="84"/>
      <c r="BG9" s="75"/>
      <c r="BH9" s="82" t="str">
        <f>$B$1</f>
        <v>USgpm</v>
      </c>
      <c r="BI9" s="83" t="str">
        <f>$B$2</f>
        <v>ft</v>
      </c>
      <c r="BJ9" s="84"/>
      <c r="BK9" s="84"/>
      <c r="BL9" s="84"/>
      <c r="BM9" s="84"/>
      <c r="BN9" s="101"/>
      <c r="BO9" s="100" t="str">
        <f>$B$1</f>
        <v>USgpm</v>
      </c>
      <c r="BP9" s="83" t="str">
        <f>$B$2</f>
        <v>ft</v>
      </c>
      <c r="BQ9" s="84"/>
      <c r="BR9" s="84"/>
      <c r="BS9" s="84"/>
      <c r="BT9" s="84"/>
      <c r="BU9" s="75"/>
      <c r="BV9" s="82" t="str">
        <f>$B$1</f>
        <v>USgpm</v>
      </c>
      <c r="BW9" s="83" t="str">
        <f>IF(BW8="Eta","%",$B$4)</f>
        <v>hp</v>
      </c>
      <c r="BX9" s="84"/>
      <c r="BY9" s="84"/>
      <c r="BZ9" s="84"/>
      <c r="CA9" s="84"/>
      <c r="CB9" s="75"/>
      <c r="CC9" s="82" t="str">
        <f>$B$1</f>
        <v>USgpm</v>
      </c>
      <c r="CD9" s="83" t="str">
        <f>$B$2</f>
        <v>ft</v>
      </c>
      <c r="CE9" s="84"/>
      <c r="CF9" s="84"/>
      <c r="CG9" s="84"/>
      <c r="CH9" s="84"/>
      <c r="CI9" s="101"/>
      <c r="CJ9" s="100" t="str">
        <f>$B$1</f>
        <v>USgpm</v>
      </c>
      <c r="CK9" s="83" t="str">
        <f>$B$2</f>
        <v>ft</v>
      </c>
      <c r="CL9" s="84"/>
      <c r="CM9" s="84"/>
      <c r="CN9" s="84"/>
      <c r="CO9" s="84"/>
      <c r="CP9" s="75"/>
      <c r="CQ9" s="82" t="str">
        <f>$B$1</f>
        <v>USgpm</v>
      </c>
      <c r="CR9" s="83" t="str">
        <f>IF(CR8="Eta","%",$B$4)</f>
        <v>hp</v>
      </c>
      <c r="CS9" s="84"/>
      <c r="CT9" s="84"/>
      <c r="CU9" s="84"/>
      <c r="CV9" s="84"/>
      <c r="CW9" s="75"/>
      <c r="CX9" s="82" t="str">
        <f>$B$1</f>
        <v>USgpm</v>
      </c>
      <c r="CY9" s="83" t="str">
        <f>$B$2</f>
        <v>ft</v>
      </c>
      <c r="CZ9" s="84"/>
      <c r="DA9" s="84"/>
      <c r="DB9" s="84"/>
      <c r="DC9" s="84"/>
      <c r="DD9" s="101"/>
      <c r="DE9" s="100" t="str">
        <f>$B$1</f>
        <v>USgpm</v>
      </c>
      <c r="DF9" s="83" t="str">
        <f>$B$2</f>
        <v>ft</v>
      </c>
      <c r="DG9" s="84"/>
      <c r="DH9" s="84"/>
      <c r="DI9" s="84"/>
      <c r="DJ9" s="84"/>
      <c r="DK9" s="75"/>
      <c r="DL9" s="82" t="str">
        <f>$B$1</f>
        <v>USgpm</v>
      </c>
      <c r="DM9" s="83" t="str">
        <f>IF(DM8="Eta","%",$B$4)</f>
        <v>hp</v>
      </c>
      <c r="DN9" s="84"/>
      <c r="DO9" s="84"/>
      <c r="DP9" s="84"/>
      <c r="DQ9" s="84"/>
      <c r="DR9" s="75"/>
      <c r="DS9" s="82" t="str">
        <f>$B$1</f>
        <v>USgpm</v>
      </c>
      <c r="DT9" s="83" t="str">
        <f>$B$2</f>
        <v>ft</v>
      </c>
      <c r="DU9" s="84"/>
      <c r="DV9" s="84"/>
      <c r="DW9" s="84"/>
      <c r="DX9" s="84"/>
      <c r="DY9" s="101"/>
      <c r="DZ9" s="100" t="str">
        <f>$B$1</f>
        <v>USgpm</v>
      </c>
      <c r="EA9" s="83" t="str">
        <f>$B$2</f>
        <v>ft</v>
      </c>
      <c r="EB9" s="84"/>
      <c r="EC9" s="84"/>
      <c r="ED9" s="84"/>
      <c r="EE9" s="84"/>
      <c r="EF9" s="75"/>
      <c r="EG9" s="82" t="str">
        <f>$B$1</f>
        <v>USgpm</v>
      </c>
      <c r="EH9" s="83" t="str">
        <f>IF(EH8="Eta","%",$B$4)</f>
        <v>hp</v>
      </c>
      <c r="EI9" s="84"/>
      <c r="EJ9" s="84"/>
      <c r="EK9" s="84"/>
      <c r="EL9" s="84"/>
      <c r="EM9" s="75"/>
      <c r="EN9" s="82" t="str">
        <f>$B$1</f>
        <v>USgpm</v>
      </c>
      <c r="EO9" s="83" t="str">
        <f>$B$2</f>
        <v>ft</v>
      </c>
      <c r="EP9" s="84"/>
      <c r="EQ9" s="84"/>
      <c r="ER9" s="84"/>
      <c r="ES9" s="84"/>
      <c r="ET9" s="101"/>
      <c r="EU9" s="100" t="str">
        <f>$B$1</f>
        <v>USgpm</v>
      </c>
      <c r="EV9" s="83" t="str">
        <f>$B$2</f>
        <v>ft</v>
      </c>
      <c r="EW9" s="84"/>
      <c r="EX9" s="84"/>
      <c r="EY9" s="84"/>
      <c r="EZ9" s="84"/>
      <c r="FA9" s="75"/>
      <c r="FB9" s="82" t="str">
        <f>$B$1</f>
        <v>USgpm</v>
      </c>
      <c r="FC9" s="83" t="str">
        <f>IF(FC8="Eta","%",$B$4)</f>
        <v>hp</v>
      </c>
      <c r="FD9" s="84"/>
      <c r="FE9" s="84"/>
      <c r="FF9" s="84"/>
      <c r="FG9" s="84"/>
      <c r="FH9" s="75"/>
      <c r="FI9" s="82" t="str">
        <f>$B$1</f>
        <v>USgpm</v>
      </c>
      <c r="FJ9" s="83" t="str">
        <f>$B$2</f>
        <v>ft</v>
      </c>
      <c r="FK9" s="84"/>
      <c r="FL9" s="84"/>
      <c r="FM9" s="84"/>
      <c r="FN9" s="84"/>
      <c r="FO9" s="101"/>
      <c r="FP9" s="100" t="str">
        <f>$B$1</f>
        <v>USgpm</v>
      </c>
      <c r="FQ9" s="83" t="str">
        <f>$B$2</f>
        <v>ft</v>
      </c>
      <c r="FR9" s="84"/>
      <c r="FS9" s="84"/>
      <c r="FT9" s="84"/>
      <c r="FU9" s="84"/>
      <c r="FV9" s="75"/>
      <c r="FW9" s="82" t="str">
        <f>$B$1</f>
        <v>USgpm</v>
      </c>
      <c r="FX9" s="83" t="str">
        <f>IF(FX8="Eta","%",$B$4)</f>
        <v>hp</v>
      </c>
      <c r="FY9" s="84"/>
      <c r="FZ9" s="84"/>
      <c r="GA9" s="84"/>
      <c r="GB9" s="84"/>
      <c r="GC9" s="75"/>
      <c r="GD9" s="82" t="str">
        <f>$B$1</f>
        <v>USgpm</v>
      </c>
      <c r="GE9" s="83" t="str">
        <f>$B$2</f>
        <v>ft</v>
      </c>
      <c r="GF9" s="84"/>
      <c r="GG9" s="84"/>
      <c r="GH9" s="84"/>
      <c r="GI9" s="84"/>
      <c r="GJ9" s="101"/>
      <c r="GK9" s="100" t="str">
        <f>$B$1</f>
        <v>USgpm</v>
      </c>
      <c r="GL9" s="83" t="str">
        <f>$B$2</f>
        <v>ft</v>
      </c>
      <c r="GM9" s="84"/>
      <c r="GN9" s="84"/>
      <c r="GO9" s="84"/>
      <c r="GP9" s="84"/>
      <c r="GQ9" s="75"/>
      <c r="GR9" s="82" t="str">
        <f>$B$1</f>
        <v>USgpm</v>
      </c>
      <c r="GS9" s="83" t="str">
        <f>IF(GS8="Eta","%",$B$4)</f>
        <v>hp</v>
      </c>
      <c r="GT9" s="84"/>
      <c r="GU9" s="84"/>
      <c r="GV9" s="84"/>
      <c r="GW9" s="84"/>
      <c r="GX9" s="75"/>
      <c r="GY9" s="82" t="str">
        <f>$B$1</f>
        <v>USgpm</v>
      </c>
      <c r="GZ9" s="83" t="str">
        <f>$B$2</f>
        <v>ft</v>
      </c>
      <c r="HA9" s="84"/>
      <c r="HB9" s="84"/>
      <c r="HC9" s="84"/>
      <c r="HD9" s="84"/>
      <c r="HE9" s="101"/>
      <c r="HF9" s="100" t="str">
        <f>$B$1</f>
        <v>USgpm</v>
      </c>
      <c r="HG9" s="83" t="str">
        <f>$B$2</f>
        <v>ft</v>
      </c>
      <c r="HH9" s="84"/>
      <c r="HI9" s="84"/>
      <c r="HJ9" s="84"/>
      <c r="HK9" s="84"/>
      <c r="HL9" s="75"/>
      <c r="HM9" s="82" t="str">
        <f>$B$1</f>
        <v>USgpm</v>
      </c>
      <c r="HN9" s="83" t="str">
        <f>IF(HN8="Eta","%",$B$4)</f>
        <v>hp</v>
      </c>
      <c r="HO9" s="84"/>
      <c r="HP9" s="84"/>
      <c r="HQ9" s="84"/>
      <c r="HR9" s="84"/>
      <c r="HS9" s="75"/>
      <c r="HT9" s="82" t="str">
        <f>$B$1</f>
        <v>USgpm</v>
      </c>
      <c r="HU9" s="83" t="str">
        <f>$B$2</f>
        <v>ft</v>
      </c>
      <c r="HV9" s="84"/>
      <c r="HW9" s="84"/>
      <c r="HX9" s="84"/>
      <c r="HY9" s="84"/>
      <c r="HZ9" s="101"/>
      <c r="IA9" s="100" t="str">
        <f>$B$1</f>
        <v>USgpm</v>
      </c>
      <c r="IB9" s="83" t="str">
        <f>$B$2</f>
        <v>ft</v>
      </c>
      <c r="IC9" s="84"/>
      <c r="ID9" s="84"/>
      <c r="IE9" s="84"/>
      <c r="IF9" s="84"/>
      <c r="IG9" s="75"/>
      <c r="IH9" s="82" t="str">
        <f>$B$1</f>
        <v>USgpm</v>
      </c>
      <c r="II9" s="83" t="str">
        <f>IF(II8="Eta","%",$B$4)</f>
        <v>hp</v>
      </c>
      <c r="IJ9" s="84"/>
      <c r="IK9" s="84"/>
      <c r="IL9" s="84"/>
      <c r="IM9" s="84"/>
      <c r="IN9" s="75"/>
      <c r="IO9" s="82" t="str">
        <f>$B$1</f>
        <v>USgpm</v>
      </c>
      <c r="IP9" s="83" t="str">
        <f>$B$2</f>
        <v>ft</v>
      </c>
      <c r="IQ9" s="84"/>
      <c r="IR9" s="84"/>
      <c r="IS9" s="84"/>
      <c r="IT9" s="84"/>
      <c r="IU9" s="101"/>
      <c r="IV9" s="113"/>
    </row>
    <row r="10" spans="1:256" x14ac:dyDescent="0.2">
      <c r="A10" s="64"/>
      <c r="B10" s="12"/>
      <c r="C10">
        <v>1</v>
      </c>
      <c r="D10" s="102"/>
      <c r="E10" s="87"/>
      <c r="F10" s="51" t="s">
        <v>81</v>
      </c>
      <c r="G10" s="51" t="s">
        <v>81</v>
      </c>
      <c r="H10" s="51" t="s">
        <v>81</v>
      </c>
      <c r="I10" s="51" t="s">
        <v>81</v>
      </c>
      <c r="J10" s="20"/>
      <c r="K10" s="21"/>
      <c r="L10" s="87"/>
      <c r="M10" s="51" t="s">
        <v>81</v>
      </c>
      <c r="N10" s="51" t="s">
        <v>81</v>
      </c>
      <c r="O10" s="51" t="s">
        <v>81</v>
      </c>
      <c r="P10" s="51" t="s">
        <v>81</v>
      </c>
      <c r="Q10" s="20"/>
      <c r="R10" s="21"/>
      <c r="S10" s="87"/>
      <c r="T10" s="51" t="s">
        <v>81</v>
      </c>
      <c r="U10" s="51" t="s">
        <v>81</v>
      </c>
      <c r="V10" s="51" t="s">
        <v>81</v>
      </c>
      <c r="W10" s="51" t="s">
        <v>81</v>
      </c>
      <c r="X10" s="103"/>
      <c r="Y10" s="102"/>
      <c r="Z10" s="87"/>
      <c r="AA10" s="51" t="s">
        <v>81</v>
      </c>
      <c r="AB10" s="51" t="s">
        <v>81</v>
      </c>
      <c r="AC10" s="51" t="s">
        <v>81</v>
      </c>
      <c r="AD10" s="51" t="s">
        <v>81</v>
      </c>
      <c r="AE10" s="20"/>
      <c r="AF10" s="21"/>
      <c r="AG10" s="87"/>
      <c r="AH10" s="51" t="s">
        <v>81</v>
      </c>
      <c r="AI10" s="51" t="s">
        <v>81</v>
      </c>
      <c r="AJ10" s="51" t="s">
        <v>81</v>
      </c>
      <c r="AK10" s="51" t="s">
        <v>81</v>
      </c>
      <c r="AL10" s="20"/>
      <c r="AM10" s="21"/>
      <c r="AN10" s="87"/>
      <c r="AO10" s="51" t="s">
        <v>81</v>
      </c>
      <c r="AP10" s="51" t="s">
        <v>81</v>
      </c>
      <c r="AQ10" s="51" t="s">
        <v>81</v>
      </c>
      <c r="AR10" s="51" t="s">
        <v>81</v>
      </c>
      <c r="AS10" s="103"/>
      <c r="AT10" s="102"/>
      <c r="AU10" s="87"/>
      <c r="AV10" s="51" t="s">
        <v>81</v>
      </c>
      <c r="AW10" s="51" t="s">
        <v>81</v>
      </c>
      <c r="AX10" s="51" t="s">
        <v>81</v>
      </c>
      <c r="AY10" s="51" t="s">
        <v>81</v>
      </c>
      <c r="AZ10" s="20"/>
      <c r="BA10" s="21"/>
      <c r="BB10" s="87"/>
      <c r="BC10" s="51" t="s">
        <v>81</v>
      </c>
      <c r="BD10" s="51" t="s">
        <v>81</v>
      </c>
      <c r="BE10" s="51" t="s">
        <v>81</v>
      </c>
      <c r="BF10" s="51" t="s">
        <v>81</v>
      </c>
      <c r="BG10" s="20"/>
      <c r="BH10" s="21"/>
      <c r="BI10" s="87"/>
      <c r="BJ10" s="51" t="s">
        <v>81</v>
      </c>
      <c r="BK10" s="51" t="s">
        <v>81</v>
      </c>
      <c r="BL10" s="51" t="s">
        <v>81</v>
      </c>
      <c r="BM10" s="51" t="s">
        <v>81</v>
      </c>
      <c r="BN10" s="103"/>
      <c r="BO10" s="102"/>
      <c r="BP10" s="87"/>
      <c r="BQ10" s="51" t="b">
        <v>0</v>
      </c>
      <c r="BR10" s="51" t="b">
        <v>0</v>
      </c>
      <c r="BS10" s="51" t="b">
        <v>0</v>
      </c>
      <c r="BT10" s="51" t="b">
        <v>0</v>
      </c>
      <c r="BU10" s="20"/>
      <c r="BV10" s="21"/>
      <c r="BW10" s="87"/>
      <c r="BX10" s="51" t="b">
        <v>0</v>
      </c>
      <c r="BY10" s="51" t="b">
        <v>0</v>
      </c>
      <c r="BZ10" s="51" t="b">
        <v>0</v>
      </c>
      <c r="CA10" s="51" t="b">
        <v>0</v>
      </c>
      <c r="CB10" s="20"/>
      <c r="CC10" s="21"/>
      <c r="CD10" s="87"/>
      <c r="CE10" s="51" t="b">
        <v>0</v>
      </c>
      <c r="CF10" s="51" t="b">
        <v>0</v>
      </c>
      <c r="CG10" s="51" t="b">
        <v>0</v>
      </c>
      <c r="CH10" s="51" t="b">
        <v>0</v>
      </c>
      <c r="CI10" s="103"/>
      <c r="CJ10" s="102"/>
      <c r="CK10" s="87"/>
      <c r="CL10" s="51" t="b">
        <v>0</v>
      </c>
      <c r="CM10" s="51" t="b">
        <v>0</v>
      </c>
      <c r="CN10" s="51" t="b">
        <v>0</v>
      </c>
      <c r="CO10" s="51" t="b">
        <v>0</v>
      </c>
      <c r="CP10" s="20"/>
      <c r="CQ10" s="21"/>
      <c r="CR10" s="87"/>
      <c r="CS10" s="51" t="b">
        <v>0</v>
      </c>
      <c r="CT10" s="51" t="b">
        <v>0</v>
      </c>
      <c r="CU10" s="51" t="b">
        <v>0</v>
      </c>
      <c r="CV10" s="51" t="b">
        <v>0</v>
      </c>
      <c r="CW10" s="20"/>
      <c r="CX10" s="21"/>
      <c r="CY10" s="87"/>
      <c r="CZ10" s="51" t="b">
        <v>0</v>
      </c>
      <c r="DA10" s="51" t="b">
        <v>0</v>
      </c>
      <c r="DB10" s="51" t="b">
        <v>0</v>
      </c>
      <c r="DC10" s="51" t="b">
        <v>0</v>
      </c>
      <c r="DD10" s="103"/>
      <c r="DE10" s="102"/>
      <c r="DF10" s="87"/>
      <c r="DG10" s="51" t="b">
        <v>0</v>
      </c>
      <c r="DH10" s="51" t="b">
        <v>0</v>
      </c>
      <c r="DI10" s="51" t="b">
        <v>0</v>
      </c>
      <c r="DJ10" s="51" t="b">
        <v>0</v>
      </c>
      <c r="DK10" s="20"/>
      <c r="DL10" s="21"/>
      <c r="DM10" s="87"/>
      <c r="DN10" s="51" t="b">
        <v>0</v>
      </c>
      <c r="DO10" s="51" t="b">
        <v>0</v>
      </c>
      <c r="DP10" s="51" t="b">
        <v>0</v>
      </c>
      <c r="DQ10" s="51" t="b">
        <v>0</v>
      </c>
      <c r="DR10" s="20"/>
      <c r="DS10" s="21"/>
      <c r="DT10" s="87"/>
      <c r="DU10" s="51" t="b">
        <v>0</v>
      </c>
      <c r="DV10" s="51" t="b">
        <v>0</v>
      </c>
      <c r="DW10" s="51" t="b">
        <v>0</v>
      </c>
      <c r="DX10" s="51" t="b">
        <v>0</v>
      </c>
      <c r="DY10" s="103"/>
      <c r="DZ10" s="102"/>
      <c r="EA10" s="87"/>
      <c r="EB10" s="51" t="b">
        <v>0</v>
      </c>
      <c r="EC10" s="51" t="b">
        <v>0</v>
      </c>
      <c r="ED10" s="51" t="b">
        <v>0</v>
      </c>
      <c r="EE10" s="51" t="b">
        <v>0</v>
      </c>
      <c r="EF10" s="20"/>
      <c r="EG10" s="21"/>
      <c r="EH10" s="87"/>
      <c r="EI10" s="51" t="b">
        <v>0</v>
      </c>
      <c r="EJ10" s="51" t="b">
        <v>0</v>
      </c>
      <c r="EK10" s="51" t="b">
        <v>0</v>
      </c>
      <c r="EL10" s="51" t="b">
        <v>0</v>
      </c>
      <c r="EM10" s="20"/>
      <c r="EN10" s="21"/>
      <c r="EO10" s="87"/>
      <c r="EP10" s="51" t="b">
        <v>0</v>
      </c>
      <c r="EQ10" s="51" t="b">
        <v>0</v>
      </c>
      <c r="ER10" s="51" t="b">
        <v>0</v>
      </c>
      <c r="ES10" s="51" t="b">
        <v>0</v>
      </c>
      <c r="ET10" s="103"/>
      <c r="EU10" s="102"/>
      <c r="EV10" s="87"/>
      <c r="EW10" s="51" t="b">
        <v>0</v>
      </c>
      <c r="EX10" s="51" t="b">
        <v>0</v>
      </c>
      <c r="EY10" s="51" t="b">
        <v>0</v>
      </c>
      <c r="EZ10" s="51" t="b">
        <v>0</v>
      </c>
      <c r="FA10" s="20"/>
      <c r="FB10" s="21"/>
      <c r="FC10" s="87"/>
      <c r="FD10" s="51" t="b">
        <v>0</v>
      </c>
      <c r="FE10" s="51" t="b">
        <v>0</v>
      </c>
      <c r="FF10" s="51" t="b">
        <v>0</v>
      </c>
      <c r="FG10" s="51" t="b">
        <v>0</v>
      </c>
      <c r="FH10" s="20"/>
      <c r="FI10" s="21"/>
      <c r="FJ10" s="87"/>
      <c r="FK10" s="51" t="b">
        <v>0</v>
      </c>
      <c r="FL10" s="51" t="b">
        <v>0</v>
      </c>
      <c r="FM10" s="51" t="b">
        <v>0</v>
      </c>
      <c r="FN10" s="51" t="b">
        <v>0</v>
      </c>
      <c r="FO10" s="103"/>
      <c r="FP10" s="102"/>
      <c r="FQ10" s="87"/>
      <c r="FR10" s="51" t="b">
        <v>0</v>
      </c>
      <c r="FS10" s="51" t="b">
        <v>0</v>
      </c>
      <c r="FT10" s="51" t="b">
        <v>0</v>
      </c>
      <c r="FU10" s="51" t="b">
        <v>0</v>
      </c>
      <c r="FV10" s="20"/>
      <c r="FW10" s="21"/>
      <c r="FX10" s="87"/>
      <c r="FY10" s="51" t="b">
        <v>0</v>
      </c>
      <c r="FZ10" s="51" t="b">
        <v>0</v>
      </c>
      <c r="GA10" s="51" t="b">
        <v>0</v>
      </c>
      <c r="GB10" s="51" t="b">
        <v>0</v>
      </c>
      <c r="GC10" s="20"/>
      <c r="GD10" s="21"/>
      <c r="GE10" s="87"/>
      <c r="GF10" s="51" t="b">
        <v>0</v>
      </c>
      <c r="GG10" s="51" t="b">
        <v>0</v>
      </c>
      <c r="GH10" s="51" t="b">
        <v>0</v>
      </c>
      <c r="GI10" s="51" t="b">
        <v>0</v>
      </c>
      <c r="GJ10" s="103"/>
      <c r="GK10" s="102"/>
      <c r="GL10" s="87"/>
      <c r="GM10" s="51" t="b">
        <v>0</v>
      </c>
      <c r="GN10" s="51" t="b">
        <v>0</v>
      </c>
      <c r="GO10" s="51" t="b">
        <v>0</v>
      </c>
      <c r="GP10" s="51" t="b">
        <v>0</v>
      </c>
      <c r="GQ10" s="20"/>
      <c r="GR10" s="21"/>
      <c r="GS10" s="87"/>
      <c r="GT10" s="51" t="b">
        <v>0</v>
      </c>
      <c r="GU10" s="51" t="b">
        <v>0</v>
      </c>
      <c r="GV10" s="51" t="b">
        <v>0</v>
      </c>
      <c r="GW10" s="51" t="b">
        <v>0</v>
      </c>
      <c r="GX10" s="20"/>
      <c r="GY10" s="21"/>
      <c r="GZ10" s="87"/>
      <c r="HA10" s="51" t="b">
        <v>0</v>
      </c>
      <c r="HB10" s="51" t="b">
        <v>0</v>
      </c>
      <c r="HC10" s="51" t="b">
        <v>0</v>
      </c>
      <c r="HD10" s="51" t="b">
        <v>0</v>
      </c>
      <c r="HE10" s="103"/>
      <c r="HF10" s="102"/>
      <c r="HG10" s="87"/>
      <c r="HH10" s="51" t="b">
        <v>0</v>
      </c>
      <c r="HI10" s="51" t="b">
        <v>0</v>
      </c>
      <c r="HJ10" s="51" t="b">
        <v>0</v>
      </c>
      <c r="HK10" s="51" t="b">
        <v>0</v>
      </c>
      <c r="HL10" s="20"/>
      <c r="HM10" s="21"/>
      <c r="HN10" s="87"/>
      <c r="HO10" s="51" t="b">
        <v>0</v>
      </c>
      <c r="HP10" s="51" t="b">
        <v>0</v>
      </c>
      <c r="HQ10" s="51" t="b">
        <v>0</v>
      </c>
      <c r="HR10" s="51" t="b">
        <v>0</v>
      </c>
      <c r="HS10" s="20"/>
      <c r="HT10" s="21"/>
      <c r="HU10" s="87"/>
      <c r="HV10" s="51" t="b">
        <v>0</v>
      </c>
      <c r="HW10" s="51" t="b">
        <v>0</v>
      </c>
      <c r="HX10" s="51" t="b">
        <v>0</v>
      </c>
      <c r="HY10" s="51" t="b">
        <v>0</v>
      </c>
      <c r="HZ10" s="103"/>
      <c r="IA10" s="102"/>
      <c r="IB10" s="87"/>
      <c r="IC10" s="51" t="b">
        <v>0</v>
      </c>
      <c r="ID10" s="51" t="b">
        <v>0</v>
      </c>
      <c r="IE10" s="51" t="b">
        <v>0</v>
      </c>
      <c r="IF10" s="51" t="b">
        <v>0</v>
      </c>
      <c r="IG10" s="20"/>
      <c r="IH10" s="21"/>
      <c r="II10" s="87"/>
      <c r="IJ10" s="51" t="b">
        <v>0</v>
      </c>
      <c r="IK10" s="51" t="b">
        <v>0</v>
      </c>
      <c r="IL10" s="51" t="b">
        <v>0</v>
      </c>
      <c r="IM10" s="51" t="b">
        <v>0</v>
      </c>
      <c r="IN10" s="20"/>
      <c r="IO10" s="21"/>
      <c r="IP10" s="87"/>
      <c r="IQ10" s="51" t="b">
        <v>0</v>
      </c>
      <c r="IR10" s="51" t="b">
        <v>0</v>
      </c>
      <c r="IS10" s="51" t="b">
        <v>0</v>
      </c>
      <c r="IT10" s="51" t="b">
        <v>0</v>
      </c>
      <c r="IU10" s="103"/>
      <c r="IV10" s="112"/>
    </row>
    <row r="11" spans="1:256" x14ac:dyDescent="0.2">
      <c r="A11" s="65"/>
      <c r="B11" s="14"/>
      <c r="C11">
        <v>2</v>
      </c>
      <c r="D11" s="102"/>
      <c r="E11" s="51"/>
      <c r="F11" s="51" t="s">
        <v>81</v>
      </c>
      <c r="G11" s="51" t="s">
        <v>81</v>
      </c>
      <c r="H11" s="51" t="s">
        <v>81</v>
      </c>
      <c r="I11" s="51" t="s">
        <v>81</v>
      </c>
      <c r="J11" s="20"/>
      <c r="K11" s="21"/>
      <c r="L11" s="51"/>
      <c r="M11" s="51" t="s">
        <v>81</v>
      </c>
      <c r="N11" s="51" t="s">
        <v>81</v>
      </c>
      <c r="O11" s="51" t="s">
        <v>81</v>
      </c>
      <c r="P11" s="51" t="s">
        <v>81</v>
      </c>
      <c r="Q11" s="20"/>
      <c r="R11" s="21"/>
      <c r="S11" s="51"/>
      <c r="T11" s="51" t="s">
        <v>81</v>
      </c>
      <c r="U11" s="51" t="s">
        <v>81</v>
      </c>
      <c r="V11" s="51" t="s">
        <v>81</v>
      </c>
      <c r="W11" s="51" t="s">
        <v>81</v>
      </c>
      <c r="X11" s="103"/>
      <c r="Y11" s="102"/>
      <c r="Z11" s="51"/>
      <c r="AA11" s="51" t="s">
        <v>81</v>
      </c>
      <c r="AB11" s="51" t="s">
        <v>81</v>
      </c>
      <c r="AC11" s="51" t="s">
        <v>81</v>
      </c>
      <c r="AD11" s="51" t="s">
        <v>81</v>
      </c>
      <c r="AE11" s="20"/>
      <c r="AF11" s="21"/>
      <c r="AG11" s="51"/>
      <c r="AH11" s="51" t="s">
        <v>81</v>
      </c>
      <c r="AI11" s="51" t="s">
        <v>81</v>
      </c>
      <c r="AJ11" s="51" t="s">
        <v>81</v>
      </c>
      <c r="AK11" s="51" t="s">
        <v>81</v>
      </c>
      <c r="AL11" s="20"/>
      <c r="AM11" s="21"/>
      <c r="AN11" s="51"/>
      <c r="AO11" s="51" t="s">
        <v>81</v>
      </c>
      <c r="AP11" s="51" t="s">
        <v>81</v>
      </c>
      <c r="AQ11" s="51" t="s">
        <v>81</v>
      </c>
      <c r="AR11" s="51" t="s">
        <v>81</v>
      </c>
      <c r="AS11" s="103"/>
      <c r="AT11" s="102"/>
      <c r="AU11" s="51"/>
      <c r="AV11" s="51" t="s">
        <v>81</v>
      </c>
      <c r="AW11" s="51" t="s">
        <v>81</v>
      </c>
      <c r="AX11" s="51" t="s">
        <v>81</v>
      </c>
      <c r="AY11" s="51" t="s">
        <v>81</v>
      </c>
      <c r="AZ11" s="20"/>
      <c r="BA11" s="21"/>
      <c r="BB11" s="51"/>
      <c r="BC11" s="51" t="s">
        <v>81</v>
      </c>
      <c r="BD11" s="51" t="s">
        <v>81</v>
      </c>
      <c r="BE11" s="51" t="s">
        <v>81</v>
      </c>
      <c r="BF11" s="51" t="s">
        <v>81</v>
      </c>
      <c r="BG11" s="20"/>
      <c r="BH11" s="21"/>
      <c r="BI11" s="51"/>
      <c r="BJ11" s="51" t="s">
        <v>81</v>
      </c>
      <c r="BK11" s="51" t="s">
        <v>81</v>
      </c>
      <c r="BL11" s="51" t="s">
        <v>81</v>
      </c>
      <c r="BM11" s="51" t="s">
        <v>81</v>
      </c>
      <c r="BN11" s="103"/>
      <c r="BO11" s="102"/>
      <c r="BP11" s="51"/>
      <c r="BQ11" s="51" t="b">
        <v>0</v>
      </c>
      <c r="BR11" s="51" t="b">
        <v>0</v>
      </c>
      <c r="BS11" s="51" t="b">
        <v>0</v>
      </c>
      <c r="BT11" s="51" t="b">
        <v>0</v>
      </c>
      <c r="BU11" s="20"/>
      <c r="BV11" s="21"/>
      <c r="BW11" s="51"/>
      <c r="BX11" s="51" t="b">
        <v>0</v>
      </c>
      <c r="BY11" s="51" t="b">
        <v>0</v>
      </c>
      <c r="BZ11" s="51" t="b">
        <v>0</v>
      </c>
      <c r="CA11" s="51" t="b">
        <v>0</v>
      </c>
      <c r="CB11" s="20"/>
      <c r="CC11" s="21"/>
      <c r="CD11" s="51"/>
      <c r="CE11" s="51" t="b">
        <v>0</v>
      </c>
      <c r="CF11" s="51" t="b">
        <v>0</v>
      </c>
      <c r="CG11" s="51" t="b">
        <v>0</v>
      </c>
      <c r="CH11" s="51" t="b">
        <v>0</v>
      </c>
      <c r="CI11" s="103"/>
      <c r="CJ11" s="102"/>
      <c r="CK11" s="51"/>
      <c r="CL11" s="51" t="b">
        <v>0</v>
      </c>
      <c r="CM11" s="51" t="b">
        <v>0</v>
      </c>
      <c r="CN11" s="51" t="b">
        <v>0</v>
      </c>
      <c r="CO11" s="51" t="b">
        <v>0</v>
      </c>
      <c r="CP11" s="20"/>
      <c r="CQ11" s="21"/>
      <c r="CR11" s="51"/>
      <c r="CS11" s="51" t="b">
        <v>0</v>
      </c>
      <c r="CT11" s="51" t="b">
        <v>0</v>
      </c>
      <c r="CU11" s="51" t="b">
        <v>0</v>
      </c>
      <c r="CV11" s="51" t="b">
        <v>0</v>
      </c>
      <c r="CW11" s="20"/>
      <c r="CX11" s="21"/>
      <c r="CY11" s="51"/>
      <c r="CZ11" s="51" t="b">
        <v>0</v>
      </c>
      <c r="DA11" s="51" t="b">
        <v>0</v>
      </c>
      <c r="DB11" s="51" t="b">
        <v>0</v>
      </c>
      <c r="DC11" s="51" t="b">
        <v>0</v>
      </c>
      <c r="DD11" s="103"/>
      <c r="DE11" s="102"/>
      <c r="DF11" s="51"/>
      <c r="DG11" s="51" t="b">
        <v>0</v>
      </c>
      <c r="DH11" s="51" t="b">
        <v>0</v>
      </c>
      <c r="DI11" s="51" t="b">
        <v>0</v>
      </c>
      <c r="DJ11" s="51" t="b">
        <v>0</v>
      </c>
      <c r="DK11" s="20"/>
      <c r="DL11" s="21"/>
      <c r="DM11" s="51"/>
      <c r="DN11" s="51" t="b">
        <v>0</v>
      </c>
      <c r="DO11" s="51" t="b">
        <v>0</v>
      </c>
      <c r="DP11" s="51" t="b">
        <v>0</v>
      </c>
      <c r="DQ11" s="51" t="b">
        <v>0</v>
      </c>
      <c r="DR11" s="20"/>
      <c r="DS11" s="21"/>
      <c r="DT11" s="51"/>
      <c r="DU11" s="51" t="b">
        <v>0</v>
      </c>
      <c r="DV11" s="51" t="b">
        <v>0</v>
      </c>
      <c r="DW11" s="51" t="b">
        <v>0</v>
      </c>
      <c r="DX11" s="51" t="b">
        <v>0</v>
      </c>
      <c r="DY11" s="103"/>
      <c r="DZ11" s="102"/>
      <c r="EA11" s="51"/>
      <c r="EB11" s="51" t="b">
        <v>0</v>
      </c>
      <c r="EC11" s="51" t="b">
        <v>0</v>
      </c>
      <c r="ED11" s="51" t="b">
        <v>0</v>
      </c>
      <c r="EE11" s="51" t="b">
        <v>0</v>
      </c>
      <c r="EF11" s="20"/>
      <c r="EG11" s="21"/>
      <c r="EH11" s="51"/>
      <c r="EI11" s="51" t="b">
        <v>0</v>
      </c>
      <c r="EJ11" s="51" t="b">
        <v>0</v>
      </c>
      <c r="EK11" s="51" t="b">
        <v>0</v>
      </c>
      <c r="EL11" s="51" t="b">
        <v>0</v>
      </c>
      <c r="EM11" s="20"/>
      <c r="EN11" s="21"/>
      <c r="EO11" s="51"/>
      <c r="EP11" s="51" t="b">
        <v>0</v>
      </c>
      <c r="EQ11" s="51" t="b">
        <v>0</v>
      </c>
      <c r="ER11" s="51" t="b">
        <v>0</v>
      </c>
      <c r="ES11" s="51" t="b">
        <v>0</v>
      </c>
      <c r="ET11" s="103"/>
      <c r="EU11" s="102"/>
      <c r="EV11" s="51"/>
      <c r="EW11" s="51" t="b">
        <v>0</v>
      </c>
      <c r="EX11" s="51" t="b">
        <v>0</v>
      </c>
      <c r="EY11" s="51" t="b">
        <v>0</v>
      </c>
      <c r="EZ11" s="51" t="b">
        <v>0</v>
      </c>
      <c r="FA11" s="20"/>
      <c r="FB11" s="21"/>
      <c r="FC11" s="51"/>
      <c r="FD11" s="51" t="b">
        <v>0</v>
      </c>
      <c r="FE11" s="51" t="b">
        <v>0</v>
      </c>
      <c r="FF11" s="51" t="b">
        <v>0</v>
      </c>
      <c r="FG11" s="51" t="b">
        <v>0</v>
      </c>
      <c r="FH11" s="20"/>
      <c r="FI11" s="21"/>
      <c r="FJ11" s="51"/>
      <c r="FK11" s="51" t="b">
        <v>0</v>
      </c>
      <c r="FL11" s="51" t="b">
        <v>0</v>
      </c>
      <c r="FM11" s="51" t="b">
        <v>0</v>
      </c>
      <c r="FN11" s="51" t="b">
        <v>0</v>
      </c>
      <c r="FO11" s="103"/>
      <c r="FP11" s="102"/>
      <c r="FQ11" s="51"/>
      <c r="FR11" s="51" t="b">
        <v>0</v>
      </c>
      <c r="FS11" s="51" t="b">
        <v>0</v>
      </c>
      <c r="FT11" s="51" t="b">
        <v>0</v>
      </c>
      <c r="FU11" s="51" t="b">
        <v>0</v>
      </c>
      <c r="FV11" s="20"/>
      <c r="FW11" s="21"/>
      <c r="FX11" s="51"/>
      <c r="FY11" s="51" t="b">
        <v>0</v>
      </c>
      <c r="FZ11" s="51" t="b">
        <v>0</v>
      </c>
      <c r="GA11" s="51" t="b">
        <v>0</v>
      </c>
      <c r="GB11" s="51" t="b">
        <v>0</v>
      </c>
      <c r="GC11" s="20"/>
      <c r="GD11" s="21"/>
      <c r="GE11" s="51"/>
      <c r="GF11" s="51" t="b">
        <v>0</v>
      </c>
      <c r="GG11" s="51" t="b">
        <v>0</v>
      </c>
      <c r="GH11" s="51" t="b">
        <v>0</v>
      </c>
      <c r="GI11" s="51" t="b">
        <v>0</v>
      </c>
      <c r="GJ11" s="103"/>
      <c r="GK11" s="102"/>
      <c r="GL11" s="51"/>
      <c r="GM11" s="51" t="b">
        <v>0</v>
      </c>
      <c r="GN11" s="51" t="b">
        <v>0</v>
      </c>
      <c r="GO11" s="51" t="b">
        <v>0</v>
      </c>
      <c r="GP11" s="51" t="b">
        <v>0</v>
      </c>
      <c r="GQ11" s="20"/>
      <c r="GR11" s="21"/>
      <c r="GS11" s="51"/>
      <c r="GT11" s="51" t="b">
        <v>0</v>
      </c>
      <c r="GU11" s="51" t="b">
        <v>0</v>
      </c>
      <c r="GV11" s="51" t="b">
        <v>0</v>
      </c>
      <c r="GW11" s="51" t="b">
        <v>0</v>
      </c>
      <c r="GX11" s="20"/>
      <c r="GY11" s="21"/>
      <c r="GZ11" s="51"/>
      <c r="HA11" s="51" t="b">
        <v>0</v>
      </c>
      <c r="HB11" s="51" t="b">
        <v>0</v>
      </c>
      <c r="HC11" s="51" t="b">
        <v>0</v>
      </c>
      <c r="HD11" s="51" t="b">
        <v>0</v>
      </c>
      <c r="HE11" s="103"/>
      <c r="HF11" s="102"/>
      <c r="HG11" s="51"/>
      <c r="HH11" s="51" t="b">
        <v>0</v>
      </c>
      <c r="HI11" s="51" t="b">
        <v>0</v>
      </c>
      <c r="HJ11" s="51" t="b">
        <v>0</v>
      </c>
      <c r="HK11" s="51" t="b">
        <v>0</v>
      </c>
      <c r="HL11" s="20"/>
      <c r="HM11" s="21"/>
      <c r="HN11" s="51"/>
      <c r="HO11" s="51" t="b">
        <v>0</v>
      </c>
      <c r="HP11" s="51" t="b">
        <v>0</v>
      </c>
      <c r="HQ11" s="51" t="b">
        <v>0</v>
      </c>
      <c r="HR11" s="51" t="b">
        <v>0</v>
      </c>
      <c r="HS11" s="20"/>
      <c r="HT11" s="21"/>
      <c r="HU11" s="51"/>
      <c r="HV11" s="51" t="b">
        <v>0</v>
      </c>
      <c r="HW11" s="51" t="b">
        <v>0</v>
      </c>
      <c r="HX11" s="51" t="b">
        <v>0</v>
      </c>
      <c r="HY11" s="51" t="b">
        <v>0</v>
      </c>
      <c r="HZ11" s="103"/>
      <c r="IA11" s="102"/>
      <c r="IB11" s="51"/>
      <c r="IC11" s="51" t="b">
        <v>0</v>
      </c>
      <c r="ID11" s="51" t="b">
        <v>0</v>
      </c>
      <c r="IE11" s="51" t="b">
        <v>0</v>
      </c>
      <c r="IF11" s="51" t="b">
        <v>0</v>
      </c>
      <c r="IG11" s="20"/>
      <c r="IH11" s="21"/>
      <c r="II11" s="51"/>
      <c r="IJ11" s="51" t="b">
        <v>0</v>
      </c>
      <c r="IK11" s="51" t="b">
        <v>0</v>
      </c>
      <c r="IL11" s="51" t="b">
        <v>0</v>
      </c>
      <c r="IM11" s="51" t="b">
        <v>0</v>
      </c>
      <c r="IN11" s="20"/>
      <c r="IO11" s="21"/>
      <c r="IP11" s="51"/>
      <c r="IQ11" s="51" t="b">
        <v>0</v>
      </c>
      <c r="IR11" s="51" t="b">
        <v>0</v>
      </c>
      <c r="IS11" s="51" t="b">
        <v>0</v>
      </c>
      <c r="IT11" s="51" t="b">
        <v>0</v>
      </c>
      <c r="IU11" s="103"/>
      <c r="IV11" s="112"/>
    </row>
    <row r="12" spans="1:256" x14ac:dyDescent="0.2">
      <c r="A12" s="65"/>
      <c r="B12" s="14"/>
      <c r="C12">
        <v>3</v>
      </c>
      <c r="D12" s="102"/>
      <c r="E12" s="51"/>
      <c r="F12" s="51" t="s">
        <v>81</v>
      </c>
      <c r="G12" s="51" t="s">
        <v>81</v>
      </c>
      <c r="H12" s="51" t="s">
        <v>81</v>
      </c>
      <c r="I12" s="51" t="s">
        <v>81</v>
      </c>
      <c r="J12" s="20"/>
      <c r="K12" s="21"/>
      <c r="L12" s="51"/>
      <c r="M12" s="51" t="s">
        <v>81</v>
      </c>
      <c r="N12" s="51" t="s">
        <v>81</v>
      </c>
      <c r="O12" s="51" t="s">
        <v>81</v>
      </c>
      <c r="P12" s="51" t="s">
        <v>81</v>
      </c>
      <c r="Q12" s="20"/>
      <c r="R12" s="21"/>
      <c r="S12" s="51"/>
      <c r="T12" s="51" t="s">
        <v>81</v>
      </c>
      <c r="U12" s="51" t="s">
        <v>81</v>
      </c>
      <c r="V12" s="51" t="s">
        <v>81</v>
      </c>
      <c r="W12" s="51" t="s">
        <v>81</v>
      </c>
      <c r="X12" s="103"/>
      <c r="Y12" s="102"/>
      <c r="Z12" s="51"/>
      <c r="AA12" s="51" t="s">
        <v>81</v>
      </c>
      <c r="AB12" s="51" t="s">
        <v>81</v>
      </c>
      <c r="AC12" s="51" t="s">
        <v>81</v>
      </c>
      <c r="AD12" s="51" t="s">
        <v>81</v>
      </c>
      <c r="AE12" s="20"/>
      <c r="AF12" s="21"/>
      <c r="AG12" s="51"/>
      <c r="AH12" s="51" t="s">
        <v>81</v>
      </c>
      <c r="AI12" s="51" t="s">
        <v>81</v>
      </c>
      <c r="AJ12" s="51" t="s">
        <v>81</v>
      </c>
      <c r="AK12" s="51" t="s">
        <v>81</v>
      </c>
      <c r="AL12" s="20"/>
      <c r="AM12" s="21"/>
      <c r="AN12" s="51"/>
      <c r="AO12" s="51" t="s">
        <v>81</v>
      </c>
      <c r="AP12" s="51" t="s">
        <v>81</v>
      </c>
      <c r="AQ12" s="51" t="s">
        <v>81</v>
      </c>
      <c r="AR12" s="51" t="s">
        <v>81</v>
      </c>
      <c r="AS12" s="103"/>
      <c r="AT12" s="102"/>
      <c r="AU12" s="51"/>
      <c r="AV12" s="51" t="s">
        <v>81</v>
      </c>
      <c r="AW12" s="51" t="s">
        <v>81</v>
      </c>
      <c r="AX12" s="51" t="s">
        <v>81</v>
      </c>
      <c r="AY12" s="51" t="s">
        <v>81</v>
      </c>
      <c r="AZ12" s="20"/>
      <c r="BA12" s="21"/>
      <c r="BB12" s="51"/>
      <c r="BC12" s="51" t="s">
        <v>81</v>
      </c>
      <c r="BD12" s="51" t="s">
        <v>81</v>
      </c>
      <c r="BE12" s="51" t="s">
        <v>81</v>
      </c>
      <c r="BF12" s="51" t="s">
        <v>81</v>
      </c>
      <c r="BG12" s="20"/>
      <c r="BH12" s="21"/>
      <c r="BI12" s="51"/>
      <c r="BJ12" s="51" t="s">
        <v>81</v>
      </c>
      <c r="BK12" s="51" t="s">
        <v>81</v>
      </c>
      <c r="BL12" s="51" t="s">
        <v>81</v>
      </c>
      <c r="BM12" s="51" t="s">
        <v>81</v>
      </c>
      <c r="BN12" s="103"/>
      <c r="BO12" s="102"/>
      <c r="BP12" s="51"/>
      <c r="BQ12" s="51" t="b">
        <v>0</v>
      </c>
      <c r="BR12" s="51" t="b">
        <v>0</v>
      </c>
      <c r="BS12" s="51" t="b">
        <v>0</v>
      </c>
      <c r="BT12" s="51" t="b">
        <v>0</v>
      </c>
      <c r="BU12" s="20"/>
      <c r="BV12" s="21"/>
      <c r="BW12" s="51"/>
      <c r="BX12" s="51" t="b">
        <v>0</v>
      </c>
      <c r="BY12" s="51" t="b">
        <v>0</v>
      </c>
      <c r="BZ12" s="51" t="b">
        <v>0</v>
      </c>
      <c r="CA12" s="51" t="b">
        <v>0</v>
      </c>
      <c r="CB12" s="20"/>
      <c r="CC12" s="21"/>
      <c r="CD12" s="51"/>
      <c r="CE12" s="51" t="b">
        <v>0</v>
      </c>
      <c r="CF12" s="51" t="b">
        <v>0</v>
      </c>
      <c r="CG12" s="51" t="b">
        <v>0</v>
      </c>
      <c r="CH12" s="51" t="b">
        <v>0</v>
      </c>
      <c r="CI12" s="103"/>
      <c r="CJ12" s="102"/>
      <c r="CK12" s="51"/>
      <c r="CL12" s="51" t="b">
        <v>0</v>
      </c>
      <c r="CM12" s="51" t="b">
        <v>0</v>
      </c>
      <c r="CN12" s="51" t="b">
        <v>0</v>
      </c>
      <c r="CO12" s="51" t="b">
        <v>0</v>
      </c>
      <c r="CP12" s="20"/>
      <c r="CQ12" s="21"/>
      <c r="CR12" s="51"/>
      <c r="CS12" s="51" t="b">
        <v>0</v>
      </c>
      <c r="CT12" s="51" t="b">
        <v>0</v>
      </c>
      <c r="CU12" s="51" t="b">
        <v>0</v>
      </c>
      <c r="CV12" s="51" t="b">
        <v>0</v>
      </c>
      <c r="CW12" s="20"/>
      <c r="CX12" s="21"/>
      <c r="CY12" s="51"/>
      <c r="CZ12" s="51" t="b">
        <v>0</v>
      </c>
      <c r="DA12" s="51" t="b">
        <v>0</v>
      </c>
      <c r="DB12" s="51" t="b">
        <v>0</v>
      </c>
      <c r="DC12" s="51" t="b">
        <v>0</v>
      </c>
      <c r="DD12" s="103"/>
      <c r="DE12" s="102"/>
      <c r="DF12" s="51"/>
      <c r="DG12" s="51" t="b">
        <v>0</v>
      </c>
      <c r="DH12" s="51" t="b">
        <v>0</v>
      </c>
      <c r="DI12" s="51" t="b">
        <v>0</v>
      </c>
      <c r="DJ12" s="51" t="b">
        <v>0</v>
      </c>
      <c r="DK12" s="20"/>
      <c r="DL12" s="21"/>
      <c r="DM12" s="51"/>
      <c r="DN12" s="51" t="b">
        <v>0</v>
      </c>
      <c r="DO12" s="51" t="b">
        <v>0</v>
      </c>
      <c r="DP12" s="51" t="b">
        <v>0</v>
      </c>
      <c r="DQ12" s="51" t="b">
        <v>0</v>
      </c>
      <c r="DR12" s="20"/>
      <c r="DS12" s="21"/>
      <c r="DT12" s="51"/>
      <c r="DU12" s="51" t="b">
        <v>0</v>
      </c>
      <c r="DV12" s="51" t="b">
        <v>0</v>
      </c>
      <c r="DW12" s="51" t="b">
        <v>0</v>
      </c>
      <c r="DX12" s="51" t="b">
        <v>0</v>
      </c>
      <c r="DY12" s="103"/>
      <c r="DZ12" s="102"/>
      <c r="EA12" s="51"/>
      <c r="EB12" s="51" t="b">
        <v>0</v>
      </c>
      <c r="EC12" s="51" t="b">
        <v>0</v>
      </c>
      <c r="ED12" s="51" t="b">
        <v>0</v>
      </c>
      <c r="EE12" s="51" t="b">
        <v>0</v>
      </c>
      <c r="EF12" s="20"/>
      <c r="EG12" s="21"/>
      <c r="EH12" s="51"/>
      <c r="EI12" s="51" t="b">
        <v>0</v>
      </c>
      <c r="EJ12" s="51" t="b">
        <v>0</v>
      </c>
      <c r="EK12" s="51" t="b">
        <v>0</v>
      </c>
      <c r="EL12" s="51" t="b">
        <v>0</v>
      </c>
      <c r="EM12" s="20"/>
      <c r="EN12" s="21"/>
      <c r="EO12" s="51"/>
      <c r="EP12" s="51" t="b">
        <v>0</v>
      </c>
      <c r="EQ12" s="51" t="b">
        <v>0</v>
      </c>
      <c r="ER12" s="51" t="b">
        <v>0</v>
      </c>
      <c r="ES12" s="51" t="b">
        <v>0</v>
      </c>
      <c r="ET12" s="103"/>
      <c r="EU12" s="102"/>
      <c r="EV12" s="51"/>
      <c r="EW12" s="51" t="b">
        <v>0</v>
      </c>
      <c r="EX12" s="51" t="b">
        <v>0</v>
      </c>
      <c r="EY12" s="51" t="b">
        <v>0</v>
      </c>
      <c r="EZ12" s="51" t="b">
        <v>0</v>
      </c>
      <c r="FA12" s="20"/>
      <c r="FB12" s="21"/>
      <c r="FC12" s="51"/>
      <c r="FD12" s="51" t="b">
        <v>0</v>
      </c>
      <c r="FE12" s="51" t="b">
        <v>0</v>
      </c>
      <c r="FF12" s="51" t="b">
        <v>0</v>
      </c>
      <c r="FG12" s="51" t="b">
        <v>0</v>
      </c>
      <c r="FH12" s="20"/>
      <c r="FI12" s="21"/>
      <c r="FJ12" s="51"/>
      <c r="FK12" s="51" t="b">
        <v>0</v>
      </c>
      <c r="FL12" s="51" t="b">
        <v>0</v>
      </c>
      <c r="FM12" s="51" t="b">
        <v>0</v>
      </c>
      <c r="FN12" s="51" t="b">
        <v>0</v>
      </c>
      <c r="FO12" s="103"/>
      <c r="FP12" s="102"/>
      <c r="FQ12" s="51"/>
      <c r="FR12" s="51" t="b">
        <v>0</v>
      </c>
      <c r="FS12" s="51" t="b">
        <v>0</v>
      </c>
      <c r="FT12" s="51" t="b">
        <v>0</v>
      </c>
      <c r="FU12" s="51" t="b">
        <v>0</v>
      </c>
      <c r="FV12" s="20"/>
      <c r="FW12" s="21"/>
      <c r="FX12" s="51"/>
      <c r="FY12" s="51" t="b">
        <v>0</v>
      </c>
      <c r="FZ12" s="51" t="b">
        <v>0</v>
      </c>
      <c r="GA12" s="51" t="b">
        <v>0</v>
      </c>
      <c r="GB12" s="51" t="b">
        <v>0</v>
      </c>
      <c r="GC12" s="20"/>
      <c r="GD12" s="21"/>
      <c r="GE12" s="51"/>
      <c r="GF12" s="51" t="b">
        <v>0</v>
      </c>
      <c r="GG12" s="51" t="b">
        <v>0</v>
      </c>
      <c r="GH12" s="51" t="b">
        <v>0</v>
      </c>
      <c r="GI12" s="51" t="b">
        <v>0</v>
      </c>
      <c r="GJ12" s="103"/>
      <c r="GK12" s="102"/>
      <c r="GL12" s="51"/>
      <c r="GM12" s="51" t="b">
        <v>0</v>
      </c>
      <c r="GN12" s="51" t="b">
        <v>0</v>
      </c>
      <c r="GO12" s="51" t="b">
        <v>0</v>
      </c>
      <c r="GP12" s="51" t="b">
        <v>0</v>
      </c>
      <c r="GQ12" s="20"/>
      <c r="GR12" s="21"/>
      <c r="GS12" s="51"/>
      <c r="GT12" s="51" t="b">
        <v>0</v>
      </c>
      <c r="GU12" s="51" t="b">
        <v>0</v>
      </c>
      <c r="GV12" s="51" t="b">
        <v>0</v>
      </c>
      <c r="GW12" s="51" t="b">
        <v>0</v>
      </c>
      <c r="GX12" s="20"/>
      <c r="GY12" s="21"/>
      <c r="GZ12" s="51"/>
      <c r="HA12" s="51" t="b">
        <v>0</v>
      </c>
      <c r="HB12" s="51" t="b">
        <v>0</v>
      </c>
      <c r="HC12" s="51" t="b">
        <v>0</v>
      </c>
      <c r="HD12" s="51" t="b">
        <v>0</v>
      </c>
      <c r="HE12" s="103"/>
      <c r="HF12" s="102"/>
      <c r="HG12" s="51"/>
      <c r="HH12" s="51" t="b">
        <v>0</v>
      </c>
      <c r="HI12" s="51" t="b">
        <v>0</v>
      </c>
      <c r="HJ12" s="51" t="b">
        <v>0</v>
      </c>
      <c r="HK12" s="51" t="b">
        <v>0</v>
      </c>
      <c r="HL12" s="20"/>
      <c r="HM12" s="21"/>
      <c r="HN12" s="51"/>
      <c r="HO12" s="51" t="b">
        <v>0</v>
      </c>
      <c r="HP12" s="51" t="b">
        <v>0</v>
      </c>
      <c r="HQ12" s="51" t="b">
        <v>0</v>
      </c>
      <c r="HR12" s="51" t="b">
        <v>0</v>
      </c>
      <c r="HS12" s="20"/>
      <c r="HT12" s="21"/>
      <c r="HU12" s="51"/>
      <c r="HV12" s="51" t="b">
        <v>0</v>
      </c>
      <c r="HW12" s="51" t="b">
        <v>0</v>
      </c>
      <c r="HX12" s="51" t="b">
        <v>0</v>
      </c>
      <c r="HY12" s="51" t="b">
        <v>0</v>
      </c>
      <c r="HZ12" s="103"/>
      <c r="IA12" s="102"/>
      <c r="IB12" s="51"/>
      <c r="IC12" s="51" t="b">
        <v>0</v>
      </c>
      <c r="ID12" s="51" t="b">
        <v>0</v>
      </c>
      <c r="IE12" s="51" t="b">
        <v>0</v>
      </c>
      <c r="IF12" s="51" t="b">
        <v>0</v>
      </c>
      <c r="IG12" s="20"/>
      <c r="IH12" s="21"/>
      <c r="II12" s="51"/>
      <c r="IJ12" s="51" t="b">
        <v>0</v>
      </c>
      <c r="IK12" s="51" t="b">
        <v>0</v>
      </c>
      <c r="IL12" s="51" t="b">
        <v>0</v>
      </c>
      <c r="IM12" s="51" t="b">
        <v>0</v>
      </c>
      <c r="IN12" s="20"/>
      <c r="IO12" s="21"/>
      <c r="IP12" s="51"/>
      <c r="IQ12" s="51" t="b">
        <v>0</v>
      </c>
      <c r="IR12" s="51" t="b">
        <v>0</v>
      </c>
      <c r="IS12" s="51" t="b">
        <v>0</v>
      </c>
      <c r="IT12" s="51" t="b">
        <v>0</v>
      </c>
      <c r="IU12" s="103"/>
      <c r="IV12" s="112"/>
    </row>
    <row r="13" spans="1:256" x14ac:dyDescent="0.2">
      <c r="A13" s="65"/>
      <c r="B13" s="14"/>
      <c r="C13">
        <v>4</v>
      </c>
      <c r="D13" s="102"/>
      <c r="E13" s="71"/>
      <c r="F13" s="51" t="s">
        <v>81</v>
      </c>
      <c r="G13" s="51" t="s">
        <v>81</v>
      </c>
      <c r="H13" s="51" t="s">
        <v>81</v>
      </c>
      <c r="I13" s="51" t="s">
        <v>81</v>
      </c>
      <c r="J13" s="20"/>
      <c r="K13" s="21"/>
      <c r="L13" s="71"/>
      <c r="M13" s="51" t="s">
        <v>81</v>
      </c>
      <c r="N13" s="51" t="s">
        <v>81</v>
      </c>
      <c r="O13" s="51" t="s">
        <v>81</v>
      </c>
      <c r="P13" s="51" t="s">
        <v>81</v>
      </c>
      <c r="Q13" s="20"/>
      <c r="R13" s="21"/>
      <c r="S13" s="71"/>
      <c r="T13" s="51" t="s">
        <v>81</v>
      </c>
      <c r="U13" s="51" t="s">
        <v>81</v>
      </c>
      <c r="V13" s="51" t="s">
        <v>81</v>
      </c>
      <c r="W13" s="51" t="s">
        <v>81</v>
      </c>
      <c r="X13" s="103"/>
      <c r="Y13" s="102"/>
      <c r="Z13" s="71"/>
      <c r="AA13" s="51" t="s">
        <v>81</v>
      </c>
      <c r="AB13" s="51" t="s">
        <v>81</v>
      </c>
      <c r="AC13" s="51" t="s">
        <v>81</v>
      </c>
      <c r="AD13" s="51" t="s">
        <v>81</v>
      </c>
      <c r="AE13" s="20"/>
      <c r="AF13" s="21"/>
      <c r="AG13" s="71"/>
      <c r="AH13" s="51" t="s">
        <v>81</v>
      </c>
      <c r="AI13" s="51" t="s">
        <v>81</v>
      </c>
      <c r="AJ13" s="51" t="s">
        <v>81</v>
      </c>
      <c r="AK13" s="51" t="s">
        <v>81</v>
      </c>
      <c r="AL13" s="20"/>
      <c r="AM13" s="21"/>
      <c r="AN13" s="71"/>
      <c r="AO13" s="51" t="s">
        <v>81</v>
      </c>
      <c r="AP13" s="51" t="s">
        <v>81</v>
      </c>
      <c r="AQ13" s="51" t="s">
        <v>81</v>
      </c>
      <c r="AR13" s="51" t="s">
        <v>81</v>
      </c>
      <c r="AS13" s="103"/>
      <c r="AT13" s="102"/>
      <c r="AU13" s="71"/>
      <c r="AV13" s="51" t="s">
        <v>81</v>
      </c>
      <c r="AW13" s="51" t="s">
        <v>81</v>
      </c>
      <c r="AX13" s="51" t="s">
        <v>81</v>
      </c>
      <c r="AY13" s="51" t="s">
        <v>81</v>
      </c>
      <c r="AZ13" s="20"/>
      <c r="BA13" s="21"/>
      <c r="BB13" s="71"/>
      <c r="BC13" s="51" t="s">
        <v>81</v>
      </c>
      <c r="BD13" s="51" t="s">
        <v>81</v>
      </c>
      <c r="BE13" s="51" t="s">
        <v>81</v>
      </c>
      <c r="BF13" s="51" t="s">
        <v>81</v>
      </c>
      <c r="BG13" s="20"/>
      <c r="BH13" s="21"/>
      <c r="BI13" s="71"/>
      <c r="BJ13" s="51" t="s">
        <v>81</v>
      </c>
      <c r="BK13" s="51" t="s">
        <v>81</v>
      </c>
      <c r="BL13" s="51" t="s">
        <v>81</v>
      </c>
      <c r="BM13" s="51" t="s">
        <v>81</v>
      </c>
      <c r="BN13" s="103"/>
      <c r="BO13" s="102"/>
      <c r="BP13" s="71"/>
      <c r="BQ13" s="51" t="b">
        <v>0</v>
      </c>
      <c r="BR13" s="51" t="b">
        <v>0</v>
      </c>
      <c r="BS13" s="51" t="b">
        <v>0</v>
      </c>
      <c r="BT13" s="51" t="b">
        <v>0</v>
      </c>
      <c r="BU13" s="20"/>
      <c r="BV13" s="21"/>
      <c r="BW13" s="71"/>
      <c r="BX13" s="51" t="b">
        <v>0</v>
      </c>
      <c r="BY13" s="51" t="b">
        <v>0</v>
      </c>
      <c r="BZ13" s="51" t="b">
        <v>0</v>
      </c>
      <c r="CA13" s="51" t="b">
        <v>0</v>
      </c>
      <c r="CB13" s="20"/>
      <c r="CC13" s="21"/>
      <c r="CD13" s="71"/>
      <c r="CE13" s="51" t="b">
        <v>0</v>
      </c>
      <c r="CF13" s="51" t="b">
        <v>0</v>
      </c>
      <c r="CG13" s="51" t="b">
        <v>0</v>
      </c>
      <c r="CH13" s="51" t="b">
        <v>0</v>
      </c>
      <c r="CI13" s="103"/>
      <c r="CJ13" s="102"/>
      <c r="CK13" s="71"/>
      <c r="CL13" s="51" t="b">
        <v>0</v>
      </c>
      <c r="CM13" s="51" t="b">
        <v>0</v>
      </c>
      <c r="CN13" s="51" t="b">
        <v>0</v>
      </c>
      <c r="CO13" s="51" t="b">
        <v>0</v>
      </c>
      <c r="CP13" s="20"/>
      <c r="CQ13" s="21"/>
      <c r="CR13" s="71"/>
      <c r="CS13" s="51" t="b">
        <v>0</v>
      </c>
      <c r="CT13" s="51" t="b">
        <v>0</v>
      </c>
      <c r="CU13" s="51" t="b">
        <v>0</v>
      </c>
      <c r="CV13" s="51" t="b">
        <v>0</v>
      </c>
      <c r="CW13" s="20"/>
      <c r="CX13" s="21"/>
      <c r="CY13" s="71"/>
      <c r="CZ13" s="51" t="b">
        <v>0</v>
      </c>
      <c r="DA13" s="51" t="b">
        <v>0</v>
      </c>
      <c r="DB13" s="51" t="b">
        <v>0</v>
      </c>
      <c r="DC13" s="51" t="b">
        <v>0</v>
      </c>
      <c r="DD13" s="103"/>
      <c r="DE13" s="102"/>
      <c r="DF13" s="71"/>
      <c r="DG13" s="51" t="b">
        <v>0</v>
      </c>
      <c r="DH13" s="51" t="b">
        <v>0</v>
      </c>
      <c r="DI13" s="51" t="b">
        <v>0</v>
      </c>
      <c r="DJ13" s="51" t="b">
        <v>0</v>
      </c>
      <c r="DK13" s="20"/>
      <c r="DL13" s="21"/>
      <c r="DM13" s="71"/>
      <c r="DN13" s="51" t="b">
        <v>0</v>
      </c>
      <c r="DO13" s="51" t="b">
        <v>0</v>
      </c>
      <c r="DP13" s="51" t="b">
        <v>0</v>
      </c>
      <c r="DQ13" s="51" t="b">
        <v>0</v>
      </c>
      <c r="DR13" s="20"/>
      <c r="DS13" s="21"/>
      <c r="DT13" s="71"/>
      <c r="DU13" s="51" t="b">
        <v>0</v>
      </c>
      <c r="DV13" s="51" t="b">
        <v>0</v>
      </c>
      <c r="DW13" s="51" t="b">
        <v>0</v>
      </c>
      <c r="DX13" s="51" t="b">
        <v>0</v>
      </c>
      <c r="DY13" s="103"/>
      <c r="DZ13" s="102"/>
      <c r="EA13" s="71"/>
      <c r="EB13" s="51" t="b">
        <v>0</v>
      </c>
      <c r="EC13" s="51" t="b">
        <v>0</v>
      </c>
      <c r="ED13" s="51" t="b">
        <v>0</v>
      </c>
      <c r="EE13" s="51" t="b">
        <v>0</v>
      </c>
      <c r="EF13" s="20"/>
      <c r="EG13" s="21"/>
      <c r="EH13" s="71"/>
      <c r="EI13" s="51" t="b">
        <v>0</v>
      </c>
      <c r="EJ13" s="51" t="b">
        <v>0</v>
      </c>
      <c r="EK13" s="51" t="b">
        <v>0</v>
      </c>
      <c r="EL13" s="51" t="b">
        <v>0</v>
      </c>
      <c r="EM13" s="20"/>
      <c r="EN13" s="21"/>
      <c r="EO13" s="71"/>
      <c r="EP13" s="51" t="b">
        <v>0</v>
      </c>
      <c r="EQ13" s="51" t="b">
        <v>0</v>
      </c>
      <c r="ER13" s="51" t="b">
        <v>0</v>
      </c>
      <c r="ES13" s="51" t="b">
        <v>0</v>
      </c>
      <c r="ET13" s="103"/>
      <c r="EU13" s="102"/>
      <c r="EV13" s="71"/>
      <c r="EW13" s="51" t="b">
        <v>0</v>
      </c>
      <c r="EX13" s="51" t="b">
        <v>0</v>
      </c>
      <c r="EY13" s="51" t="b">
        <v>0</v>
      </c>
      <c r="EZ13" s="51" t="b">
        <v>0</v>
      </c>
      <c r="FA13" s="20"/>
      <c r="FB13" s="21"/>
      <c r="FC13" s="71"/>
      <c r="FD13" s="51" t="b">
        <v>0</v>
      </c>
      <c r="FE13" s="51" t="b">
        <v>0</v>
      </c>
      <c r="FF13" s="51" t="b">
        <v>0</v>
      </c>
      <c r="FG13" s="51" t="b">
        <v>0</v>
      </c>
      <c r="FH13" s="20"/>
      <c r="FI13" s="21"/>
      <c r="FJ13" s="71"/>
      <c r="FK13" s="51" t="b">
        <v>0</v>
      </c>
      <c r="FL13" s="51" t="b">
        <v>0</v>
      </c>
      <c r="FM13" s="51" t="b">
        <v>0</v>
      </c>
      <c r="FN13" s="51" t="b">
        <v>0</v>
      </c>
      <c r="FO13" s="103"/>
      <c r="FP13" s="102"/>
      <c r="FQ13" s="71"/>
      <c r="FR13" s="51" t="b">
        <v>0</v>
      </c>
      <c r="FS13" s="51" t="b">
        <v>0</v>
      </c>
      <c r="FT13" s="51" t="b">
        <v>0</v>
      </c>
      <c r="FU13" s="51" t="b">
        <v>0</v>
      </c>
      <c r="FV13" s="20"/>
      <c r="FW13" s="21"/>
      <c r="FX13" s="71"/>
      <c r="FY13" s="51" t="b">
        <v>0</v>
      </c>
      <c r="FZ13" s="51" t="b">
        <v>0</v>
      </c>
      <c r="GA13" s="51" t="b">
        <v>0</v>
      </c>
      <c r="GB13" s="51" t="b">
        <v>0</v>
      </c>
      <c r="GC13" s="20"/>
      <c r="GD13" s="21"/>
      <c r="GE13" s="71"/>
      <c r="GF13" s="51" t="b">
        <v>0</v>
      </c>
      <c r="GG13" s="51" t="b">
        <v>0</v>
      </c>
      <c r="GH13" s="51" t="b">
        <v>0</v>
      </c>
      <c r="GI13" s="51" t="b">
        <v>0</v>
      </c>
      <c r="GJ13" s="103"/>
      <c r="GK13" s="102"/>
      <c r="GL13" s="71"/>
      <c r="GM13" s="51" t="b">
        <v>0</v>
      </c>
      <c r="GN13" s="51" t="b">
        <v>0</v>
      </c>
      <c r="GO13" s="51" t="b">
        <v>0</v>
      </c>
      <c r="GP13" s="51" t="b">
        <v>0</v>
      </c>
      <c r="GQ13" s="20"/>
      <c r="GR13" s="21"/>
      <c r="GS13" s="71"/>
      <c r="GT13" s="51" t="b">
        <v>0</v>
      </c>
      <c r="GU13" s="51" t="b">
        <v>0</v>
      </c>
      <c r="GV13" s="51" t="b">
        <v>0</v>
      </c>
      <c r="GW13" s="51" t="b">
        <v>0</v>
      </c>
      <c r="GX13" s="20"/>
      <c r="GY13" s="21"/>
      <c r="GZ13" s="71"/>
      <c r="HA13" s="51" t="b">
        <v>0</v>
      </c>
      <c r="HB13" s="51" t="b">
        <v>0</v>
      </c>
      <c r="HC13" s="51" t="b">
        <v>0</v>
      </c>
      <c r="HD13" s="51" t="b">
        <v>0</v>
      </c>
      <c r="HE13" s="103"/>
      <c r="HF13" s="102"/>
      <c r="HG13" s="71"/>
      <c r="HH13" s="51" t="b">
        <v>0</v>
      </c>
      <c r="HI13" s="51" t="b">
        <v>0</v>
      </c>
      <c r="HJ13" s="51" t="b">
        <v>0</v>
      </c>
      <c r="HK13" s="51" t="b">
        <v>0</v>
      </c>
      <c r="HL13" s="20"/>
      <c r="HM13" s="21"/>
      <c r="HN13" s="71"/>
      <c r="HO13" s="51" t="b">
        <v>0</v>
      </c>
      <c r="HP13" s="51" t="b">
        <v>0</v>
      </c>
      <c r="HQ13" s="51" t="b">
        <v>0</v>
      </c>
      <c r="HR13" s="51" t="b">
        <v>0</v>
      </c>
      <c r="HS13" s="20"/>
      <c r="HT13" s="21"/>
      <c r="HU13" s="71"/>
      <c r="HV13" s="51" t="b">
        <v>0</v>
      </c>
      <c r="HW13" s="51" t="b">
        <v>0</v>
      </c>
      <c r="HX13" s="51" t="b">
        <v>0</v>
      </c>
      <c r="HY13" s="51" t="b">
        <v>0</v>
      </c>
      <c r="HZ13" s="103"/>
      <c r="IA13" s="102"/>
      <c r="IB13" s="71"/>
      <c r="IC13" s="51" t="b">
        <v>0</v>
      </c>
      <c r="ID13" s="51" t="b">
        <v>0</v>
      </c>
      <c r="IE13" s="51" t="b">
        <v>0</v>
      </c>
      <c r="IF13" s="51" t="b">
        <v>0</v>
      </c>
      <c r="IG13" s="20"/>
      <c r="IH13" s="21"/>
      <c r="II13" s="71"/>
      <c r="IJ13" s="51" t="b">
        <v>0</v>
      </c>
      <c r="IK13" s="51" t="b">
        <v>0</v>
      </c>
      <c r="IL13" s="51" t="b">
        <v>0</v>
      </c>
      <c r="IM13" s="51" t="b">
        <v>0</v>
      </c>
      <c r="IN13" s="20"/>
      <c r="IO13" s="21"/>
      <c r="IP13" s="71"/>
      <c r="IQ13" s="51" t="b">
        <v>0</v>
      </c>
      <c r="IR13" s="51" t="b">
        <v>0</v>
      </c>
      <c r="IS13" s="51" t="b">
        <v>0</v>
      </c>
      <c r="IT13" s="51" t="b">
        <v>0</v>
      </c>
      <c r="IU13" s="103"/>
      <c r="IV13" s="112"/>
    </row>
    <row r="14" spans="1:256" x14ac:dyDescent="0.2">
      <c r="A14" s="65"/>
      <c r="B14" s="62"/>
      <c r="C14">
        <v>5</v>
      </c>
      <c r="D14" s="102"/>
      <c r="E14" s="71"/>
      <c r="F14" s="51" t="s">
        <v>81</v>
      </c>
      <c r="G14" s="51" t="s">
        <v>81</v>
      </c>
      <c r="H14" s="51" t="s">
        <v>81</v>
      </c>
      <c r="I14" s="51" t="s">
        <v>81</v>
      </c>
      <c r="J14" s="20"/>
      <c r="K14" s="21"/>
      <c r="L14" s="71"/>
      <c r="M14" s="51" t="s">
        <v>81</v>
      </c>
      <c r="N14" s="51" t="s">
        <v>81</v>
      </c>
      <c r="O14" s="51" t="s">
        <v>81</v>
      </c>
      <c r="P14" s="51" t="s">
        <v>81</v>
      </c>
      <c r="Q14" s="20"/>
      <c r="R14" s="21"/>
      <c r="S14" s="71"/>
      <c r="T14" s="51" t="s">
        <v>81</v>
      </c>
      <c r="U14" s="51" t="s">
        <v>81</v>
      </c>
      <c r="V14" s="51" t="s">
        <v>81</v>
      </c>
      <c r="W14" s="51" t="s">
        <v>81</v>
      </c>
      <c r="X14" s="103"/>
      <c r="Y14" s="102"/>
      <c r="Z14" s="71"/>
      <c r="AA14" s="51" t="s">
        <v>81</v>
      </c>
      <c r="AB14" s="51" t="s">
        <v>81</v>
      </c>
      <c r="AC14" s="51" t="s">
        <v>81</v>
      </c>
      <c r="AD14" s="51" t="s">
        <v>81</v>
      </c>
      <c r="AE14" s="20"/>
      <c r="AF14" s="21"/>
      <c r="AG14" s="71"/>
      <c r="AH14" s="51" t="s">
        <v>81</v>
      </c>
      <c r="AI14" s="51" t="s">
        <v>81</v>
      </c>
      <c r="AJ14" s="51" t="s">
        <v>81</v>
      </c>
      <c r="AK14" s="51" t="s">
        <v>81</v>
      </c>
      <c r="AL14" s="20"/>
      <c r="AM14" s="21"/>
      <c r="AN14" s="71"/>
      <c r="AO14" s="51" t="s">
        <v>81</v>
      </c>
      <c r="AP14" s="51" t="s">
        <v>81</v>
      </c>
      <c r="AQ14" s="51" t="s">
        <v>81</v>
      </c>
      <c r="AR14" s="51" t="s">
        <v>81</v>
      </c>
      <c r="AS14" s="103"/>
      <c r="AT14" s="102"/>
      <c r="AU14" s="71"/>
      <c r="AV14" s="51" t="s">
        <v>81</v>
      </c>
      <c r="AW14" s="51" t="s">
        <v>81</v>
      </c>
      <c r="AX14" s="51" t="s">
        <v>81</v>
      </c>
      <c r="AY14" s="51" t="s">
        <v>81</v>
      </c>
      <c r="AZ14" s="20"/>
      <c r="BA14" s="21"/>
      <c r="BB14" s="71"/>
      <c r="BC14" s="51" t="s">
        <v>81</v>
      </c>
      <c r="BD14" s="51" t="s">
        <v>81</v>
      </c>
      <c r="BE14" s="51" t="s">
        <v>81</v>
      </c>
      <c r="BF14" s="51" t="s">
        <v>81</v>
      </c>
      <c r="BG14" s="20"/>
      <c r="BH14" s="21"/>
      <c r="BI14" s="71"/>
      <c r="BJ14" s="51" t="s">
        <v>81</v>
      </c>
      <c r="BK14" s="51" t="s">
        <v>81</v>
      </c>
      <c r="BL14" s="51" t="s">
        <v>81</v>
      </c>
      <c r="BM14" s="51" t="s">
        <v>81</v>
      </c>
      <c r="BN14" s="103"/>
      <c r="BO14" s="102"/>
      <c r="BP14" s="71"/>
      <c r="BQ14" s="51" t="b">
        <v>0</v>
      </c>
      <c r="BR14" s="51" t="b">
        <v>0</v>
      </c>
      <c r="BS14" s="51" t="b">
        <v>0</v>
      </c>
      <c r="BT14" s="51" t="b">
        <v>0</v>
      </c>
      <c r="BU14" s="20"/>
      <c r="BV14" s="21"/>
      <c r="BW14" s="71"/>
      <c r="BX14" s="51" t="b">
        <v>0</v>
      </c>
      <c r="BY14" s="51" t="b">
        <v>0</v>
      </c>
      <c r="BZ14" s="51" t="b">
        <v>0</v>
      </c>
      <c r="CA14" s="51" t="b">
        <v>0</v>
      </c>
      <c r="CB14" s="20"/>
      <c r="CC14" s="21"/>
      <c r="CD14" s="71"/>
      <c r="CE14" s="51" t="b">
        <v>0</v>
      </c>
      <c r="CF14" s="51" t="b">
        <v>0</v>
      </c>
      <c r="CG14" s="51" t="b">
        <v>0</v>
      </c>
      <c r="CH14" s="51" t="b">
        <v>0</v>
      </c>
      <c r="CI14" s="103"/>
      <c r="CJ14" s="102"/>
      <c r="CK14" s="71"/>
      <c r="CL14" s="51" t="b">
        <v>0</v>
      </c>
      <c r="CM14" s="51" t="b">
        <v>0</v>
      </c>
      <c r="CN14" s="51" t="b">
        <v>0</v>
      </c>
      <c r="CO14" s="51" t="b">
        <v>0</v>
      </c>
      <c r="CP14" s="20"/>
      <c r="CQ14" s="21"/>
      <c r="CR14" s="71"/>
      <c r="CS14" s="51" t="b">
        <v>0</v>
      </c>
      <c r="CT14" s="51" t="b">
        <v>0</v>
      </c>
      <c r="CU14" s="51" t="b">
        <v>0</v>
      </c>
      <c r="CV14" s="51" t="b">
        <v>0</v>
      </c>
      <c r="CW14" s="20"/>
      <c r="CX14" s="21"/>
      <c r="CY14" s="71"/>
      <c r="CZ14" s="51" t="b">
        <v>0</v>
      </c>
      <c r="DA14" s="51" t="b">
        <v>0</v>
      </c>
      <c r="DB14" s="51" t="b">
        <v>0</v>
      </c>
      <c r="DC14" s="51" t="b">
        <v>0</v>
      </c>
      <c r="DD14" s="103"/>
      <c r="DE14" s="102"/>
      <c r="DF14" s="71"/>
      <c r="DG14" s="51" t="b">
        <v>0</v>
      </c>
      <c r="DH14" s="51" t="b">
        <v>0</v>
      </c>
      <c r="DI14" s="51" t="b">
        <v>0</v>
      </c>
      <c r="DJ14" s="51" t="b">
        <v>0</v>
      </c>
      <c r="DK14" s="20"/>
      <c r="DL14" s="21"/>
      <c r="DM14" s="71"/>
      <c r="DN14" s="51" t="b">
        <v>0</v>
      </c>
      <c r="DO14" s="51" t="b">
        <v>0</v>
      </c>
      <c r="DP14" s="51" t="b">
        <v>0</v>
      </c>
      <c r="DQ14" s="51" t="b">
        <v>0</v>
      </c>
      <c r="DR14" s="20"/>
      <c r="DS14" s="21"/>
      <c r="DT14" s="71"/>
      <c r="DU14" s="51" t="b">
        <v>0</v>
      </c>
      <c r="DV14" s="51" t="b">
        <v>0</v>
      </c>
      <c r="DW14" s="51" t="b">
        <v>0</v>
      </c>
      <c r="DX14" s="51" t="b">
        <v>0</v>
      </c>
      <c r="DY14" s="103"/>
      <c r="DZ14" s="102"/>
      <c r="EA14" s="71"/>
      <c r="EB14" s="51" t="b">
        <v>0</v>
      </c>
      <c r="EC14" s="51" t="b">
        <v>0</v>
      </c>
      <c r="ED14" s="51" t="b">
        <v>0</v>
      </c>
      <c r="EE14" s="51" t="b">
        <v>0</v>
      </c>
      <c r="EF14" s="20"/>
      <c r="EG14" s="21"/>
      <c r="EH14" s="71"/>
      <c r="EI14" s="51" t="b">
        <v>0</v>
      </c>
      <c r="EJ14" s="51" t="b">
        <v>0</v>
      </c>
      <c r="EK14" s="51" t="b">
        <v>0</v>
      </c>
      <c r="EL14" s="51" t="b">
        <v>0</v>
      </c>
      <c r="EM14" s="20"/>
      <c r="EN14" s="21"/>
      <c r="EO14" s="71"/>
      <c r="EP14" s="51" t="b">
        <v>0</v>
      </c>
      <c r="EQ14" s="51" t="b">
        <v>0</v>
      </c>
      <c r="ER14" s="51" t="b">
        <v>0</v>
      </c>
      <c r="ES14" s="51" t="b">
        <v>0</v>
      </c>
      <c r="ET14" s="103"/>
      <c r="EU14" s="102"/>
      <c r="EV14" s="71"/>
      <c r="EW14" s="51" t="b">
        <v>0</v>
      </c>
      <c r="EX14" s="51" t="b">
        <v>0</v>
      </c>
      <c r="EY14" s="51" t="b">
        <v>0</v>
      </c>
      <c r="EZ14" s="51" t="b">
        <v>0</v>
      </c>
      <c r="FA14" s="20"/>
      <c r="FB14" s="21"/>
      <c r="FC14" s="71"/>
      <c r="FD14" s="51" t="b">
        <v>0</v>
      </c>
      <c r="FE14" s="51" t="b">
        <v>0</v>
      </c>
      <c r="FF14" s="51" t="b">
        <v>0</v>
      </c>
      <c r="FG14" s="51" t="b">
        <v>0</v>
      </c>
      <c r="FH14" s="20"/>
      <c r="FI14" s="21"/>
      <c r="FJ14" s="71"/>
      <c r="FK14" s="51" t="b">
        <v>0</v>
      </c>
      <c r="FL14" s="51" t="b">
        <v>0</v>
      </c>
      <c r="FM14" s="51" t="b">
        <v>0</v>
      </c>
      <c r="FN14" s="51" t="b">
        <v>0</v>
      </c>
      <c r="FO14" s="103"/>
      <c r="FP14" s="102"/>
      <c r="FQ14" s="71"/>
      <c r="FR14" s="51" t="b">
        <v>0</v>
      </c>
      <c r="FS14" s="51" t="b">
        <v>0</v>
      </c>
      <c r="FT14" s="51" t="b">
        <v>0</v>
      </c>
      <c r="FU14" s="51" t="b">
        <v>0</v>
      </c>
      <c r="FV14" s="20"/>
      <c r="FW14" s="21"/>
      <c r="FX14" s="71"/>
      <c r="FY14" s="51" t="b">
        <v>0</v>
      </c>
      <c r="FZ14" s="51" t="b">
        <v>0</v>
      </c>
      <c r="GA14" s="51" t="b">
        <v>0</v>
      </c>
      <c r="GB14" s="51" t="b">
        <v>0</v>
      </c>
      <c r="GC14" s="20"/>
      <c r="GD14" s="21"/>
      <c r="GE14" s="71"/>
      <c r="GF14" s="51" t="b">
        <v>0</v>
      </c>
      <c r="GG14" s="51" t="b">
        <v>0</v>
      </c>
      <c r="GH14" s="51" t="b">
        <v>0</v>
      </c>
      <c r="GI14" s="51" t="b">
        <v>0</v>
      </c>
      <c r="GJ14" s="103"/>
      <c r="GK14" s="102"/>
      <c r="GL14" s="71"/>
      <c r="GM14" s="51" t="b">
        <v>0</v>
      </c>
      <c r="GN14" s="51" t="b">
        <v>0</v>
      </c>
      <c r="GO14" s="51" t="b">
        <v>0</v>
      </c>
      <c r="GP14" s="51" t="b">
        <v>0</v>
      </c>
      <c r="GQ14" s="20"/>
      <c r="GR14" s="21"/>
      <c r="GS14" s="71"/>
      <c r="GT14" s="51" t="b">
        <v>0</v>
      </c>
      <c r="GU14" s="51" t="b">
        <v>0</v>
      </c>
      <c r="GV14" s="51" t="b">
        <v>0</v>
      </c>
      <c r="GW14" s="51" t="b">
        <v>0</v>
      </c>
      <c r="GX14" s="20"/>
      <c r="GY14" s="21"/>
      <c r="GZ14" s="71"/>
      <c r="HA14" s="51" t="b">
        <v>0</v>
      </c>
      <c r="HB14" s="51" t="b">
        <v>0</v>
      </c>
      <c r="HC14" s="51" t="b">
        <v>0</v>
      </c>
      <c r="HD14" s="51" t="b">
        <v>0</v>
      </c>
      <c r="HE14" s="103"/>
      <c r="HF14" s="102"/>
      <c r="HG14" s="71"/>
      <c r="HH14" s="51" t="b">
        <v>0</v>
      </c>
      <c r="HI14" s="51" t="b">
        <v>0</v>
      </c>
      <c r="HJ14" s="51" t="b">
        <v>0</v>
      </c>
      <c r="HK14" s="51" t="b">
        <v>0</v>
      </c>
      <c r="HL14" s="20"/>
      <c r="HM14" s="21"/>
      <c r="HN14" s="71"/>
      <c r="HO14" s="51" t="b">
        <v>0</v>
      </c>
      <c r="HP14" s="51" t="b">
        <v>0</v>
      </c>
      <c r="HQ14" s="51" t="b">
        <v>0</v>
      </c>
      <c r="HR14" s="51" t="b">
        <v>0</v>
      </c>
      <c r="HS14" s="20"/>
      <c r="HT14" s="21"/>
      <c r="HU14" s="71"/>
      <c r="HV14" s="51" t="b">
        <v>0</v>
      </c>
      <c r="HW14" s="51" t="b">
        <v>0</v>
      </c>
      <c r="HX14" s="51" t="b">
        <v>0</v>
      </c>
      <c r="HY14" s="51" t="b">
        <v>0</v>
      </c>
      <c r="HZ14" s="103"/>
      <c r="IA14" s="102"/>
      <c r="IB14" s="71"/>
      <c r="IC14" s="51" t="b">
        <v>0</v>
      </c>
      <c r="ID14" s="51" t="b">
        <v>0</v>
      </c>
      <c r="IE14" s="51" t="b">
        <v>0</v>
      </c>
      <c r="IF14" s="51" t="b">
        <v>0</v>
      </c>
      <c r="IG14" s="20"/>
      <c r="IH14" s="21"/>
      <c r="II14" s="71"/>
      <c r="IJ14" s="51" t="b">
        <v>0</v>
      </c>
      <c r="IK14" s="51" t="b">
        <v>0</v>
      </c>
      <c r="IL14" s="51" t="b">
        <v>0</v>
      </c>
      <c r="IM14" s="51" t="b">
        <v>0</v>
      </c>
      <c r="IN14" s="20"/>
      <c r="IO14" s="21"/>
      <c r="IP14" s="71"/>
      <c r="IQ14" s="51" t="b">
        <v>0</v>
      </c>
      <c r="IR14" s="51" t="b">
        <v>0</v>
      </c>
      <c r="IS14" s="51" t="b">
        <v>0</v>
      </c>
      <c r="IT14" s="51" t="b">
        <v>0</v>
      </c>
      <c r="IU14" s="103"/>
      <c r="IV14" s="112"/>
    </row>
    <row r="15" spans="1:256" x14ac:dyDescent="0.2">
      <c r="A15" s="65"/>
      <c r="B15" s="62"/>
      <c r="C15">
        <v>6</v>
      </c>
      <c r="D15" s="102"/>
      <c r="E15" s="51"/>
      <c r="F15" s="51" t="s">
        <v>81</v>
      </c>
      <c r="G15" s="51" t="s">
        <v>81</v>
      </c>
      <c r="H15" s="51" t="s">
        <v>81</v>
      </c>
      <c r="I15" s="51" t="s">
        <v>81</v>
      </c>
      <c r="J15" s="20"/>
      <c r="K15" s="21"/>
      <c r="L15" s="51"/>
      <c r="M15" s="51" t="s">
        <v>81</v>
      </c>
      <c r="N15" s="51" t="s">
        <v>81</v>
      </c>
      <c r="O15" s="51" t="s">
        <v>81</v>
      </c>
      <c r="P15" s="51" t="s">
        <v>81</v>
      </c>
      <c r="Q15" s="20"/>
      <c r="R15" s="21"/>
      <c r="S15" s="51"/>
      <c r="T15" s="51" t="s">
        <v>81</v>
      </c>
      <c r="U15" s="51" t="s">
        <v>81</v>
      </c>
      <c r="V15" s="51" t="s">
        <v>81</v>
      </c>
      <c r="W15" s="51" t="s">
        <v>81</v>
      </c>
      <c r="X15" s="103"/>
      <c r="Y15" s="102"/>
      <c r="Z15" s="51"/>
      <c r="AA15" s="51" t="s">
        <v>81</v>
      </c>
      <c r="AB15" s="51" t="s">
        <v>81</v>
      </c>
      <c r="AC15" s="51" t="s">
        <v>81</v>
      </c>
      <c r="AD15" s="51" t="s">
        <v>81</v>
      </c>
      <c r="AE15" s="20"/>
      <c r="AF15" s="21"/>
      <c r="AG15" s="51"/>
      <c r="AH15" s="51" t="s">
        <v>81</v>
      </c>
      <c r="AI15" s="51" t="s">
        <v>81</v>
      </c>
      <c r="AJ15" s="51" t="s">
        <v>81</v>
      </c>
      <c r="AK15" s="51" t="s">
        <v>81</v>
      </c>
      <c r="AL15" s="20"/>
      <c r="AM15" s="21"/>
      <c r="AN15" s="51"/>
      <c r="AO15" s="51" t="s">
        <v>81</v>
      </c>
      <c r="AP15" s="51" t="s">
        <v>81</v>
      </c>
      <c r="AQ15" s="51" t="s">
        <v>81</v>
      </c>
      <c r="AR15" s="51" t="s">
        <v>81</v>
      </c>
      <c r="AS15" s="103"/>
      <c r="AT15" s="102"/>
      <c r="AU15" s="51"/>
      <c r="AV15" s="51" t="s">
        <v>81</v>
      </c>
      <c r="AW15" s="51" t="s">
        <v>82</v>
      </c>
      <c r="AX15" s="51" t="s">
        <v>82</v>
      </c>
      <c r="AY15" s="51" t="s">
        <v>81</v>
      </c>
      <c r="AZ15" s="20"/>
      <c r="BA15" s="21"/>
      <c r="BB15" s="51"/>
      <c r="BC15" s="51" t="s">
        <v>81</v>
      </c>
      <c r="BD15" s="51" t="s">
        <v>81</v>
      </c>
      <c r="BE15" s="51" t="s">
        <v>81</v>
      </c>
      <c r="BF15" s="51" t="s">
        <v>81</v>
      </c>
      <c r="BG15" s="20"/>
      <c r="BH15" s="21"/>
      <c r="BI15" s="51"/>
      <c r="BJ15" s="51" t="s">
        <v>81</v>
      </c>
      <c r="BK15" s="51" t="s">
        <v>81</v>
      </c>
      <c r="BL15" s="51" t="s">
        <v>81</v>
      </c>
      <c r="BM15" s="51" t="s">
        <v>81</v>
      </c>
      <c r="BN15" s="103"/>
      <c r="BO15" s="102"/>
      <c r="BP15" s="51"/>
      <c r="BQ15" s="51" t="b">
        <v>0</v>
      </c>
      <c r="BR15" s="51" t="b">
        <v>0</v>
      </c>
      <c r="BS15" s="51" t="b">
        <v>0</v>
      </c>
      <c r="BT15" s="51" t="b">
        <v>0</v>
      </c>
      <c r="BU15" s="20"/>
      <c r="BV15" s="21"/>
      <c r="BW15" s="51"/>
      <c r="BX15" s="51" t="b">
        <v>0</v>
      </c>
      <c r="BY15" s="51" t="b">
        <v>0</v>
      </c>
      <c r="BZ15" s="51" t="b">
        <v>0</v>
      </c>
      <c r="CA15" s="51" t="b">
        <v>0</v>
      </c>
      <c r="CB15" s="20"/>
      <c r="CC15" s="21"/>
      <c r="CD15" s="51"/>
      <c r="CE15" s="51" t="b">
        <v>0</v>
      </c>
      <c r="CF15" s="51" t="b">
        <v>0</v>
      </c>
      <c r="CG15" s="51" t="b">
        <v>0</v>
      </c>
      <c r="CH15" s="51" t="b">
        <v>0</v>
      </c>
      <c r="CI15" s="103"/>
      <c r="CJ15" s="102"/>
      <c r="CK15" s="51"/>
      <c r="CL15" s="51" t="b">
        <v>0</v>
      </c>
      <c r="CM15" s="51" t="b">
        <v>0</v>
      </c>
      <c r="CN15" s="51" t="b">
        <v>0</v>
      </c>
      <c r="CO15" s="51" t="b">
        <v>0</v>
      </c>
      <c r="CP15" s="20"/>
      <c r="CQ15" s="21"/>
      <c r="CR15" s="51"/>
      <c r="CS15" s="51" t="b">
        <v>0</v>
      </c>
      <c r="CT15" s="51" t="b">
        <v>0</v>
      </c>
      <c r="CU15" s="51" t="b">
        <v>0</v>
      </c>
      <c r="CV15" s="51" t="b">
        <v>0</v>
      </c>
      <c r="CW15" s="20"/>
      <c r="CX15" s="21"/>
      <c r="CY15" s="51"/>
      <c r="CZ15" s="51" t="b">
        <v>0</v>
      </c>
      <c r="DA15" s="51" t="b">
        <v>0</v>
      </c>
      <c r="DB15" s="51" t="b">
        <v>0</v>
      </c>
      <c r="DC15" s="51" t="b">
        <v>0</v>
      </c>
      <c r="DD15" s="103"/>
      <c r="DE15" s="102"/>
      <c r="DF15" s="51"/>
      <c r="DG15" s="51" t="b">
        <v>0</v>
      </c>
      <c r="DH15" s="51" t="b">
        <v>0</v>
      </c>
      <c r="DI15" s="51" t="b">
        <v>0</v>
      </c>
      <c r="DJ15" s="51" t="b">
        <v>0</v>
      </c>
      <c r="DK15" s="20"/>
      <c r="DL15" s="21"/>
      <c r="DM15" s="51"/>
      <c r="DN15" s="51" t="b">
        <v>0</v>
      </c>
      <c r="DO15" s="51" t="b">
        <v>0</v>
      </c>
      <c r="DP15" s="51" t="b">
        <v>0</v>
      </c>
      <c r="DQ15" s="51" t="b">
        <v>0</v>
      </c>
      <c r="DR15" s="20"/>
      <c r="DS15" s="21"/>
      <c r="DT15" s="51"/>
      <c r="DU15" s="51" t="b">
        <v>0</v>
      </c>
      <c r="DV15" s="51" t="b">
        <v>0</v>
      </c>
      <c r="DW15" s="51" t="b">
        <v>0</v>
      </c>
      <c r="DX15" s="51" t="b">
        <v>0</v>
      </c>
      <c r="DY15" s="103"/>
      <c r="DZ15" s="102"/>
      <c r="EA15" s="51"/>
      <c r="EB15" s="51" t="b">
        <v>0</v>
      </c>
      <c r="EC15" s="51" t="b">
        <v>0</v>
      </c>
      <c r="ED15" s="51" t="b">
        <v>0</v>
      </c>
      <c r="EE15" s="51" t="b">
        <v>0</v>
      </c>
      <c r="EF15" s="20"/>
      <c r="EG15" s="21"/>
      <c r="EH15" s="51"/>
      <c r="EI15" s="51" t="b">
        <v>0</v>
      </c>
      <c r="EJ15" s="51" t="b">
        <v>0</v>
      </c>
      <c r="EK15" s="51" t="b">
        <v>0</v>
      </c>
      <c r="EL15" s="51" t="b">
        <v>0</v>
      </c>
      <c r="EM15" s="20"/>
      <c r="EN15" s="21"/>
      <c r="EO15" s="51"/>
      <c r="EP15" s="51" t="b">
        <v>0</v>
      </c>
      <c r="EQ15" s="51" t="b">
        <v>0</v>
      </c>
      <c r="ER15" s="51" t="b">
        <v>0</v>
      </c>
      <c r="ES15" s="51" t="b">
        <v>0</v>
      </c>
      <c r="ET15" s="103"/>
      <c r="EU15" s="102"/>
      <c r="EV15" s="51"/>
      <c r="EW15" s="51" t="b">
        <v>0</v>
      </c>
      <c r="EX15" s="51" t="b">
        <v>0</v>
      </c>
      <c r="EY15" s="51" t="b">
        <v>0</v>
      </c>
      <c r="EZ15" s="51" t="b">
        <v>0</v>
      </c>
      <c r="FA15" s="20"/>
      <c r="FB15" s="21"/>
      <c r="FC15" s="51"/>
      <c r="FD15" s="51" t="b">
        <v>0</v>
      </c>
      <c r="FE15" s="51" t="b">
        <v>0</v>
      </c>
      <c r="FF15" s="51" t="b">
        <v>0</v>
      </c>
      <c r="FG15" s="51" t="b">
        <v>0</v>
      </c>
      <c r="FH15" s="20"/>
      <c r="FI15" s="21"/>
      <c r="FJ15" s="51"/>
      <c r="FK15" s="51" t="b">
        <v>0</v>
      </c>
      <c r="FL15" s="51" t="b">
        <v>0</v>
      </c>
      <c r="FM15" s="51" t="b">
        <v>0</v>
      </c>
      <c r="FN15" s="51" t="b">
        <v>0</v>
      </c>
      <c r="FO15" s="103"/>
      <c r="FP15" s="102"/>
      <c r="FQ15" s="51"/>
      <c r="FR15" s="51" t="b">
        <v>0</v>
      </c>
      <c r="FS15" s="51" t="b">
        <v>0</v>
      </c>
      <c r="FT15" s="51" t="b">
        <v>0</v>
      </c>
      <c r="FU15" s="51" t="b">
        <v>0</v>
      </c>
      <c r="FV15" s="20"/>
      <c r="FW15" s="21"/>
      <c r="FX15" s="51"/>
      <c r="FY15" s="51" t="b">
        <v>0</v>
      </c>
      <c r="FZ15" s="51" t="b">
        <v>0</v>
      </c>
      <c r="GA15" s="51" t="b">
        <v>0</v>
      </c>
      <c r="GB15" s="51" t="b">
        <v>0</v>
      </c>
      <c r="GC15" s="20"/>
      <c r="GD15" s="21"/>
      <c r="GE15" s="51"/>
      <c r="GF15" s="51" t="b">
        <v>0</v>
      </c>
      <c r="GG15" s="51" t="b">
        <v>0</v>
      </c>
      <c r="GH15" s="51" t="b">
        <v>0</v>
      </c>
      <c r="GI15" s="51" t="b">
        <v>0</v>
      </c>
      <c r="GJ15" s="103"/>
      <c r="GK15" s="102"/>
      <c r="GL15" s="51"/>
      <c r="GM15" s="51" t="b">
        <v>0</v>
      </c>
      <c r="GN15" s="51" t="b">
        <v>0</v>
      </c>
      <c r="GO15" s="51" t="b">
        <v>0</v>
      </c>
      <c r="GP15" s="51" t="b">
        <v>0</v>
      </c>
      <c r="GQ15" s="20"/>
      <c r="GR15" s="21"/>
      <c r="GS15" s="51"/>
      <c r="GT15" s="51" t="b">
        <v>0</v>
      </c>
      <c r="GU15" s="51" t="b">
        <v>0</v>
      </c>
      <c r="GV15" s="51" t="b">
        <v>0</v>
      </c>
      <c r="GW15" s="51" t="b">
        <v>0</v>
      </c>
      <c r="GX15" s="20"/>
      <c r="GY15" s="21"/>
      <c r="GZ15" s="51"/>
      <c r="HA15" s="51" t="b">
        <v>0</v>
      </c>
      <c r="HB15" s="51" t="b">
        <v>0</v>
      </c>
      <c r="HC15" s="51" t="b">
        <v>0</v>
      </c>
      <c r="HD15" s="51" t="b">
        <v>0</v>
      </c>
      <c r="HE15" s="103"/>
      <c r="HF15" s="102"/>
      <c r="HG15" s="51"/>
      <c r="HH15" s="51" t="b">
        <v>0</v>
      </c>
      <c r="HI15" s="51" t="b">
        <v>0</v>
      </c>
      <c r="HJ15" s="51" t="b">
        <v>0</v>
      </c>
      <c r="HK15" s="51" t="b">
        <v>0</v>
      </c>
      <c r="HL15" s="20"/>
      <c r="HM15" s="21"/>
      <c r="HN15" s="51"/>
      <c r="HO15" s="51" t="b">
        <v>0</v>
      </c>
      <c r="HP15" s="51" t="b">
        <v>0</v>
      </c>
      <c r="HQ15" s="51" t="b">
        <v>0</v>
      </c>
      <c r="HR15" s="51" t="b">
        <v>0</v>
      </c>
      <c r="HS15" s="20"/>
      <c r="HT15" s="21"/>
      <c r="HU15" s="51"/>
      <c r="HV15" s="51" t="b">
        <v>0</v>
      </c>
      <c r="HW15" s="51" t="b">
        <v>0</v>
      </c>
      <c r="HX15" s="51" t="b">
        <v>0</v>
      </c>
      <c r="HY15" s="51" t="b">
        <v>0</v>
      </c>
      <c r="HZ15" s="103"/>
      <c r="IA15" s="102"/>
      <c r="IB15" s="51"/>
      <c r="IC15" s="51" t="b">
        <v>0</v>
      </c>
      <c r="ID15" s="51" t="b">
        <v>0</v>
      </c>
      <c r="IE15" s="51" t="b">
        <v>0</v>
      </c>
      <c r="IF15" s="51" t="b">
        <v>0</v>
      </c>
      <c r="IG15" s="20"/>
      <c r="IH15" s="21"/>
      <c r="II15" s="51"/>
      <c r="IJ15" s="51" t="b">
        <v>0</v>
      </c>
      <c r="IK15" s="51" t="b">
        <v>0</v>
      </c>
      <c r="IL15" s="51" t="b">
        <v>0</v>
      </c>
      <c r="IM15" s="51" t="b">
        <v>0</v>
      </c>
      <c r="IN15" s="20"/>
      <c r="IO15" s="21"/>
      <c r="IP15" s="51"/>
      <c r="IQ15" s="51" t="b">
        <v>0</v>
      </c>
      <c r="IR15" s="51" t="b">
        <v>0</v>
      </c>
      <c r="IS15" s="51" t="b">
        <v>0</v>
      </c>
      <c r="IT15" s="51" t="b">
        <v>0</v>
      </c>
      <c r="IU15" s="103"/>
      <c r="IV15" s="112"/>
    </row>
    <row r="16" spans="1:256" x14ac:dyDescent="0.2">
      <c r="A16" s="66"/>
      <c r="B16" s="14" t="s">
        <v>46</v>
      </c>
      <c r="C16">
        <v>7</v>
      </c>
      <c r="D16" s="102"/>
      <c r="E16" s="51"/>
      <c r="F16" s="51" t="s">
        <v>81</v>
      </c>
      <c r="G16" s="51" t="s">
        <v>81</v>
      </c>
      <c r="H16" s="51" t="s">
        <v>81</v>
      </c>
      <c r="I16" s="51" t="s">
        <v>81</v>
      </c>
      <c r="J16" s="20"/>
      <c r="K16" s="21"/>
      <c r="L16" s="51"/>
      <c r="M16" s="51" t="s">
        <v>81</v>
      </c>
      <c r="N16" s="51" t="s">
        <v>81</v>
      </c>
      <c r="O16" s="51" t="s">
        <v>81</v>
      </c>
      <c r="P16" s="51" t="s">
        <v>81</v>
      </c>
      <c r="Q16" s="20"/>
      <c r="R16" s="21"/>
      <c r="S16" s="51"/>
      <c r="T16" s="51" t="s">
        <v>81</v>
      </c>
      <c r="U16" s="51" t="s">
        <v>81</v>
      </c>
      <c r="V16" s="51" t="s">
        <v>81</v>
      </c>
      <c r="W16" s="51" t="s">
        <v>81</v>
      </c>
      <c r="X16" s="103"/>
      <c r="Y16" s="102"/>
      <c r="Z16" s="51"/>
      <c r="AA16" s="51" t="s">
        <v>81</v>
      </c>
      <c r="AB16" s="51" t="s">
        <v>81</v>
      </c>
      <c r="AC16" s="51" t="s">
        <v>81</v>
      </c>
      <c r="AD16" s="51" t="s">
        <v>81</v>
      </c>
      <c r="AE16" s="20"/>
      <c r="AF16" s="21"/>
      <c r="AG16" s="51"/>
      <c r="AH16" s="51" t="s">
        <v>81</v>
      </c>
      <c r="AI16" s="51" t="s">
        <v>81</v>
      </c>
      <c r="AJ16" s="51" t="s">
        <v>81</v>
      </c>
      <c r="AK16" s="51" t="s">
        <v>81</v>
      </c>
      <c r="AL16" s="20"/>
      <c r="AM16" s="21"/>
      <c r="AN16" s="51"/>
      <c r="AO16" s="51" t="s">
        <v>81</v>
      </c>
      <c r="AP16" s="51" t="s">
        <v>81</v>
      </c>
      <c r="AQ16" s="51" t="s">
        <v>81</v>
      </c>
      <c r="AR16" s="51" t="s">
        <v>81</v>
      </c>
      <c r="AS16" s="103"/>
      <c r="AT16" s="102"/>
      <c r="AU16" s="51"/>
      <c r="AV16" s="51" t="s">
        <v>81</v>
      </c>
      <c r="AW16" s="51" t="s">
        <v>81</v>
      </c>
      <c r="AX16" s="51" t="s">
        <v>81</v>
      </c>
      <c r="AY16" s="51" t="s">
        <v>81</v>
      </c>
      <c r="AZ16" s="20"/>
      <c r="BA16" s="21"/>
      <c r="BB16" s="51"/>
      <c r="BC16" s="51" t="s">
        <v>81</v>
      </c>
      <c r="BD16" s="51" t="s">
        <v>81</v>
      </c>
      <c r="BE16" s="51" t="s">
        <v>81</v>
      </c>
      <c r="BF16" s="51" t="s">
        <v>81</v>
      </c>
      <c r="BG16" s="20"/>
      <c r="BH16" s="21"/>
      <c r="BI16" s="51"/>
      <c r="BJ16" s="51" t="s">
        <v>81</v>
      </c>
      <c r="BK16" s="51" t="s">
        <v>81</v>
      </c>
      <c r="BL16" s="51" t="s">
        <v>81</v>
      </c>
      <c r="BM16" s="51" t="s">
        <v>81</v>
      </c>
      <c r="BN16" s="103"/>
      <c r="BO16" s="102"/>
      <c r="BP16" s="51"/>
      <c r="BQ16" s="51" t="b">
        <v>0</v>
      </c>
      <c r="BR16" s="51" t="b">
        <v>0</v>
      </c>
      <c r="BS16" s="51" t="b">
        <v>0</v>
      </c>
      <c r="BT16" s="51" t="b">
        <v>0</v>
      </c>
      <c r="BU16" s="20"/>
      <c r="BV16" s="21"/>
      <c r="BW16" s="51"/>
      <c r="BX16" s="51" t="b">
        <v>0</v>
      </c>
      <c r="BY16" s="51" t="b">
        <v>0</v>
      </c>
      <c r="BZ16" s="51" t="b">
        <v>0</v>
      </c>
      <c r="CA16" s="51" t="b">
        <v>0</v>
      </c>
      <c r="CB16" s="20"/>
      <c r="CC16" s="21"/>
      <c r="CD16" s="51"/>
      <c r="CE16" s="51" t="b">
        <v>0</v>
      </c>
      <c r="CF16" s="51" t="b">
        <v>0</v>
      </c>
      <c r="CG16" s="51" t="b">
        <v>0</v>
      </c>
      <c r="CH16" s="51" t="b">
        <v>0</v>
      </c>
      <c r="CI16" s="103"/>
      <c r="CJ16" s="102"/>
      <c r="CK16" s="51"/>
      <c r="CL16" s="51" t="b">
        <v>0</v>
      </c>
      <c r="CM16" s="51" t="b">
        <v>0</v>
      </c>
      <c r="CN16" s="51" t="b">
        <v>0</v>
      </c>
      <c r="CO16" s="51" t="b">
        <v>0</v>
      </c>
      <c r="CP16" s="20"/>
      <c r="CQ16" s="21"/>
      <c r="CR16" s="51"/>
      <c r="CS16" s="51" t="b">
        <v>0</v>
      </c>
      <c r="CT16" s="51" t="b">
        <v>0</v>
      </c>
      <c r="CU16" s="51" t="b">
        <v>0</v>
      </c>
      <c r="CV16" s="51" t="b">
        <v>0</v>
      </c>
      <c r="CW16" s="20"/>
      <c r="CX16" s="21"/>
      <c r="CY16" s="51"/>
      <c r="CZ16" s="51" t="b">
        <v>0</v>
      </c>
      <c r="DA16" s="51" t="b">
        <v>0</v>
      </c>
      <c r="DB16" s="51" t="b">
        <v>0</v>
      </c>
      <c r="DC16" s="51" t="b">
        <v>0</v>
      </c>
      <c r="DD16" s="103"/>
      <c r="DE16" s="102"/>
      <c r="DF16" s="51"/>
      <c r="DG16" s="51" t="b">
        <v>0</v>
      </c>
      <c r="DH16" s="51" t="b">
        <v>0</v>
      </c>
      <c r="DI16" s="51" t="b">
        <v>0</v>
      </c>
      <c r="DJ16" s="51" t="b">
        <v>0</v>
      </c>
      <c r="DK16" s="20"/>
      <c r="DL16" s="21"/>
      <c r="DM16" s="51"/>
      <c r="DN16" s="51" t="b">
        <v>0</v>
      </c>
      <c r="DO16" s="51" t="b">
        <v>0</v>
      </c>
      <c r="DP16" s="51" t="b">
        <v>0</v>
      </c>
      <c r="DQ16" s="51" t="b">
        <v>0</v>
      </c>
      <c r="DR16" s="20"/>
      <c r="DS16" s="21"/>
      <c r="DT16" s="51"/>
      <c r="DU16" s="51" t="b">
        <v>0</v>
      </c>
      <c r="DV16" s="51" t="b">
        <v>0</v>
      </c>
      <c r="DW16" s="51" t="b">
        <v>0</v>
      </c>
      <c r="DX16" s="51" t="b">
        <v>0</v>
      </c>
      <c r="DY16" s="103"/>
      <c r="DZ16" s="102"/>
      <c r="EA16" s="51"/>
      <c r="EB16" s="51" t="b">
        <v>0</v>
      </c>
      <c r="EC16" s="51" t="b">
        <v>0</v>
      </c>
      <c r="ED16" s="51" t="b">
        <v>0</v>
      </c>
      <c r="EE16" s="51" t="b">
        <v>0</v>
      </c>
      <c r="EF16" s="20"/>
      <c r="EG16" s="21"/>
      <c r="EH16" s="51"/>
      <c r="EI16" s="51" t="b">
        <v>0</v>
      </c>
      <c r="EJ16" s="51" t="b">
        <v>0</v>
      </c>
      <c r="EK16" s="51" t="b">
        <v>0</v>
      </c>
      <c r="EL16" s="51" t="b">
        <v>0</v>
      </c>
      <c r="EM16" s="20"/>
      <c r="EN16" s="21"/>
      <c r="EO16" s="51"/>
      <c r="EP16" s="51" t="b">
        <v>0</v>
      </c>
      <c r="EQ16" s="51" t="b">
        <v>0</v>
      </c>
      <c r="ER16" s="51" t="b">
        <v>0</v>
      </c>
      <c r="ES16" s="51" t="b">
        <v>0</v>
      </c>
      <c r="ET16" s="103"/>
      <c r="EU16" s="102"/>
      <c r="EV16" s="51"/>
      <c r="EW16" s="51" t="b">
        <v>0</v>
      </c>
      <c r="EX16" s="51" t="b">
        <v>0</v>
      </c>
      <c r="EY16" s="51" t="b">
        <v>0</v>
      </c>
      <c r="EZ16" s="51" t="b">
        <v>0</v>
      </c>
      <c r="FA16" s="20"/>
      <c r="FB16" s="21"/>
      <c r="FC16" s="51"/>
      <c r="FD16" s="51" t="b">
        <v>0</v>
      </c>
      <c r="FE16" s="51" t="b">
        <v>0</v>
      </c>
      <c r="FF16" s="51" t="b">
        <v>0</v>
      </c>
      <c r="FG16" s="51" t="b">
        <v>0</v>
      </c>
      <c r="FH16" s="20"/>
      <c r="FI16" s="21"/>
      <c r="FJ16" s="51"/>
      <c r="FK16" s="51" t="b">
        <v>0</v>
      </c>
      <c r="FL16" s="51" t="b">
        <v>0</v>
      </c>
      <c r="FM16" s="51" t="b">
        <v>0</v>
      </c>
      <c r="FN16" s="51" t="b">
        <v>0</v>
      </c>
      <c r="FO16" s="103"/>
      <c r="FP16" s="102"/>
      <c r="FQ16" s="51"/>
      <c r="FR16" s="51" t="b">
        <v>0</v>
      </c>
      <c r="FS16" s="51" t="b">
        <v>0</v>
      </c>
      <c r="FT16" s="51" t="b">
        <v>0</v>
      </c>
      <c r="FU16" s="51" t="b">
        <v>0</v>
      </c>
      <c r="FV16" s="20"/>
      <c r="FW16" s="21"/>
      <c r="FX16" s="51"/>
      <c r="FY16" s="51" t="b">
        <v>0</v>
      </c>
      <c r="FZ16" s="51" t="b">
        <v>0</v>
      </c>
      <c r="GA16" s="51" t="b">
        <v>0</v>
      </c>
      <c r="GB16" s="51" t="b">
        <v>0</v>
      </c>
      <c r="GC16" s="20"/>
      <c r="GD16" s="21"/>
      <c r="GE16" s="51"/>
      <c r="GF16" s="51" t="b">
        <v>0</v>
      </c>
      <c r="GG16" s="51" t="b">
        <v>0</v>
      </c>
      <c r="GH16" s="51" t="b">
        <v>0</v>
      </c>
      <c r="GI16" s="51" t="b">
        <v>0</v>
      </c>
      <c r="GJ16" s="103"/>
      <c r="GK16" s="102"/>
      <c r="GL16" s="51"/>
      <c r="GM16" s="51" t="b">
        <v>0</v>
      </c>
      <c r="GN16" s="51" t="b">
        <v>0</v>
      </c>
      <c r="GO16" s="51" t="b">
        <v>0</v>
      </c>
      <c r="GP16" s="51" t="b">
        <v>0</v>
      </c>
      <c r="GQ16" s="20"/>
      <c r="GR16" s="21"/>
      <c r="GS16" s="51"/>
      <c r="GT16" s="51" t="b">
        <v>0</v>
      </c>
      <c r="GU16" s="51" t="b">
        <v>0</v>
      </c>
      <c r="GV16" s="51" t="b">
        <v>0</v>
      </c>
      <c r="GW16" s="51" t="b">
        <v>0</v>
      </c>
      <c r="GX16" s="20"/>
      <c r="GY16" s="21"/>
      <c r="GZ16" s="51"/>
      <c r="HA16" s="51" t="b">
        <v>0</v>
      </c>
      <c r="HB16" s="51" t="b">
        <v>0</v>
      </c>
      <c r="HC16" s="51" t="b">
        <v>0</v>
      </c>
      <c r="HD16" s="51" t="b">
        <v>0</v>
      </c>
      <c r="HE16" s="103"/>
      <c r="HF16" s="102"/>
      <c r="HG16" s="51"/>
      <c r="HH16" s="51" t="b">
        <v>0</v>
      </c>
      <c r="HI16" s="51" t="b">
        <v>0</v>
      </c>
      <c r="HJ16" s="51" t="b">
        <v>0</v>
      </c>
      <c r="HK16" s="51" t="b">
        <v>0</v>
      </c>
      <c r="HL16" s="20"/>
      <c r="HM16" s="21"/>
      <c r="HN16" s="51"/>
      <c r="HO16" s="51" t="b">
        <v>0</v>
      </c>
      <c r="HP16" s="51" t="b">
        <v>0</v>
      </c>
      <c r="HQ16" s="51" t="b">
        <v>0</v>
      </c>
      <c r="HR16" s="51" t="b">
        <v>0</v>
      </c>
      <c r="HS16" s="20"/>
      <c r="HT16" s="21"/>
      <c r="HU16" s="51"/>
      <c r="HV16" s="51" t="b">
        <v>0</v>
      </c>
      <c r="HW16" s="51" t="b">
        <v>0</v>
      </c>
      <c r="HX16" s="51" t="b">
        <v>0</v>
      </c>
      <c r="HY16" s="51" t="b">
        <v>0</v>
      </c>
      <c r="HZ16" s="103"/>
      <c r="IA16" s="102"/>
      <c r="IB16" s="51"/>
      <c r="IC16" s="51" t="b">
        <v>0</v>
      </c>
      <c r="ID16" s="51" t="b">
        <v>0</v>
      </c>
      <c r="IE16" s="51" t="b">
        <v>0</v>
      </c>
      <c r="IF16" s="51" t="b">
        <v>0</v>
      </c>
      <c r="IG16" s="20"/>
      <c r="IH16" s="21"/>
      <c r="II16" s="51"/>
      <c r="IJ16" s="51" t="b">
        <v>0</v>
      </c>
      <c r="IK16" s="51" t="b">
        <v>0</v>
      </c>
      <c r="IL16" s="51" t="b">
        <v>0</v>
      </c>
      <c r="IM16" s="51" t="b">
        <v>0</v>
      </c>
      <c r="IN16" s="20"/>
      <c r="IO16" s="21"/>
      <c r="IP16" s="51"/>
      <c r="IQ16" s="51" t="b">
        <v>0</v>
      </c>
      <c r="IR16" s="51" t="b">
        <v>0</v>
      </c>
      <c r="IS16" s="51" t="b">
        <v>0</v>
      </c>
      <c r="IT16" s="51" t="b">
        <v>0</v>
      </c>
      <c r="IU16" s="103"/>
      <c r="IV16" s="112"/>
    </row>
    <row r="17" spans="1:256" x14ac:dyDescent="0.2">
      <c r="A17" s="66"/>
      <c r="B17" s="14" t="s">
        <v>46</v>
      </c>
      <c r="C17">
        <v>8</v>
      </c>
      <c r="D17" s="102"/>
      <c r="E17" s="51"/>
      <c r="F17" s="51" t="s">
        <v>81</v>
      </c>
      <c r="G17" s="51" t="s">
        <v>81</v>
      </c>
      <c r="H17" s="51" t="s">
        <v>81</v>
      </c>
      <c r="I17" s="51" t="s">
        <v>81</v>
      </c>
      <c r="J17" s="20"/>
      <c r="K17" s="21"/>
      <c r="L17" s="51"/>
      <c r="M17" s="51" t="s">
        <v>81</v>
      </c>
      <c r="N17" s="51" t="s">
        <v>81</v>
      </c>
      <c r="O17" s="51" t="s">
        <v>81</v>
      </c>
      <c r="P17" s="51" t="s">
        <v>81</v>
      </c>
      <c r="Q17" s="20"/>
      <c r="R17" s="21"/>
      <c r="S17" s="51"/>
      <c r="T17" s="51" t="s">
        <v>81</v>
      </c>
      <c r="U17" s="51" t="s">
        <v>81</v>
      </c>
      <c r="V17" s="51" t="s">
        <v>81</v>
      </c>
      <c r="W17" s="51" t="s">
        <v>81</v>
      </c>
      <c r="X17" s="103"/>
      <c r="Y17" s="102"/>
      <c r="Z17" s="51"/>
      <c r="AA17" s="51" t="s">
        <v>81</v>
      </c>
      <c r="AB17" s="51" t="s">
        <v>81</v>
      </c>
      <c r="AC17" s="51" t="s">
        <v>81</v>
      </c>
      <c r="AD17" s="51" t="s">
        <v>81</v>
      </c>
      <c r="AE17" s="20"/>
      <c r="AF17" s="21"/>
      <c r="AG17" s="51"/>
      <c r="AH17" s="51" t="s">
        <v>81</v>
      </c>
      <c r="AI17" s="51" t="s">
        <v>81</v>
      </c>
      <c r="AJ17" s="51" t="s">
        <v>81</v>
      </c>
      <c r="AK17" s="51" t="s">
        <v>81</v>
      </c>
      <c r="AL17" s="20"/>
      <c r="AM17" s="21"/>
      <c r="AN17" s="51"/>
      <c r="AO17" s="51" t="s">
        <v>81</v>
      </c>
      <c r="AP17" s="51" t="s">
        <v>81</v>
      </c>
      <c r="AQ17" s="51" t="s">
        <v>81</v>
      </c>
      <c r="AR17" s="51" t="s">
        <v>81</v>
      </c>
      <c r="AS17" s="103"/>
      <c r="AT17" s="102"/>
      <c r="AU17" s="51"/>
      <c r="AV17" s="51" t="s">
        <v>81</v>
      </c>
      <c r="AW17" s="51" t="s">
        <v>81</v>
      </c>
      <c r="AX17" s="51" t="s">
        <v>81</v>
      </c>
      <c r="AY17" s="51" t="s">
        <v>81</v>
      </c>
      <c r="AZ17" s="20"/>
      <c r="BA17" s="21"/>
      <c r="BB17" s="51"/>
      <c r="BC17" s="51" t="s">
        <v>81</v>
      </c>
      <c r="BD17" s="51" t="s">
        <v>81</v>
      </c>
      <c r="BE17" s="51" t="s">
        <v>81</v>
      </c>
      <c r="BF17" s="51" t="s">
        <v>81</v>
      </c>
      <c r="BG17" s="20"/>
      <c r="BH17" s="21"/>
      <c r="BI17" s="51"/>
      <c r="BJ17" s="51" t="s">
        <v>81</v>
      </c>
      <c r="BK17" s="51" t="s">
        <v>81</v>
      </c>
      <c r="BL17" s="51" t="s">
        <v>81</v>
      </c>
      <c r="BM17" s="51" t="s">
        <v>81</v>
      </c>
      <c r="BN17" s="103"/>
      <c r="BO17" s="102"/>
      <c r="BP17" s="51"/>
      <c r="BQ17" s="51" t="b">
        <v>0</v>
      </c>
      <c r="BR17" s="51" t="b">
        <v>0</v>
      </c>
      <c r="BS17" s="51" t="b">
        <v>0</v>
      </c>
      <c r="BT17" s="51" t="b">
        <v>0</v>
      </c>
      <c r="BU17" s="20"/>
      <c r="BV17" s="21"/>
      <c r="BW17" s="51"/>
      <c r="BX17" s="51" t="b">
        <v>0</v>
      </c>
      <c r="BY17" s="51" t="b">
        <v>0</v>
      </c>
      <c r="BZ17" s="51" t="b">
        <v>0</v>
      </c>
      <c r="CA17" s="51" t="b">
        <v>0</v>
      </c>
      <c r="CB17" s="20"/>
      <c r="CC17" s="21"/>
      <c r="CD17" s="51"/>
      <c r="CE17" s="51" t="b">
        <v>0</v>
      </c>
      <c r="CF17" s="51" t="b">
        <v>0</v>
      </c>
      <c r="CG17" s="51" t="b">
        <v>0</v>
      </c>
      <c r="CH17" s="51" t="b">
        <v>0</v>
      </c>
      <c r="CI17" s="103"/>
      <c r="CJ17" s="102"/>
      <c r="CK17" s="51"/>
      <c r="CL17" s="51" t="b">
        <v>0</v>
      </c>
      <c r="CM17" s="51" t="b">
        <v>0</v>
      </c>
      <c r="CN17" s="51" t="b">
        <v>0</v>
      </c>
      <c r="CO17" s="51" t="b">
        <v>0</v>
      </c>
      <c r="CP17" s="20"/>
      <c r="CQ17" s="21"/>
      <c r="CR17" s="51"/>
      <c r="CS17" s="51" t="b">
        <v>0</v>
      </c>
      <c r="CT17" s="51" t="b">
        <v>0</v>
      </c>
      <c r="CU17" s="51" t="b">
        <v>0</v>
      </c>
      <c r="CV17" s="51" t="b">
        <v>0</v>
      </c>
      <c r="CW17" s="20"/>
      <c r="CX17" s="21"/>
      <c r="CY17" s="51"/>
      <c r="CZ17" s="51" t="b">
        <v>0</v>
      </c>
      <c r="DA17" s="51" t="b">
        <v>0</v>
      </c>
      <c r="DB17" s="51" t="b">
        <v>0</v>
      </c>
      <c r="DC17" s="51" t="b">
        <v>0</v>
      </c>
      <c r="DD17" s="103"/>
      <c r="DE17" s="102"/>
      <c r="DF17" s="51"/>
      <c r="DG17" s="51" t="b">
        <v>0</v>
      </c>
      <c r="DH17" s="51" t="b">
        <v>0</v>
      </c>
      <c r="DI17" s="51" t="b">
        <v>0</v>
      </c>
      <c r="DJ17" s="51" t="b">
        <v>0</v>
      </c>
      <c r="DK17" s="20"/>
      <c r="DL17" s="21"/>
      <c r="DM17" s="51"/>
      <c r="DN17" s="51" t="b">
        <v>0</v>
      </c>
      <c r="DO17" s="51" t="b">
        <v>0</v>
      </c>
      <c r="DP17" s="51" t="b">
        <v>0</v>
      </c>
      <c r="DQ17" s="51" t="b">
        <v>0</v>
      </c>
      <c r="DR17" s="20"/>
      <c r="DS17" s="21"/>
      <c r="DT17" s="51"/>
      <c r="DU17" s="51" t="b">
        <v>0</v>
      </c>
      <c r="DV17" s="51" t="b">
        <v>0</v>
      </c>
      <c r="DW17" s="51" t="b">
        <v>0</v>
      </c>
      <c r="DX17" s="51" t="b">
        <v>0</v>
      </c>
      <c r="DY17" s="103"/>
      <c r="DZ17" s="102"/>
      <c r="EA17" s="51"/>
      <c r="EB17" s="51" t="b">
        <v>0</v>
      </c>
      <c r="EC17" s="51" t="b">
        <v>0</v>
      </c>
      <c r="ED17" s="51" t="b">
        <v>0</v>
      </c>
      <c r="EE17" s="51" t="b">
        <v>0</v>
      </c>
      <c r="EF17" s="20"/>
      <c r="EG17" s="21"/>
      <c r="EH17" s="51"/>
      <c r="EI17" s="51" t="b">
        <v>0</v>
      </c>
      <c r="EJ17" s="51" t="b">
        <v>0</v>
      </c>
      <c r="EK17" s="51" t="b">
        <v>0</v>
      </c>
      <c r="EL17" s="51" t="b">
        <v>0</v>
      </c>
      <c r="EM17" s="20"/>
      <c r="EN17" s="21"/>
      <c r="EO17" s="51"/>
      <c r="EP17" s="51" t="b">
        <v>0</v>
      </c>
      <c r="EQ17" s="51" t="b">
        <v>0</v>
      </c>
      <c r="ER17" s="51" t="b">
        <v>0</v>
      </c>
      <c r="ES17" s="51" t="b">
        <v>0</v>
      </c>
      <c r="ET17" s="103"/>
      <c r="EU17" s="102"/>
      <c r="EV17" s="51"/>
      <c r="EW17" s="51" t="b">
        <v>0</v>
      </c>
      <c r="EX17" s="51" t="b">
        <v>0</v>
      </c>
      <c r="EY17" s="51" t="b">
        <v>0</v>
      </c>
      <c r="EZ17" s="51" t="b">
        <v>0</v>
      </c>
      <c r="FA17" s="20"/>
      <c r="FB17" s="21"/>
      <c r="FC17" s="51"/>
      <c r="FD17" s="51" t="b">
        <v>0</v>
      </c>
      <c r="FE17" s="51" t="b">
        <v>0</v>
      </c>
      <c r="FF17" s="51" t="b">
        <v>0</v>
      </c>
      <c r="FG17" s="51" t="b">
        <v>0</v>
      </c>
      <c r="FH17" s="20"/>
      <c r="FI17" s="21"/>
      <c r="FJ17" s="51"/>
      <c r="FK17" s="51" t="b">
        <v>0</v>
      </c>
      <c r="FL17" s="51" t="b">
        <v>0</v>
      </c>
      <c r="FM17" s="51" t="b">
        <v>0</v>
      </c>
      <c r="FN17" s="51" t="b">
        <v>0</v>
      </c>
      <c r="FO17" s="103"/>
      <c r="FP17" s="102"/>
      <c r="FQ17" s="51"/>
      <c r="FR17" s="51" t="b">
        <v>0</v>
      </c>
      <c r="FS17" s="51" t="b">
        <v>0</v>
      </c>
      <c r="FT17" s="51" t="b">
        <v>0</v>
      </c>
      <c r="FU17" s="51" t="b">
        <v>0</v>
      </c>
      <c r="FV17" s="20"/>
      <c r="FW17" s="21"/>
      <c r="FX17" s="51"/>
      <c r="FY17" s="51" t="b">
        <v>0</v>
      </c>
      <c r="FZ17" s="51" t="b">
        <v>0</v>
      </c>
      <c r="GA17" s="51" t="b">
        <v>0</v>
      </c>
      <c r="GB17" s="51" t="b">
        <v>0</v>
      </c>
      <c r="GC17" s="20"/>
      <c r="GD17" s="21"/>
      <c r="GE17" s="51"/>
      <c r="GF17" s="51" t="b">
        <v>0</v>
      </c>
      <c r="GG17" s="51" t="b">
        <v>0</v>
      </c>
      <c r="GH17" s="51" t="b">
        <v>0</v>
      </c>
      <c r="GI17" s="51" t="b">
        <v>0</v>
      </c>
      <c r="GJ17" s="103"/>
      <c r="GK17" s="102"/>
      <c r="GL17" s="51"/>
      <c r="GM17" s="51" t="b">
        <v>0</v>
      </c>
      <c r="GN17" s="51" t="b">
        <v>0</v>
      </c>
      <c r="GO17" s="51" t="b">
        <v>0</v>
      </c>
      <c r="GP17" s="51" t="b">
        <v>0</v>
      </c>
      <c r="GQ17" s="20"/>
      <c r="GR17" s="21"/>
      <c r="GS17" s="51"/>
      <c r="GT17" s="51" t="b">
        <v>0</v>
      </c>
      <c r="GU17" s="51" t="b">
        <v>0</v>
      </c>
      <c r="GV17" s="51" t="b">
        <v>0</v>
      </c>
      <c r="GW17" s="51" t="b">
        <v>0</v>
      </c>
      <c r="GX17" s="20"/>
      <c r="GY17" s="21"/>
      <c r="GZ17" s="51"/>
      <c r="HA17" s="51" t="b">
        <v>0</v>
      </c>
      <c r="HB17" s="51" t="b">
        <v>0</v>
      </c>
      <c r="HC17" s="51" t="b">
        <v>0</v>
      </c>
      <c r="HD17" s="51" t="b">
        <v>0</v>
      </c>
      <c r="HE17" s="103"/>
      <c r="HF17" s="102"/>
      <c r="HG17" s="51"/>
      <c r="HH17" s="51" t="b">
        <v>0</v>
      </c>
      <c r="HI17" s="51" t="b">
        <v>0</v>
      </c>
      <c r="HJ17" s="51" t="b">
        <v>0</v>
      </c>
      <c r="HK17" s="51" t="b">
        <v>0</v>
      </c>
      <c r="HL17" s="20"/>
      <c r="HM17" s="21"/>
      <c r="HN17" s="51"/>
      <c r="HO17" s="51" t="b">
        <v>0</v>
      </c>
      <c r="HP17" s="51" t="b">
        <v>0</v>
      </c>
      <c r="HQ17" s="51" t="b">
        <v>0</v>
      </c>
      <c r="HR17" s="51" t="b">
        <v>0</v>
      </c>
      <c r="HS17" s="20"/>
      <c r="HT17" s="21"/>
      <c r="HU17" s="51"/>
      <c r="HV17" s="51" t="b">
        <v>0</v>
      </c>
      <c r="HW17" s="51" t="b">
        <v>0</v>
      </c>
      <c r="HX17" s="51" t="b">
        <v>0</v>
      </c>
      <c r="HY17" s="51" t="b">
        <v>0</v>
      </c>
      <c r="HZ17" s="103"/>
      <c r="IA17" s="102"/>
      <c r="IB17" s="51"/>
      <c r="IC17" s="51" t="b">
        <v>0</v>
      </c>
      <c r="ID17" s="51" t="b">
        <v>0</v>
      </c>
      <c r="IE17" s="51" t="b">
        <v>0</v>
      </c>
      <c r="IF17" s="51" t="b">
        <v>0</v>
      </c>
      <c r="IG17" s="20"/>
      <c r="IH17" s="21"/>
      <c r="II17" s="51"/>
      <c r="IJ17" s="51" t="b">
        <v>0</v>
      </c>
      <c r="IK17" s="51" t="b">
        <v>0</v>
      </c>
      <c r="IL17" s="51" t="b">
        <v>0</v>
      </c>
      <c r="IM17" s="51" t="b">
        <v>0</v>
      </c>
      <c r="IN17" s="20"/>
      <c r="IO17" s="21"/>
      <c r="IP17" s="51"/>
      <c r="IQ17" s="51" t="b">
        <v>0</v>
      </c>
      <c r="IR17" s="51" t="b">
        <v>0</v>
      </c>
      <c r="IS17" s="51" t="b">
        <v>0</v>
      </c>
      <c r="IT17" s="51" t="b">
        <v>0</v>
      </c>
      <c r="IU17" s="103"/>
      <c r="IV17" s="112"/>
    </row>
    <row r="18" spans="1:256" x14ac:dyDescent="0.2">
      <c r="A18" s="66"/>
      <c r="B18" s="14" t="s">
        <v>46</v>
      </c>
      <c r="C18">
        <v>9</v>
      </c>
      <c r="D18" s="102"/>
      <c r="E18" s="51"/>
      <c r="F18" s="51" t="s">
        <v>81</v>
      </c>
      <c r="G18" s="51" t="s">
        <v>81</v>
      </c>
      <c r="H18" s="51" t="s">
        <v>81</v>
      </c>
      <c r="I18" s="51" t="s">
        <v>81</v>
      </c>
      <c r="J18" s="20"/>
      <c r="K18" s="21"/>
      <c r="L18" s="51"/>
      <c r="M18" s="51" t="s">
        <v>81</v>
      </c>
      <c r="N18" s="51" t="s">
        <v>81</v>
      </c>
      <c r="O18" s="51" t="s">
        <v>81</v>
      </c>
      <c r="P18" s="51" t="s">
        <v>81</v>
      </c>
      <c r="Q18" s="20"/>
      <c r="R18" s="21"/>
      <c r="S18" s="51"/>
      <c r="T18" s="51" t="s">
        <v>81</v>
      </c>
      <c r="U18" s="51" t="s">
        <v>81</v>
      </c>
      <c r="V18" s="51" t="s">
        <v>81</v>
      </c>
      <c r="W18" s="51" t="s">
        <v>81</v>
      </c>
      <c r="X18" s="103"/>
      <c r="Y18" s="102"/>
      <c r="Z18" s="51"/>
      <c r="AA18" s="51" t="s">
        <v>81</v>
      </c>
      <c r="AB18" s="51" t="s">
        <v>81</v>
      </c>
      <c r="AC18" s="51" t="s">
        <v>81</v>
      </c>
      <c r="AD18" s="51" t="s">
        <v>81</v>
      </c>
      <c r="AE18" s="20"/>
      <c r="AF18" s="21"/>
      <c r="AG18" s="51"/>
      <c r="AH18" s="51" t="s">
        <v>81</v>
      </c>
      <c r="AI18" s="51" t="s">
        <v>81</v>
      </c>
      <c r="AJ18" s="51" t="s">
        <v>81</v>
      </c>
      <c r="AK18" s="51" t="s">
        <v>81</v>
      </c>
      <c r="AL18" s="20"/>
      <c r="AM18" s="21"/>
      <c r="AN18" s="51"/>
      <c r="AO18" s="51" t="s">
        <v>81</v>
      </c>
      <c r="AP18" s="51" t="s">
        <v>81</v>
      </c>
      <c r="AQ18" s="51" t="s">
        <v>81</v>
      </c>
      <c r="AR18" s="51" t="s">
        <v>81</v>
      </c>
      <c r="AS18" s="103"/>
      <c r="AT18" s="102"/>
      <c r="AU18" s="51"/>
      <c r="AV18" s="51" t="s">
        <v>81</v>
      </c>
      <c r="AW18" s="51" t="s">
        <v>81</v>
      </c>
      <c r="AX18" s="51" t="s">
        <v>81</v>
      </c>
      <c r="AY18" s="51" t="s">
        <v>81</v>
      </c>
      <c r="AZ18" s="20"/>
      <c r="BA18" s="21"/>
      <c r="BB18" s="51"/>
      <c r="BC18" s="51" t="s">
        <v>81</v>
      </c>
      <c r="BD18" s="51" t="s">
        <v>81</v>
      </c>
      <c r="BE18" s="51" t="s">
        <v>81</v>
      </c>
      <c r="BF18" s="51" t="s">
        <v>81</v>
      </c>
      <c r="BG18" s="20"/>
      <c r="BH18" s="21"/>
      <c r="BI18" s="51"/>
      <c r="BJ18" s="51" t="s">
        <v>81</v>
      </c>
      <c r="BK18" s="51" t="s">
        <v>81</v>
      </c>
      <c r="BL18" s="51" t="s">
        <v>81</v>
      </c>
      <c r="BM18" s="51" t="s">
        <v>81</v>
      </c>
      <c r="BN18" s="103"/>
      <c r="BO18" s="102"/>
      <c r="BP18" s="51"/>
      <c r="BQ18" s="51" t="b">
        <v>0</v>
      </c>
      <c r="BR18" s="51" t="b">
        <v>0</v>
      </c>
      <c r="BS18" s="51" t="b">
        <v>0</v>
      </c>
      <c r="BT18" s="51" t="b">
        <v>0</v>
      </c>
      <c r="BU18" s="20"/>
      <c r="BV18" s="21"/>
      <c r="BW18" s="51"/>
      <c r="BX18" s="51" t="b">
        <v>0</v>
      </c>
      <c r="BY18" s="51" t="b">
        <v>0</v>
      </c>
      <c r="BZ18" s="51" t="b">
        <v>0</v>
      </c>
      <c r="CA18" s="51" t="b">
        <v>0</v>
      </c>
      <c r="CB18" s="20"/>
      <c r="CC18" s="21"/>
      <c r="CD18" s="51"/>
      <c r="CE18" s="51" t="b">
        <v>0</v>
      </c>
      <c r="CF18" s="51" t="b">
        <v>0</v>
      </c>
      <c r="CG18" s="51" t="b">
        <v>0</v>
      </c>
      <c r="CH18" s="51" t="b">
        <v>0</v>
      </c>
      <c r="CI18" s="103"/>
      <c r="CJ18" s="102"/>
      <c r="CK18" s="51"/>
      <c r="CL18" s="51" t="b">
        <v>0</v>
      </c>
      <c r="CM18" s="51" t="b">
        <v>0</v>
      </c>
      <c r="CN18" s="51" t="b">
        <v>0</v>
      </c>
      <c r="CO18" s="51" t="b">
        <v>0</v>
      </c>
      <c r="CP18" s="20"/>
      <c r="CQ18" s="21"/>
      <c r="CR18" s="51"/>
      <c r="CS18" s="51" t="b">
        <v>0</v>
      </c>
      <c r="CT18" s="51" t="b">
        <v>0</v>
      </c>
      <c r="CU18" s="51" t="b">
        <v>0</v>
      </c>
      <c r="CV18" s="51" t="b">
        <v>0</v>
      </c>
      <c r="CW18" s="20"/>
      <c r="CX18" s="21"/>
      <c r="CY18" s="51"/>
      <c r="CZ18" s="51" t="b">
        <v>0</v>
      </c>
      <c r="DA18" s="51" t="b">
        <v>0</v>
      </c>
      <c r="DB18" s="51" t="b">
        <v>0</v>
      </c>
      <c r="DC18" s="51" t="b">
        <v>0</v>
      </c>
      <c r="DD18" s="103"/>
      <c r="DE18" s="102"/>
      <c r="DF18" s="51"/>
      <c r="DG18" s="51" t="b">
        <v>0</v>
      </c>
      <c r="DH18" s="51" t="b">
        <v>0</v>
      </c>
      <c r="DI18" s="51" t="b">
        <v>0</v>
      </c>
      <c r="DJ18" s="51" t="b">
        <v>0</v>
      </c>
      <c r="DK18" s="20"/>
      <c r="DL18" s="21"/>
      <c r="DM18" s="51"/>
      <c r="DN18" s="51" t="b">
        <v>0</v>
      </c>
      <c r="DO18" s="51" t="b">
        <v>0</v>
      </c>
      <c r="DP18" s="51" t="b">
        <v>0</v>
      </c>
      <c r="DQ18" s="51" t="b">
        <v>0</v>
      </c>
      <c r="DR18" s="20"/>
      <c r="DS18" s="21"/>
      <c r="DT18" s="51"/>
      <c r="DU18" s="51" t="b">
        <v>0</v>
      </c>
      <c r="DV18" s="51" t="b">
        <v>0</v>
      </c>
      <c r="DW18" s="51" t="b">
        <v>0</v>
      </c>
      <c r="DX18" s="51" t="b">
        <v>0</v>
      </c>
      <c r="DY18" s="103"/>
      <c r="DZ18" s="102"/>
      <c r="EA18" s="51"/>
      <c r="EB18" s="51" t="b">
        <v>0</v>
      </c>
      <c r="EC18" s="51" t="b">
        <v>0</v>
      </c>
      <c r="ED18" s="51" t="b">
        <v>0</v>
      </c>
      <c r="EE18" s="51" t="b">
        <v>0</v>
      </c>
      <c r="EF18" s="20"/>
      <c r="EG18" s="21"/>
      <c r="EH18" s="51"/>
      <c r="EI18" s="51" t="b">
        <v>0</v>
      </c>
      <c r="EJ18" s="51" t="b">
        <v>0</v>
      </c>
      <c r="EK18" s="51" t="b">
        <v>0</v>
      </c>
      <c r="EL18" s="51" t="b">
        <v>0</v>
      </c>
      <c r="EM18" s="20"/>
      <c r="EN18" s="21"/>
      <c r="EO18" s="51"/>
      <c r="EP18" s="51" t="b">
        <v>0</v>
      </c>
      <c r="EQ18" s="51" t="b">
        <v>0</v>
      </c>
      <c r="ER18" s="51" t="b">
        <v>0</v>
      </c>
      <c r="ES18" s="51" t="b">
        <v>0</v>
      </c>
      <c r="ET18" s="103"/>
      <c r="EU18" s="102"/>
      <c r="EV18" s="51"/>
      <c r="EW18" s="51" t="b">
        <v>0</v>
      </c>
      <c r="EX18" s="51" t="b">
        <v>0</v>
      </c>
      <c r="EY18" s="51" t="b">
        <v>0</v>
      </c>
      <c r="EZ18" s="51" t="b">
        <v>0</v>
      </c>
      <c r="FA18" s="20"/>
      <c r="FB18" s="21"/>
      <c r="FC18" s="51"/>
      <c r="FD18" s="51" t="b">
        <v>0</v>
      </c>
      <c r="FE18" s="51" t="b">
        <v>0</v>
      </c>
      <c r="FF18" s="51" t="b">
        <v>0</v>
      </c>
      <c r="FG18" s="51" t="b">
        <v>0</v>
      </c>
      <c r="FH18" s="20"/>
      <c r="FI18" s="21"/>
      <c r="FJ18" s="51"/>
      <c r="FK18" s="51" t="b">
        <v>0</v>
      </c>
      <c r="FL18" s="51" t="b">
        <v>0</v>
      </c>
      <c r="FM18" s="51" t="b">
        <v>0</v>
      </c>
      <c r="FN18" s="51" t="b">
        <v>0</v>
      </c>
      <c r="FO18" s="103"/>
      <c r="FP18" s="102"/>
      <c r="FQ18" s="51"/>
      <c r="FR18" s="51" t="b">
        <v>0</v>
      </c>
      <c r="FS18" s="51" t="b">
        <v>0</v>
      </c>
      <c r="FT18" s="51" t="b">
        <v>0</v>
      </c>
      <c r="FU18" s="51" t="b">
        <v>0</v>
      </c>
      <c r="FV18" s="20"/>
      <c r="FW18" s="21"/>
      <c r="FX18" s="51"/>
      <c r="FY18" s="51" t="b">
        <v>0</v>
      </c>
      <c r="FZ18" s="51" t="b">
        <v>0</v>
      </c>
      <c r="GA18" s="51" t="b">
        <v>0</v>
      </c>
      <c r="GB18" s="51" t="b">
        <v>0</v>
      </c>
      <c r="GC18" s="20"/>
      <c r="GD18" s="21"/>
      <c r="GE18" s="51"/>
      <c r="GF18" s="51" t="b">
        <v>0</v>
      </c>
      <c r="GG18" s="51" t="b">
        <v>0</v>
      </c>
      <c r="GH18" s="51" t="b">
        <v>0</v>
      </c>
      <c r="GI18" s="51" t="b">
        <v>0</v>
      </c>
      <c r="GJ18" s="103"/>
      <c r="GK18" s="102"/>
      <c r="GL18" s="51"/>
      <c r="GM18" s="51" t="b">
        <v>0</v>
      </c>
      <c r="GN18" s="51" t="b">
        <v>0</v>
      </c>
      <c r="GO18" s="51" t="b">
        <v>0</v>
      </c>
      <c r="GP18" s="51" t="b">
        <v>0</v>
      </c>
      <c r="GQ18" s="20"/>
      <c r="GR18" s="21"/>
      <c r="GS18" s="51"/>
      <c r="GT18" s="51" t="b">
        <v>0</v>
      </c>
      <c r="GU18" s="51" t="b">
        <v>0</v>
      </c>
      <c r="GV18" s="51" t="b">
        <v>0</v>
      </c>
      <c r="GW18" s="51" t="b">
        <v>0</v>
      </c>
      <c r="GX18" s="20"/>
      <c r="GY18" s="21"/>
      <c r="GZ18" s="51"/>
      <c r="HA18" s="51" t="b">
        <v>0</v>
      </c>
      <c r="HB18" s="51" t="b">
        <v>0</v>
      </c>
      <c r="HC18" s="51" t="b">
        <v>0</v>
      </c>
      <c r="HD18" s="51" t="b">
        <v>0</v>
      </c>
      <c r="HE18" s="103"/>
      <c r="HF18" s="102"/>
      <c r="HG18" s="51"/>
      <c r="HH18" s="51" t="b">
        <v>0</v>
      </c>
      <c r="HI18" s="51" t="b">
        <v>0</v>
      </c>
      <c r="HJ18" s="51" t="b">
        <v>0</v>
      </c>
      <c r="HK18" s="51" t="b">
        <v>0</v>
      </c>
      <c r="HL18" s="20"/>
      <c r="HM18" s="21"/>
      <c r="HN18" s="51"/>
      <c r="HO18" s="51" t="b">
        <v>0</v>
      </c>
      <c r="HP18" s="51" t="b">
        <v>0</v>
      </c>
      <c r="HQ18" s="51" t="b">
        <v>0</v>
      </c>
      <c r="HR18" s="51" t="b">
        <v>0</v>
      </c>
      <c r="HS18" s="20"/>
      <c r="HT18" s="21"/>
      <c r="HU18" s="51"/>
      <c r="HV18" s="51" t="b">
        <v>0</v>
      </c>
      <c r="HW18" s="51" t="b">
        <v>0</v>
      </c>
      <c r="HX18" s="51" t="b">
        <v>0</v>
      </c>
      <c r="HY18" s="51" t="b">
        <v>0</v>
      </c>
      <c r="HZ18" s="103"/>
      <c r="IA18" s="102"/>
      <c r="IB18" s="51"/>
      <c r="IC18" s="51" t="b">
        <v>0</v>
      </c>
      <c r="ID18" s="51" t="b">
        <v>0</v>
      </c>
      <c r="IE18" s="51" t="b">
        <v>0</v>
      </c>
      <c r="IF18" s="51" t="b">
        <v>0</v>
      </c>
      <c r="IG18" s="20"/>
      <c r="IH18" s="21"/>
      <c r="II18" s="51"/>
      <c r="IJ18" s="51" t="b">
        <v>0</v>
      </c>
      <c r="IK18" s="51" t="b">
        <v>0</v>
      </c>
      <c r="IL18" s="51" t="b">
        <v>0</v>
      </c>
      <c r="IM18" s="51" t="b">
        <v>0</v>
      </c>
      <c r="IN18" s="20"/>
      <c r="IO18" s="21"/>
      <c r="IP18" s="51"/>
      <c r="IQ18" s="51" t="b">
        <v>0</v>
      </c>
      <c r="IR18" s="51" t="b">
        <v>0</v>
      </c>
      <c r="IS18" s="51" t="b">
        <v>0</v>
      </c>
      <c r="IT18" s="51" t="b">
        <v>0</v>
      </c>
      <c r="IU18" s="103"/>
      <c r="IV18" s="112"/>
    </row>
    <row r="19" spans="1:256" x14ac:dyDescent="0.2">
      <c r="A19" s="66"/>
      <c r="B19" s="14" t="s">
        <v>46</v>
      </c>
      <c r="C19">
        <v>10</v>
      </c>
      <c r="D19" s="102"/>
      <c r="E19" s="51"/>
      <c r="F19" s="51" t="s">
        <v>81</v>
      </c>
      <c r="G19" s="51" t="s">
        <v>81</v>
      </c>
      <c r="H19" s="51" t="s">
        <v>81</v>
      </c>
      <c r="I19" s="51" t="s">
        <v>81</v>
      </c>
      <c r="J19" s="20"/>
      <c r="K19" s="21"/>
      <c r="L19" s="51"/>
      <c r="M19" s="51" t="s">
        <v>81</v>
      </c>
      <c r="N19" s="51" t="s">
        <v>81</v>
      </c>
      <c r="O19" s="51" t="s">
        <v>81</v>
      </c>
      <c r="P19" s="51" t="s">
        <v>81</v>
      </c>
      <c r="Q19" s="20"/>
      <c r="R19" s="21"/>
      <c r="S19" s="51"/>
      <c r="T19" s="51" t="s">
        <v>81</v>
      </c>
      <c r="U19" s="51" t="s">
        <v>81</v>
      </c>
      <c r="V19" s="51" t="s">
        <v>81</v>
      </c>
      <c r="W19" s="51" t="s">
        <v>81</v>
      </c>
      <c r="X19" s="103"/>
      <c r="Y19" s="102"/>
      <c r="Z19" s="51"/>
      <c r="AA19" s="51" t="s">
        <v>81</v>
      </c>
      <c r="AB19" s="51" t="s">
        <v>81</v>
      </c>
      <c r="AC19" s="51" t="s">
        <v>81</v>
      </c>
      <c r="AD19" s="51" t="s">
        <v>81</v>
      </c>
      <c r="AE19" s="20"/>
      <c r="AF19" s="21"/>
      <c r="AG19" s="51"/>
      <c r="AH19" s="51" t="s">
        <v>81</v>
      </c>
      <c r="AI19" s="51" t="s">
        <v>81</v>
      </c>
      <c r="AJ19" s="51" t="s">
        <v>81</v>
      </c>
      <c r="AK19" s="51" t="s">
        <v>81</v>
      </c>
      <c r="AL19" s="20"/>
      <c r="AM19" s="21"/>
      <c r="AN19" s="51"/>
      <c r="AO19" s="51" t="s">
        <v>81</v>
      </c>
      <c r="AP19" s="51" t="s">
        <v>81</v>
      </c>
      <c r="AQ19" s="51" t="s">
        <v>81</v>
      </c>
      <c r="AR19" s="51" t="s">
        <v>81</v>
      </c>
      <c r="AS19" s="103"/>
      <c r="AT19" s="102"/>
      <c r="AU19" s="51"/>
      <c r="AV19" s="51" t="s">
        <v>81</v>
      </c>
      <c r="AW19" s="51" t="s">
        <v>81</v>
      </c>
      <c r="AX19" s="51" t="s">
        <v>81</v>
      </c>
      <c r="AY19" s="51" t="s">
        <v>81</v>
      </c>
      <c r="AZ19" s="20"/>
      <c r="BA19" s="21"/>
      <c r="BB19" s="51"/>
      <c r="BC19" s="51" t="s">
        <v>81</v>
      </c>
      <c r="BD19" s="51" t="s">
        <v>81</v>
      </c>
      <c r="BE19" s="51" t="s">
        <v>81</v>
      </c>
      <c r="BF19" s="51" t="s">
        <v>81</v>
      </c>
      <c r="BG19" s="20"/>
      <c r="BH19" s="21"/>
      <c r="BI19" s="51"/>
      <c r="BJ19" s="51" t="s">
        <v>81</v>
      </c>
      <c r="BK19" s="51" t="s">
        <v>81</v>
      </c>
      <c r="BL19" s="51" t="s">
        <v>81</v>
      </c>
      <c r="BM19" s="51" t="s">
        <v>81</v>
      </c>
      <c r="BN19" s="103"/>
      <c r="BO19" s="102"/>
      <c r="BP19" s="51"/>
      <c r="BQ19" s="51" t="b">
        <v>0</v>
      </c>
      <c r="BR19" s="51" t="b">
        <v>0</v>
      </c>
      <c r="BS19" s="51" t="b">
        <v>0</v>
      </c>
      <c r="BT19" s="51" t="b">
        <v>0</v>
      </c>
      <c r="BU19" s="20"/>
      <c r="BV19" s="21"/>
      <c r="BW19" s="51"/>
      <c r="BX19" s="51" t="b">
        <v>0</v>
      </c>
      <c r="BY19" s="51" t="b">
        <v>0</v>
      </c>
      <c r="BZ19" s="51" t="b">
        <v>0</v>
      </c>
      <c r="CA19" s="51" t="b">
        <v>0</v>
      </c>
      <c r="CB19" s="20"/>
      <c r="CC19" s="21"/>
      <c r="CD19" s="51"/>
      <c r="CE19" s="51" t="b">
        <v>0</v>
      </c>
      <c r="CF19" s="51" t="b">
        <v>0</v>
      </c>
      <c r="CG19" s="51" t="b">
        <v>0</v>
      </c>
      <c r="CH19" s="51" t="b">
        <v>0</v>
      </c>
      <c r="CI19" s="103"/>
      <c r="CJ19" s="102"/>
      <c r="CK19" s="51"/>
      <c r="CL19" s="51" t="b">
        <v>0</v>
      </c>
      <c r="CM19" s="51" t="b">
        <v>0</v>
      </c>
      <c r="CN19" s="51" t="b">
        <v>0</v>
      </c>
      <c r="CO19" s="51" t="b">
        <v>0</v>
      </c>
      <c r="CP19" s="20"/>
      <c r="CQ19" s="21"/>
      <c r="CR19" s="51"/>
      <c r="CS19" s="51" t="b">
        <v>0</v>
      </c>
      <c r="CT19" s="51" t="b">
        <v>0</v>
      </c>
      <c r="CU19" s="51" t="b">
        <v>0</v>
      </c>
      <c r="CV19" s="51" t="b">
        <v>0</v>
      </c>
      <c r="CW19" s="20"/>
      <c r="CX19" s="21"/>
      <c r="CY19" s="51"/>
      <c r="CZ19" s="51" t="b">
        <v>0</v>
      </c>
      <c r="DA19" s="51" t="b">
        <v>0</v>
      </c>
      <c r="DB19" s="51" t="b">
        <v>0</v>
      </c>
      <c r="DC19" s="51" t="b">
        <v>0</v>
      </c>
      <c r="DD19" s="103"/>
      <c r="DE19" s="102"/>
      <c r="DF19" s="51"/>
      <c r="DG19" s="51" t="b">
        <v>0</v>
      </c>
      <c r="DH19" s="51" t="b">
        <v>0</v>
      </c>
      <c r="DI19" s="51" t="b">
        <v>0</v>
      </c>
      <c r="DJ19" s="51" t="b">
        <v>0</v>
      </c>
      <c r="DK19" s="20"/>
      <c r="DL19" s="21"/>
      <c r="DM19" s="51"/>
      <c r="DN19" s="51" t="b">
        <v>0</v>
      </c>
      <c r="DO19" s="51" t="b">
        <v>0</v>
      </c>
      <c r="DP19" s="51" t="b">
        <v>0</v>
      </c>
      <c r="DQ19" s="51" t="b">
        <v>0</v>
      </c>
      <c r="DR19" s="20"/>
      <c r="DS19" s="21"/>
      <c r="DT19" s="51"/>
      <c r="DU19" s="51" t="b">
        <v>0</v>
      </c>
      <c r="DV19" s="51" t="b">
        <v>0</v>
      </c>
      <c r="DW19" s="51" t="b">
        <v>0</v>
      </c>
      <c r="DX19" s="51" t="b">
        <v>0</v>
      </c>
      <c r="DY19" s="103"/>
      <c r="DZ19" s="102"/>
      <c r="EA19" s="51"/>
      <c r="EB19" s="51" t="b">
        <v>0</v>
      </c>
      <c r="EC19" s="51" t="b">
        <v>0</v>
      </c>
      <c r="ED19" s="51" t="b">
        <v>0</v>
      </c>
      <c r="EE19" s="51" t="b">
        <v>0</v>
      </c>
      <c r="EF19" s="20"/>
      <c r="EG19" s="21"/>
      <c r="EH19" s="51"/>
      <c r="EI19" s="51" t="b">
        <v>0</v>
      </c>
      <c r="EJ19" s="51" t="b">
        <v>0</v>
      </c>
      <c r="EK19" s="51" t="b">
        <v>0</v>
      </c>
      <c r="EL19" s="51" t="b">
        <v>0</v>
      </c>
      <c r="EM19" s="20"/>
      <c r="EN19" s="21"/>
      <c r="EO19" s="51"/>
      <c r="EP19" s="51" t="b">
        <v>0</v>
      </c>
      <c r="EQ19" s="51" t="b">
        <v>0</v>
      </c>
      <c r="ER19" s="51" t="b">
        <v>0</v>
      </c>
      <c r="ES19" s="51" t="b">
        <v>0</v>
      </c>
      <c r="ET19" s="103"/>
      <c r="EU19" s="102"/>
      <c r="EV19" s="51"/>
      <c r="EW19" s="51" t="b">
        <v>0</v>
      </c>
      <c r="EX19" s="51" t="b">
        <v>0</v>
      </c>
      <c r="EY19" s="51" t="b">
        <v>0</v>
      </c>
      <c r="EZ19" s="51" t="b">
        <v>0</v>
      </c>
      <c r="FA19" s="20"/>
      <c r="FB19" s="21"/>
      <c r="FC19" s="51"/>
      <c r="FD19" s="51" t="b">
        <v>0</v>
      </c>
      <c r="FE19" s="51" t="b">
        <v>0</v>
      </c>
      <c r="FF19" s="51" t="b">
        <v>0</v>
      </c>
      <c r="FG19" s="51" t="b">
        <v>0</v>
      </c>
      <c r="FH19" s="20"/>
      <c r="FI19" s="21"/>
      <c r="FJ19" s="51"/>
      <c r="FK19" s="51" t="b">
        <v>0</v>
      </c>
      <c r="FL19" s="51" t="b">
        <v>0</v>
      </c>
      <c r="FM19" s="51" t="b">
        <v>0</v>
      </c>
      <c r="FN19" s="51" t="b">
        <v>0</v>
      </c>
      <c r="FO19" s="103"/>
      <c r="FP19" s="102"/>
      <c r="FQ19" s="51"/>
      <c r="FR19" s="51" t="b">
        <v>0</v>
      </c>
      <c r="FS19" s="51" t="b">
        <v>0</v>
      </c>
      <c r="FT19" s="51" t="b">
        <v>0</v>
      </c>
      <c r="FU19" s="51" t="b">
        <v>0</v>
      </c>
      <c r="FV19" s="20"/>
      <c r="FW19" s="21"/>
      <c r="FX19" s="51"/>
      <c r="FY19" s="51" t="b">
        <v>0</v>
      </c>
      <c r="FZ19" s="51" t="b">
        <v>0</v>
      </c>
      <c r="GA19" s="51" t="b">
        <v>0</v>
      </c>
      <c r="GB19" s="51" t="b">
        <v>0</v>
      </c>
      <c r="GC19" s="20"/>
      <c r="GD19" s="21"/>
      <c r="GE19" s="51"/>
      <c r="GF19" s="51" t="b">
        <v>0</v>
      </c>
      <c r="GG19" s="51" t="b">
        <v>0</v>
      </c>
      <c r="GH19" s="51" t="b">
        <v>0</v>
      </c>
      <c r="GI19" s="51" t="b">
        <v>0</v>
      </c>
      <c r="GJ19" s="103"/>
      <c r="GK19" s="102"/>
      <c r="GL19" s="51"/>
      <c r="GM19" s="51" t="b">
        <v>0</v>
      </c>
      <c r="GN19" s="51" t="b">
        <v>0</v>
      </c>
      <c r="GO19" s="51" t="b">
        <v>0</v>
      </c>
      <c r="GP19" s="51" t="b">
        <v>0</v>
      </c>
      <c r="GQ19" s="20"/>
      <c r="GR19" s="21"/>
      <c r="GS19" s="51"/>
      <c r="GT19" s="51" t="b">
        <v>0</v>
      </c>
      <c r="GU19" s="51" t="b">
        <v>0</v>
      </c>
      <c r="GV19" s="51" t="b">
        <v>0</v>
      </c>
      <c r="GW19" s="51" t="b">
        <v>0</v>
      </c>
      <c r="GX19" s="20"/>
      <c r="GY19" s="21"/>
      <c r="GZ19" s="51"/>
      <c r="HA19" s="51" t="b">
        <v>0</v>
      </c>
      <c r="HB19" s="51" t="b">
        <v>0</v>
      </c>
      <c r="HC19" s="51" t="b">
        <v>0</v>
      </c>
      <c r="HD19" s="51" t="b">
        <v>0</v>
      </c>
      <c r="HE19" s="103"/>
      <c r="HF19" s="102"/>
      <c r="HG19" s="51"/>
      <c r="HH19" s="51" t="b">
        <v>0</v>
      </c>
      <c r="HI19" s="51" t="b">
        <v>0</v>
      </c>
      <c r="HJ19" s="51" t="b">
        <v>0</v>
      </c>
      <c r="HK19" s="51" t="b">
        <v>0</v>
      </c>
      <c r="HL19" s="20"/>
      <c r="HM19" s="21"/>
      <c r="HN19" s="51"/>
      <c r="HO19" s="51" t="b">
        <v>0</v>
      </c>
      <c r="HP19" s="51" t="b">
        <v>0</v>
      </c>
      <c r="HQ19" s="51" t="b">
        <v>0</v>
      </c>
      <c r="HR19" s="51" t="b">
        <v>0</v>
      </c>
      <c r="HS19" s="20"/>
      <c r="HT19" s="21"/>
      <c r="HU19" s="51"/>
      <c r="HV19" s="51" t="b">
        <v>0</v>
      </c>
      <c r="HW19" s="51" t="b">
        <v>0</v>
      </c>
      <c r="HX19" s="51" t="b">
        <v>0</v>
      </c>
      <c r="HY19" s="51" t="b">
        <v>0</v>
      </c>
      <c r="HZ19" s="103"/>
      <c r="IA19" s="102"/>
      <c r="IB19" s="51"/>
      <c r="IC19" s="51" t="b">
        <v>0</v>
      </c>
      <c r="ID19" s="51" t="b">
        <v>0</v>
      </c>
      <c r="IE19" s="51" t="b">
        <v>0</v>
      </c>
      <c r="IF19" s="51" t="b">
        <v>0</v>
      </c>
      <c r="IG19" s="20"/>
      <c r="IH19" s="21"/>
      <c r="II19" s="51"/>
      <c r="IJ19" s="51" t="b">
        <v>0</v>
      </c>
      <c r="IK19" s="51" t="b">
        <v>0</v>
      </c>
      <c r="IL19" s="51" t="b">
        <v>0</v>
      </c>
      <c r="IM19" s="51" t="b">
        <v>0</v>
      </c>
      <c r="IN19" s="20"/>
      <c r="IO19" s="21"/>
      <c r="IP19" s="51"/>
      <c r="IQ19" s="51" t="b">
        <v>0</v>
      </c>
      <c r="IR19" s="51" t="b">
        <v>0</v>
      </c>
      <c r="IS19" s="51" t="b">
        <v>0</v>
      </c>
      <c r="IT19" s="51" t="b">
        <v>0</v>
      </c>
      <c r="IU19" s="103"/>
      <c r="IV19" s="112"/>
    </row>
    <row r="20" spans="1:256" x14ac:dyDescent="0.2">
      <c r="A20" s="66"/>
      <c r="B20" s="14" t="s">
        <v>46</v>
      </c>
      <c r="C20">
        <v>11</v>
      </c>
      <c r="D20" s="102"/>
      <c r="E20" s="51"/>
      <c r="F20" s="51" t="s">
        <v>81</v>
      </c>
      <c r="G20" s="51" t="s">
        <v>81</v>
      </c>
      <c r="H20" s="51" t="s">
        <v>81</v>
      </c>
      <c r="I20" s="51" t="s">
        <v>81</v>
      </c>
      <c r="J20" s="20"/>
      <c r="K20" s="21"/>
      <c r="L20" s="51"/>
      <c r="M20" s="51" t="s">
        <v>81</v>
      </c>
      <c r="N20" s="51" t="s">
        <v>81</v>
      </c>
      <c r="O20" s="51" t="s">
        <v>81</v>
      </c>
      <c r="P20" s="51" t="s">
        <v>81</v>
      </c>
      <c r="Q20" s="20"/>
      <c r="R20" s="21"/>
      <c r="S20" s="51"/>
      <c r="T20" s="51" t="s">
        <v>81</v>
      </c>
      <c r="U20" s="51" t="s">
        <v>81</v>
      </c>
      <c r="V20" s="51" t="s">
        <v>81</v>
      </c>
      <c r="W20" s="51" t="s">
        <v>81</v>
      </c>
      <c r="X20" s="103"/>
      <c r="Y20" s="102"/>
      <c r="Z20" s="51"/>
      <c r="AA20" s="51" t="s">
        <v>81</v>
      </c>
      <c r="AB20" s="51" t="s">
        <v>81</v>
      </c>
      <c r="AC20" s="51" t="s">
        <v>81</v>
      </c>
      <c r="AD20" s="51" t="s">
        <v>81</v>
      </c>
      <c r="AE20" s="20"/>
      <c r="AF20" s="21"/>
      <c r="AG20" s="51"/>
      <c r="AH20" s="51" t="s">
        <v>81</v>
      </c>
      <c r="AI20" s="51" t="s">
        <v>81</v>
      </c>
      <c r="AJ20" s="51" t="s">
        <v>81</v>
      </c>
      <c r="AK20" s="51" t="s">
        <v>81</v>
      </c>
      <c r="AL20" s="20"/>
      <c r="AM20" s="21"/>
      <c r="AN20" s="51"/>
      <c r="AO20" s="51" t="s">
        <v>81</v>
      </c>
      <c r="AP20" s="51" t="s">
        <v>81</v>
      </c>
      <c r="AQ20" s="51" t="s">
        <v>81</v>
      </c>
      <c r="AR20" s="51" t="s">
        <v>81</v>
      </c>
      <c r="AS20" s="103"/>
      <c r="AT20" s="102"/>
      <c r="AU20" s="51"/>
      <c r="AV20" s="51" t="s">
        <v>81</v>
      </c>
      <c r="AW20" s="51" t="s">
        <v>81</v>
      </c>
      <c r="AX20" s="51" t="s">
        <v>81</v>
      </c>
      <c r="AY20" s="51" t="s">
        <v>81</v>
      </c>
      <c r="AZ20" s="20"/>
      <c r="BA20" s="21"/>
      <c r="BB20" s="51"/>
      <c r="BC20" s="51" t="s">
        <v>81</v>
      </c>
      <c r="BD20" s="51" t="s">
        <v>81</v>
      </c>
      <c r="BE20" s="51" t="s">
        <v>81</v>
      </c>
      <c r="BF20" s="51" t="s">
        <v>81</v>
      </c>
      <c r="BG20" s="20"/>
      <c r="BH20" s="21"/>
      <c r="BI20" s="51"/>
      <c r="BJ20" s="51" t="s">
        <v>81</v>
      </c>
      <c r="BK20" s="51" t="s">
        <v>81</v>
      </c>
      <c r="BL20" s="51" t="s">
        <v>81</v>
      </c>
      <c r="BM20" s="51" t="s">
        <v>81</v>
      </c>
      <c r="BN20" s="103"/>
      <c r="BO20" s="102"/>
      <c r="BP20" s="51"/>
      <c r="BQ20" s="51" t="b">
        <v>0</v>
      </c>
      <c r="BR20" s="51" t="b">
        <v>0</v>
      </c>
      <c r="BS20" s="51" t="b">
        <v>0</v>
      </c>
      <c r="BT20" s="51" t="b">
        <v>0</v>
      </c>
      <c r="BU20" s="20"/>
      <c r="BV20" s="21"/>
      <c r="BW20" s="51"/>
      <c r="BX20" s="51" t="b">
        <v>0</v>
      </c>
      <c r="BY20" s="51" t="b">
        <v>0</v>
      </c>
      <c r="BZ20" s="51" t="b">
        <v>0</v>
      </c>
      <c r="CA20" s="51" t="b">
        <v>0</v>
      </c>
      <c r="CB20" s="20"/>
      <c r="CC20" s="21"/>
      <c r="CD20" s="51"/>
      <c r="CE20" s="51" t="b">
        <v>0</v>
      </c>
      <c r="CF20" s="51" t="b">
        <v>0</v>
      </c>
      <c r="CG20" s="51" t="b">
        <v>0</v>
      </c>
      <c r="CH20" s="51" t="b">
        <v>0</v>
      </c>
      <c r="CI20" s="103"/>
      <c r="CJ20" s="102"/>
      <c r="CK20" s="51"/>
      <c r="CL20" s="51" t="b">
        <v>0</v>
      </c>
      <c r="CM20" s="51" t="b">
        <v>0</v>
      </c>
      <c r="CN20" s="51" t="b">
        <v>0</v>
      </c>
      <c r="CO20" s="51" t="b">
        <v>0</v>
      </c>
      <c r="CP20" s="20"/>
      <c r="CQ20" s="21"/>
      <c r="CR20" s="51"/>
      <c r="CS20" s="51" t="b">
        <v>0</v>
      </c>
      <c r="CT20" s="51" t="b">
        <v>0</v>
      </c>
      <c r="CU20" s="51" t="b">
        <v>0</v>
      </c>
      <c r="CV20" s="51" t="b">
        <v>0</v>
      </c>
      <c r="CW20" s="20"/>
      <c r="CX20" s="21"/>
      <c r="CY20" s="51"/>
      <c r="CZ20" s="51" t="b">
        <v>0</v>
      </c>
      <c r="DA20" s="51" t="b">
        <v>0</v>
      </c>
      <c r="DB20" s="51" t="b">
        <v>0</v>
      </c>
      <c r="DC20" s="51" t="b">
        <v>0</v>
      </c>
      <c r="DD20" s="103"/>
      <c r="DE20" s="102"/>
      <c r="DF20" s="51"/>
      <c r="DG20" s="51" t="b">
        <v>0</v>
      </c>
      <c r="DH20" s="51" t="b">
        <v>0</v>
      </c>
      <c r="DI20" s="51" t="b">
        <v>0</v>
      </c>
      <c r="DJ20" s="51" t="b">
        <v>0</v>
      </c>
      <c r="DK20" s="20"/>
      <c r="DL20" s="21"/>
      <c r="DM20" s="51"/>
      <c r="DN20" s="51" t="b">
        <v>0</v>
      </c>
      <c r="DO20" s="51" t="b">
        <v>0</v>
      </c>
      <c r="DP20" s="51" t="b">
        <v>0</v>
      </c>
      <c r="DQ20" s="51" t="b">
        <v>0</v>
      </c>
      <c r="DR20" s="20"/>
      <c r="DS20" s="21"/>
      <c r="DT20" s="51"/>
      <c r="DU20" s="51" t="b">
        <v>0</v>
      </c>
      <c r="DV20" s="51" t="b">
        <v>0</v>
      </c>
      <c r="DW20" s="51" t="b">
        <v>0</v>
      </c>
      <c r="DX20" s="51" t="b">
        <v>0</v>
      </c>
      <c r="DY20" s="103"/>
      <c r="DZ20" s="102"/>
      <c r="EA20" s="51"/>
      <c r="EB20" s="51" t="b">
        <v>0</v>
      </c>
      <c r="EC20" s="51" t="b">
        <v>0</v>
      </c>
      <c r="ED20" s="51" t="b">
        <v>0</v>
      </c>
      <c r="EE20" s="51" t="b">
        <v>0</v>
      </c>
      <c r="EF20" s="20"/>
      <c r="EG20" s="21"/>
      <c r="EH20" s="51"/>
      <c r="EI20" s="51" t="b">
        <v>0</v>
      </c>
      <c r="EJ20" s="51" t="b">
        <v>0</v>
      </c>
      <c r="EK20" s="51" t="b">
        <v>0</v>
      </c>
      <c r="EL20" s="51" t="b">
        <v>0</v>
      </c>
      <c r="EM20" s="20"/>
      <c r="EN20" s="21"/>
      <c r="EO20" s="51"/>
      <c r="EP20" s="51" t="b">
        <v>0</v>
      </c>
      <c r="EQ20" s="51" t="b">
        <v>0</v>
      </c>
      <c r="ER20" s="51" t="b">
        <v>0</v>
      </c>
      <c r="ES20" s="51" t="b">
        <v>0</v>
      </c>
      <c r="ET20" s="103"/>
      <c r="EU20" s="102"/>
      <c r="EV20" s="51"/>
      <c r="EW20" s="51" t="b">
        <v>0</v>
      </c>
      <c r="EX20" s="51" t="b">
        <v>0</v>
      </c>
      <c r="EY20" s="51" t="b">
        <v>0</v>
      </c>
      <c r="EZ20" s="51" t="b">
        <v>0</v>
      </c>
      <c r="FA20" s="20"/>
      <c r="FB20" s="21"/>
      <c r="FC20" s="51"/>
      <c r="FD20" s="51" t="b">
        <v>0</v>
      </c>
      <c r="FE20" s="51" t="b">
        <v>0</v>
      </c>
      <c r="FF20" s="51" t="b">
        <v>0</v>
      </c>
      <c r="FG20" s="51" t="b">
        <v>0</v>
      </c>
      <c r="FH20" s="20"/>
      <c r="FI20" s="21"/>
      <c r="FJ20" s="51"/>
      <c r="FK20" s="51" t="b">
        <v>0</v>
      </c>
      <c r="FL20" s="51" t="b">
        <v>0</v>
      </c>
      <c r="FM20" s="51" t="b">
        <v>0</v>
      </c>
      <c r="FN20" s="51" t="b">
        <v>0</v>
      </c>
      <c r="FO20" s="103"/>
      <c r="FP20" s="102"/>
      <c r="FQ20" s="51"/>
      <c r="FR20" s="51" t="b">
        <v>0</v>
      </c>
      <c r="FS20" s="51" t="b">
        <v>0</v>
      </c>
      <c r="FT20" s="51" t="b">
        <v>0</v>
      </c>
      <c r="FU20" s="51" t="b">
        <v>0</v>
      </c>
      <c r="FV20" s="20"/>
      <c r="FW20" s="21"/>
      <c r="FX20" s="51"/>
      <c r="FY20" s="51" t="b">
        <v>0</v>
      </c>
      <c r="FZ20" s="51" t="b">
        <v>0</v>
      </c>
      <c r="GA20" s="51" t="b">
        <v>0</v>
      </c>
      <c r="GB20" s="51" t="b">
        <v>0</v>
      </c>
      <c r="GC20" s="20"/>
      <c r="GD20" s="21"/>
      <c r="GE20" s="51"/>
      <c r="GF20" s="51" t="b">
        <v>0</v>
      </c>
      <c r="GG20" s="51" t="b">
        <v>0</v>
      </c>
      <c r="GH20" s="51" t="b">
        <v>0</v>
      </c>
      <c r="GI20" s="51" t="b">
        <v>0</v>
      </c>
      <c r="GJ20" s="103"/>
      <c r="GK20" s="102"/>
      <c r="GL20" s="51"/>
      <c r="GM20" s="51" t="b">
        <v>0</v>
      </c>
      <c r="GN20" s="51" t="b">
        <v>0</v>
      </c>
      <c r="GO20" s="51" t="b">
        <v>0</v>
      </c>
      <c r="GP20" s="51" t="b">
        <v>0</v>
      </c>
      <c r="GQ20" s="20"/>
      <c r="GR20" s="21"/>
      <c r="GS20" s="51"/>
      <c r="GT20" s="51" t="b">
        <v>0</v>
      </c>
      <c r="GU20" s="51" t="b">
        <v>0</v>
      </c>
      <c r="GV20" s="51" t="b">
        <v>0</v>
      </c>
      <c r="GW20" s="51" t="b">
        <v>0</v>
      </c>
      <c r="GX20" s="20"/>
      <c r="GY20" s="21"/>
      <c r="GZ20" s="51"/>
      <c r="HA20" s="51" t="b">
        <v>0</v>
      </c>
      <c r="HB20" s="51" t="b">
        <v>0</v>
      </c>
      <c r="HC20" s="51" t="b">
        <v>0</v>
      </c>
      <c r="HD20" s="51" t="b">
        <v>0</v>
      </c>
      <c r="HE20" s="103"/>
      <c r="HF20" s="102"/>
      <c r="HG20" s="51"/>
      <c r="HH20" s="51" t="b">
        <v>0</v>
      </c>
      <c r="HI20" s="51" t="b">
        <v>0</v>
      </c>
      <c r="HJ20" s="51" t="b">
        <v>0</v>
      </c>
      <c r="HK20" s="51" t="b">
        <v>0</v>
      </c>
      <c r="HL20" s="20"/>
      <c r="HM20" s="21"/>
      <c r="HN20" s="51"/>
      <c r="HO20" s="51" t="b">
        <v>0</v>
      </c>
      <c r="HP20" s="51" t="b">
        <v>0</v>
      </c>
      <c r="HQ20" s="51" t="b">
        <v>0</v>
      </c>
      <c r="HR20" s="51" t="b">
        <v>0</v>
      </c>
      <c r="HS20" s="20"/>
      <c r="HT20" s="21"/>
      <c r="HU20" s="51"/>
      <c r="HV20" s="51" t="b">
        <v>0</v>
      </c>
      <c r="HW20" s="51" t="b">
        <v>0</v>
      </c>
      <c r="HX20" s="51" t="b">
        <v>0</v>
      </c>
      <c r="HY20" s="51" t="b">
        <v>0</v>
      </c>
      <c r="HZ20" s="103"/>
      <c r="IA20" s="102"/>
      <c r="IB20" s="51"/>
      <c r="IC20" s="51" t="b">
        <v>0</v>
      </c>
      <c r="ID20" s="51" t="b">
        <v>0</v>
      </c>
      <c r="IE20" s="51" t="b">
        <v>0</v>
      </c>
      <c r="IF20" s="51" t="b">
        <v>0</v>
      </c>
      <c r="IG20" s="20"/>
      <c r="IH20" s="21"/>
      <c r="II20" s="51"/>
      <c r="IJ20" s="51" t="b">
        <v>0</v>
      </c>
      <c r="IK20" s="51" t="b">
        <v>0</v>
      </c>
      <c r="IL20" s="51" t="b">
        <v>0</v>
      </c>
      <c r="IM20" s="51" t="b">
        <v>0</v>
      </c>
      <c r="IN20" s="20"/>
      <c r="IO20" s="21"/>
      <c r="IP20" s="51"/>
      <c r="IQ20" s="51" t="b">
        <v>0</v>
      </c>
      <c r="IR20" s="51" t="b">
        <v>0</v>
      </c>
      <c r="IS20" s="51" t="b">
        <v>0</v>
      </c>
      <c r="IT20" s="51" t="b">
        <v>0</v>
      </c>
      <c r="IU20" s="103"/>
      <c r="IV20" s="112"/>
    </row>
    <row r="21" spans="1:256" ht="12.75" customHeight="1" x14ac:dyDescent="0.2">
      <c r="A21" s="67"/>
      <c r="B21" s="16" t="s">
        <v>46</v>
      </c>
      <c r="C21">
        <v>12</v>
      </c>
      <c r="D21" s="102"/>
      <c r="E21" s="51"/>
      <c r="F21" s="51" t="s">
        <v>81</v>
      </c>
      <c r="G21" s="51" t="s">
        <v>81</v>
      </c>
      <c r="H21" s="51" t="s">
        <v>81</v>
      </c>
      <c r="I21" s="51" t="s">
        <v>81</v>
      </c>
      <c r="J21" s="20"/>
      <c r="K21" s="21"/>
      <c r="L21" s="51"/>
      <c r="M21" s="51" t="s">
        <v>81</v>
      </c>
      <c r="N21" s="51" t="s">
        <v>81</v>
      </c>
      <c r="O21" s="51" t="s">
        <v>81</v>
      </c>
      <c r="P21" s="51" t="s">
        <v>81</v>
      </c>
      <c r="Q21" s="20"/>
      <c r="R21" s="21"/>
      <c r="S21" s="51"/>
      <c r="T21" s="51" t="s">
        <v>81</v>
      </c>
      <c r="U21" s="51" t="s">
        <v>81</v>
      </c>
      <c r="V21" s="51" t="s">
        <v>81</v>
      </c>
      <c r="W21" s="51" t="s">
        <v>81</v>
      </c>
      <c r="X21" s="103"/>
      <c r="Y21" s="102"/>
      <c r="Z21" s="51"/>
      <c r="AA21" s="51" t="s">
        <v>81</v>
      </c>
      <c r="AB21" s="51" t="s">
        <v>81</v>
      </c>
      <c r="AC21" s="51" t="s">
        <v>81</v>
      </c>
      <c r="AD21" s="51" t="s">
        <v>81</v>
      </c>
      <c r="AE21" s="20"/>
      <c r="AF21" s="21"/>
      <c r="AG21" s="51"/>
      <c r="AH21" s="51" t="s">
        <v>81</v>
      </c>
      <c r="AI21" s="51" t="s">
        <v>81</v>
      </c>
      <c r="AJ21" s="51" t="s">
        <v>81</v>
      </c>
      <c r="AK21" s="51" t="s">
        <v>81</v>
      </c>
      <c r="AL21" s="20"/>
      <c r="AM21" s="21"/>
      <c r="AN21" s="51"/>
      <c r="AO21" s="51" t="s">
        <v>81</v>
      </c>
      <c r="AP21" s="51" t="s">
        <v>81</v>
      </c>
      <c r="AQ21" s="51" t="s">
        <v>81</v>
      </c>
      <c r="AR21" s="51" t="s">
        <v>81</v>
      </c>
      <c r="AS21" s="103"/>
      <c r="AT21" s="102"/>
      <c r="AU21" s="51"/>
      <c r="AV21" s="51" t="s">
        <v>81</v>
      </c>
      <c r="AW21" s="51" t="s">
        <v>81</v>
      </c>
      <c r="AX21" s="51" t="s">
        <v>81</v>
      </c>
      <c r="AY21" s="51" t="s">
        <v>81</v>
      </c>
      <c r="AZ21" s="20"/>
      <c r="BA21" s="21"/>
      <c r="BB21" s="51"/>
      <c r="BC21" s="51" t="s">
        <v>81</v>
      </c>
      <c r="BD21" s="51" t="s">
        <v>81</v>
      </c>
      <c r="BE21" s="51" t="s">
        <v>81</v>
      </c>
      <c r="BF21" s="51" t="s">
        <v>81</v>
      </c>
      <c r="BG21" s="20"/>
      <c r="BH21" s="21"/>
      <c r="BI21" s="51"/>
      <c r="BJ21" s="51" t="s">
        <v>81</v>
      </c>
      <c r="BK21" s="51" t="s">
        <v>81</v>
      </c>
      <c r="BL21" s="51" t="s">
        <v>81</v>
      </c>
      <c r="BM21" s="51" t="s">
        <v>81</v>
      </c>
      <c r="BN21" s="103"/>
      <c r="BO21" s="102"/>
      <c r="BP21" s="51"/>
      <c r="BQ21" s="51" t="b">
        <v>0</v>
      </c>
      <c r="BR21" s="51" t="b">
        <v>0</v>
      </c>
      <c r="BS21" s="51" t="b">
        <v>0</v>
      </c>
      <c r="BT21" s="51" t="b">
        <v>0</v>
      </c>
      <c r="BU21" s="20"/>
      <c r="BV21" s="21"/>
      <c r="BW21" s="51"/>
      <c r="BX21" s="51" t="b">
        <v>0</v>
      </c>
      <c r="BY21" s="51" t="b">
        <v>0</v>
      </c>
      <c r="BZ21" s="51" t="b">
        <v>0</v>
      </c>
      <c r="CA21" s="51" t="b">
        <v>0</v>
      </c>
      <c r="CB21" s="20"/>
      <c r="CC21" s="21"/>
      <c r="CD21" s="51"/>
      <c r="CE21" s="51" t="b">
        <v>0</v>
      </c>
      <c r="CF21" s="51" t="b">
        <v>0</v>
      </c>
      <c r="CG21" s="51" t="b">
        <v>0</v>
      </c>
      <c r="CH21" s="51" t="b">
        <v>0</v>
      </c>
      <c r="CI21" s="103"/>
      <c r="CJ21" s="102"/>
      <c r="CK21" s="51"/>
      <c r="CL21" s="51" t="b">
        <v>0</v>
      </c>
      <c r="CM21" s="51" t="b">
        <v>0</v>
      </c>
      <c r="CN21" s="51" t="b">
        <v>0</v>
      </c>
      <c r="CO21" s="51" t="b">
        <v>0</v>
      </c>
      <c r="CP21" s="20"/>
      <c r="CQ21" s="21"/>
      <c r="CR21" s="51"/>
      <c r="CS21" s="51" t="b">
        <v>0</v>
      </c>
      <c r="CT21" s="51" t="b">
        <v>0</v>
      </c>
      <c r="CU21" s="51" t="b">
        <v>0</v>
      </c>
      <c r="CV21" s="51" t="b">
        <v>0</v>
      </c>
      <c r="CW21" s="20"/>
      <c r="CX21" s="21"/>
      <c r="CY21" s="51"/>
      <c r="CZ21" s="51" t="b">
        <v>0</v>
      </c>
      <c r="DA21" s="51" t="b">
        <v>0</v>
      </c>
      <c r="DB21" s="51" t="b">
        <v>0</v>
      </c>
      <c r="DC21" s="51" t="b">
        <v>0</v>
      </c>
      <c r="DD21" s="103"/>
      <c r="DE21" s="102"/>
      <c r="DF21" s="51"/>
      <c r="DG21" s="51" t="b">
        <v>0</v>
      </c>
      <c r="DH21" s="51" t="b">
        <v>0</v>
      </c>
      <c r="DI21" s="51" t="b">
        <v>0</v>
      </c>
      <c r="DJ21" s="51" t="b">
        <v>0</v>
      </c>
      <c r="DK21" s="20"/>
      <c r="DL21" s="21"/>
      <c r="DM21" s="51"/>
      <c r="DN21" s="51" t="b">
        <v>0</v>
      </c>
      <c r="DO21" s="51" t="b">
        <v>0</v>
      </c>
      <c r="DP21" s="51" t="b">
        <v>0</v>
      </c>
      <c r="DQ21" s="51" t="b">
        <v>0</v>
      </c>
      <c r="DR21" s="20"/>
      <c r="DS21" s="21"/>
      <c r="DT21" s="51"/>
      <c r="DU21" s="51" t="b">
        <v>0</v>
      </c>
      <c r="DV21" s="51" t="b">
        <v>0</v>
      </c>
      <c r="DW21" s="51" t="b">
        <v>0</v>
      </c>
      <c r="DX21" s="51" t="b">
        <v>0</v>
      </c>
      <c r="DY21" s="103"/>
      <c r="DZ21" s="102"/>
      <c r="EA21" s="51"/>
      <c r="EB21" s="51" t="b">
        <v>0</v>
      </c>
      <c r="EC21" s="51" t="b">
        <v>0</v>
      </c>
      <c r="ED21" s="51" t="b">
        <v>0</v>
      </c>
      <c r="EE21" s="51" t="b">
        <v>0</v>
      </c>
      <c r="EF21" s="20"/>
      <c r="EG21" s="21"/>
      <c r="EH21" s="51"/>
      <c r="EI21" s="51" t="b">
        <v>0</v>
      </c>
      <c r="EJ21" s="51" t="b">
        <v>0</v>
      </c>
      <c r="EK21" s="51" t="b">
        <v>0</v>
      </c>
      <c r="EL21" s="51" t="b">
        <v>0</v>
      </c>
      <c r="EM21" s="20"/>
      <c r="EN21" s="21"/>
      <c r="EO21" s="51"/>
      <c r="EP21" s="51" t="b">
        <v>0</v>
      </c>
      <c r="EQ21" s="51" t="b">
        <v>0</v>
      </c>
      <c r="ER21" s="51" t="b">
        <v>0</v>
      </c>
      <c r="ES21" s="51" t="b">
        <v>0</v>
      </c>
      <c r="ET21" s="103"/>
      <c r="EU21" s="102"/>
      <c r="EV21" s="51"/>
      <c r="EW21" s="51" t="b">
        <v>0</v>
      </c>
      <c r="EX21" s="51" t="b">
        <v>0</v>
      </c>
      <c r="EY21" s="51" t="b">
        <v>0</v>
      </c>
      <c r="EZ21" s="51" t="b">
        <v>0</v>
      </c>
      <c r="FA21" s="20"/>
      <c r="FB21" s="21"/>
      <c r="FC21" s="51"/>
      <c r="FD21" s="51" t="b">
        <v>0</v>
      </c>
      <c r="FE21" s="51" t="b">
        <v>0</v>
      </c>
      <c r="FF21" s="51" t="b">
        <v>0</v>
      </c>
      <c r="FG21" s="51" t="b">
        <v>0</v>
      </c>
      <c r="FH21" s="20"/>
      <c r="FI21" s="21"/>
      <c r="FJ21" s="51"/>
      <c r="FK21" s="51" t="b">
        <v>0</v>
      </c>
      <c r="FL21" s="51" t="b">
        <v>0</v>
      </c>
      <c r="FM21" s="51" t="b">
        <v>0</v>
      </c>
      <c r="FN21" s="51" t="b">
        <v>0</v>
      </c>
      <c r="FO21" s="103"/>
      <c r="FP21" s="102"/>
      <c r="FQ21" s="51"/>
      <c r="FR21" s="51" t="b">
        <v>0</v>
      </c>
      <c r="FS21" s="51" t="b">
        <v>0</v>
      </c>
      <c r="FT21" s="51" t="b">
        <v>0</v>
      </c>
      <c r="FU21" s="51" t="b">
        <v>0</v>
      </c>
      <c r="FV21" s="20"/>
      <c r="FW21" s="21"/>
      <c r="FX21" s="51"/>
      <c r="FY21" s="51" t="b">
        <v>0</v>
      </c>
      <c r="FZ21" s="51" t="b">
        <v>0</v>
      </c>
      <c r="GA21" s="51" t="b">
        <v>0</v>
      </c>
      <c r="GB21" s="51" t="b">
        <v>0</v>
      </c>
      <c r="GC21" s="20"/>
      <c r="GD21" s="21"/>
      <c r="GE21" s="51"/>
      <c r="GF21" s="51" t="b">
        <v>0</v>
      </c>
      <c r="GG21" s="51" t="b">
        <v>0</v>
      </c>
      <c r="GH21" s="51" t="b">
        <v>0</v>
      </c>
      <c r="GI21" s="51" t="b">
        <v>0</v>
      </c>
      <c r="GJ21" s="103"/>
      <c r="GK21" s="102"/>
      <c r="GL21" s="51"/>
      <c r="GM21" s="51" t="b">
        <v>0</v>
      </c>
      <c r="GN21" s="51" t="b">
        <v>0</v>
      </c>
      <c r="GO21" s="51" t="b">
        <v>0</v>
      </c>
      <c r="GP21" s="51" t="b">
        <v>0</v>
      </c>
      <c r="GQ21" s="20"/>
      <c r="GR21" s="21"/>
      <c r="GS21" s="51"/>
      <c r="GT21" s="51" t="b">
        <v>0</v>
      </c>
      <c r="GU21" s="51" t="b">
        <v>0</v>
      </c>
      <c r="GV21" s="51" t="b">
        <v>0</v>
      </c>
      <c r="GW21" s="51" t="b">
        <v>0</v>
      </c>
      <c r="GX21" s="20"/>
      <c r="GY21" s="21"/>
      <c r="GZ21" s="51"/>
      <c r="HA21" s="51" t="b">
        <v>0</v>
      </c>
      <c r="HB21" s="51" t="b">
        <v>0</v>
      </c>
      <c r="HC21" s="51" t="b">
        <v>0</v>
      </c>
      <c r="HD21" s="51" t="b">
        <v>0</v>
      </c>
      <c r="HE21" s="103"/>
      <c r="HF21" s="102"/>
      <c r="HG21" s="51"/>
      <c r="HH21" s="51" t="b">
        <v>0</v>
      </c>
      <c r="HI21" s="51" t="b">
        <v>0</v>
      </c>
      <c r="HJ21" s="51" t="b">
        <v>0</v>
      </c>
      <c r="HK21" s="51" t="b">
        <v>0</v>
      </c>
      <c r="HL21" s="20"/>
      <c r="HM21" s="21"/>
      <c r="HN21" s="51"/>
      <c r="HO21" s="51" t="b">
        <v>0</v>
      </c>
      <c r="HP21" s="51" t="b">
        <v>0</v>
      </c>
      <c r="HQ21" s="51" t="b">
        <v>0</v>
      </c>
      <c r="HR21" s="51" t="b">
        <v>0</v>
      </c>
      <c r="HS21" s="20"/>
      <c r="HT21" s="21"/>
      <c r="HU21" s="51"/>
      <c r="HV21" s="51" t="b">
        <v>0</v>
      </c>
      <c r="HW21" s="51" t="b">
        <v>0</v>
      </c>
      <c r="HX21" s="51" t="b">
        <v>0</v>
      </c>
      <c r="HY21" s="51" t="b">
        <v>0</v>
      </c>
      <c r="HZ21" s="103"/>
      <c r="IA21" s="102"/>
      <c r="IB21" s="51"/>
      <c r="IC21" s="51" t="b">
        <v>0</v>
      </c>
      <c r="ID21" s="51" t="b">
        <v>0</v>
      </c>
      <c r="IE21" s="51" t="b">
        <v>0</v>
      </c>
      <c r="IF21" s="51" t="b">
        <v>0</v>
      </c>
      <c r="IG21" s="20"/>
      <c r="IH21" s="21"/>
      <c r="II21" s="51"/>
      <c r="IJ21" s="51" t="b">
        <v>0</v>
      </c>
      <c r="IK21" s="51" t="b">
        <v>0</v>
      </c>
      <c r="IL21" s="51" t="b">
        <v>0</v>
      </c>
      <c r="IM21" s="51" t="b">
        <v>0</v>
      </c>
      <c r="IN21" s="20"/>
      <c r="IO21" s="21"/>
      <c r="IP21" s="51"/>
      <c r="IQ21" s="51" t="b">
        <v>0</v>
      </c>
      <c r="IR21" s="51" t="b">
        <v>0</v>
      </c>
      <c r="IS21" s="51" t="b">
        <v>0</v>
      </c>
      <c r="IT21" s="51" t="b">
        <v>0</v>
      </c>
      <c r="IU21" s="103"/>
      <c r="IV21" s="112"/>
    </row>
    <row r="22" spans="1:256" ht="12.75" customHeight="1" x14ac:dyDescent="0.2">
      <c r="C22">
        <v>13</v>
      </c>
      <c r="D22" s="102"/>
      <c r="E22" s="51"/>
      <c r="F22" s="51" t="s">
        <v>81</v>
      </c>
      <c r="G22" s="51" t="s">
        <v>81</v>
      </c>
      <c r="H22" s="51" t="s">
        <v>81</v>
      </c>
      <c r="I22" s="51" t="s">
        <v>81</v>
      </c>
      <c r="J22" s="20"/>
      <c r="K22" s="21"/>
      <c r="L22" s="51"/>
      <c r="M22" s="51" t="s">
        <v>81</v>
      </c>
      <c r="N22" s="51" t="s">
        <v>81</v>
      </c>
      <c r="O22" s="51" t="s">
        <v>81</v>
      </c>
      <c r="P22" s="51" t="s">
        <v>81</v>
      </c>
      <c r="Q22" s="20"/>
      <c r="R22" s="21"/>
      <c r="S22" s="51"/>
      <c r="T22" s="51" t="s">
        <v>81</v>
      </c>
      <c r="U22" s="51" t="s">
        <v>81</v>
      </c>
      <c r="V22" s="51" t="s">
        <v>81</v>
      </c>
      <c r="W22" s="51" t="s">
        <v>81</v>
      </c>
      <c r="X22" s="103"/>
      <c r="Y22" s="102"/>
      <c r="Z22" s="51"/>
      <c r="AA22" s="51" t="s">
        <v>81</v>
      </c>
      <c r="AB22" s="51" t="s">
        <v>81</v>
      </c>
      <c r="AC22" s="51" t="s">
        <v>81</v>
      </c>
      <c r="AD22" s="51" t="s">
        <v>81</v>
      </c>
      <c r="AE22" s="20"/>
      <c r="AF22" s="21"/>
      <c r="AG22" s="51"/>
      <c r="AH22" s="51" t="s">
        <v>81</v>
      </c>
      <c r="AI22" s="51" t="s">
        <v>81</v>
      </c>
      <c r="AJ22" s="51" t="s">
        <v>81</v>
      </c>
      <c r="AK22" s="51" t="s">
        <v>81</v>
      </c>
      <c r="AL22" s="20"/>
      <c r="AM22" s="21"/>
      <c r="AN22" s="51"/>
      <c r="AO22" s="51" t="s">
        <v>81</v>
      </c>
      <c r="AP22" s="51" t="s">
        <v>81</v>
      </c>
      <c r="AQ22" s="51" t="s">
        <v>81</v>
      </c>
      <c r="AR22" s="51" t="s">
        <v>81</v>
      </c>
      <c r="AS22" s="103"/>
      <c r="AT22" s="102"/>
      <c r="AU22" s="51"/>
      <c r="AV22" s="51" t="s">
        <v>81</v>
      </c>
      <c r="AW22" s="51" t="s">
        <v>81</v>
      </c>
      <c r="AX22" s="51" t="s">
        <v>81</v>
      </c>
      <c r="AY22" s="51" t="s">
        <v>81</v>
      </c>
      <c r="AZ22" s="20"/>
      <c r="BA22" s="21"/>
      <c r="BB22" s="51"/>
      <c r="BC22" s="51" t="s">
        <v>81</v>
      </c>
      <c r="BD22" s="51" t="s">
        <v>81</v>
      </c>
      <c r="BE22" s="51" t="s">
        <v>81</v>
      </c>
      <c r="BF22" s="51" t="s">
        <v>81</v>
      </c>
      <c r="BG22" s="20"/>
      <c r="BH22" s="21"/>
      <c r="BI22" s="51"/>
      <c r="BJ22" s="51" t="s">
        <v>81</v>
      </c>
      <c r="BK22" s="51" t="s">
        <v>81</v>
      </c>
      <c r="BL22" s="51" t="s">
        <v>81</v>
      </c>
      <c r="BM22" s="51" t="s">
        <v>81</v>
      </c>
      <c r="BN22" s="103"/>
      <c r="BO22" s="102"/>
      <c r="BP22" s="51"/>
      <c r="BQ22" s="51" t="b">
        <v>0</v>
      </c>
      <c r="BR22" s="51" t="b">
        <v>0</v>
      </c>
      <c r="BS22" s="51" t="b">
        <v>0</v>
      </c>
      <c r="BT22" s="51" t="b">
        <v>0</v>
      </c>
      <c r="BU22" s="20"/>
      <c r="BV22" s="21"/>
      <c r="BW22" s="51"/>
      <c r="BX22" s="51" t="b">
        <v>0</v>
      </c>
      <c r="BY22" s="51" t="b">
        <v>0</v>
      </c>
      <c r="BZ22" s="51" t="b">
        <v>0</v>
      </c>
      <c r="CA22" s="51" t="b">
        <v>0</v>
      </c>
      <c r="CB22" s="20"/>
      <c r="CC22" s="21"/>
      <c r="CD22" s="51"/>
      <c r="CE22" s="51" t="b">
        <v>0</v>
      </c>
      <c r="CF22" s="51" t="b">
        <v>0</v>
      </c>
      <c r="CG22" s="51" t="b">
        <v>0</v>
      </c>
      <c r="CH22" s="51" t="b">
        <v>0</v>
      </c>
      <c r="CI22" s="103"/>
      <c r="CJ22" s="102"/>
      <c r="CK22" s="51"/>
      <c r="CL22" s="51" t="b">
        <v>0</v>
      </c>
      <c r="CM22" s="51" t="b">
        <v>0</v>
      </c>
      <c r="CN22" s="51" t="b">
        <v>0</v>
      </c>
      <c r="CO22" s="51" t="b">
        <v>0</v>
      </c>
      <c r="CP22" s="20"/>
      <c r="CQ22" s="21"/>
      <c r="CR22" s="51"/>
      <c r="CS22" s="51" t="b">
        <v>0</v>
      </c>
      <c r="CT22" s="51" t="b">
        <v>0</v>
      </c>
      <c r="CU22" s="51" t="b">
        <v>0</v>
      </c>
      <c r="CV22" s="51" t="b">
        <v>0</v>
      </c>
      <c r="CW22" s="20"/>
      <c r="CX22" s="21"/>
      <c r="CY22" s="51"/>
      <c r="CZ22" s="51" t="b">
        <v>0</v>
      </c>
      <c r="DA22" s="51" t="b">
        <v>0</v>
      </c>
      <c r="DB22" s="51" t="b">
        <v>0</v>
      </c>
      <c r="DC22" s="51" t="b">
        <v>0</v>
      </c>
      <c r="DD22" s="103"/>
      <c r="DE22" s="102"/>
      <c r="DF22" s="51"/>
      <c r="DG22" s="51" t="b">
        <v>0</v>
      </c>
      <c r="DH22" s="51" t="b">
        <v>0</v>
      </c>
      <c r="DI22" s="51" t="b">
        <v>0</v>
      </c>
      <c r="DJ22" s="51" t="b">
        <v>0</v>
      </c>
      <c r="DK22" s="20"/>
      <c r="DL22" s="21"/>
      <c r="DM22" s="51"/>
      <c r="DN22" s="51" t="b">
        <v>0</v>
      </c>
      <c r="DO22" s="51" t="b">
        <v>0</v>
      </c>
      <c r="DP22" s="51" t="b">
        <v>0</v>
      </c>
      <c r="DQ22" s="51" t="b">
        <v>0</v>
      </c>
      <c r="DR22" s="20"/>
      <c r="DS22" s="21"/>
      <c r="DT22" s="51"/>
      <c r="DU22" s="51" t="b">
        <v>0</v>
      </c>
      <c r="DV22" s="51" t="b">
        <v>0</v>
      </c>
      <c r="DW22" s="51" t="b">
        <v>0</v>
      </c>
      <c r="DX22" s="51" t="b">
        <v>0</v>
      </c>
      <c r="DY22" s="103"/>
      <c r="DZ22" s="102"/>
      <c r="EA22" s="51"/>
      <c r="EB22" s="51" t="b">
        <v>0</v>
      </c>
      <c r="EC22" s="51" t="b">
        <v>0</v>
      </c>
      <c r="ED22" s="51" t="b">
        <v>0</v>
      </c>
      <c r="EE22" s="51" t="b">
        <v>0</v>
      </c>
      <c r="EF22" s="20"/>
      <c r="EG22" s="21"/>
      <c r="EH22" s="51"/>
      <c r="EI22" s="51" t="b">
        <v>0</v>
      </c>
      <c r="EJ22" s="51" t="b">
        <v>0</v>
      </c>
      <c r="EK22" s="51" t="b">
        <v>0</v>
      </c>
      <c r="EL22" s="51" t="b">
        <v>0</v>
      </c>
      <c r="EM22" s="20"/>
      <c r="EN22" s="21"/>
      <c r="EO22" s="51"/>
      <c r="EP22" s="51" t="b">
        <v>0</v>
      </c>
      <c r="EQ22" s="51" t="b">
        <v>0</v>
      </c>
      <c r="ER22" s="51" t="b">
        <v>0</v>
      </c>
      <c r="ES22" s="51" t="b">
        <v>0</v>
      </c>
      <c r="ET22" s="103"/>
      <c r="EU22" s="102"/>
      <c r="EV22" s="51"/>
      <c r="EW22" s="51" t="b">
        <v>0</v>
      </c>
      <c r="EX22" s="51" t="b">
        <v>0</v>
      </c>
      <c r="EY22" s="51" t="b">
        <v>0</v>
      </c>
      <c r="EZ22" s="51" t="b">
        <v>0</v>
      </c>
      <c r="FA22" s="20"/>
      <c r="FB22" s="21"/>
      <c r="FC22" s="51"/>
      <c r="FD22" s="51" t="b">
        <v>0</v>
      </c>
      <c r="FE22" s="51" t="b">
        <v>0</v>
      </c>
      <c r="FF22" s="51" t="b">
        <v>0</v>
      </c>
      <c r="FG22" s="51" t="b">
        <v>0</v>
      </c>
      <c r="FH22" s="20"/>
      <c r="FI22" s="21"/>
      <c r="FJ22" s="51"/>
      <c r="FK22" s="51" t="b">
        <v>0</v>
      </c>
      <c r="FL22" s="51" t="b">
        <v>0</v>
      </c>
      <c r="FM22" s="51" t="b">
        <v>0</v>
      </c>
      <c r="FN22" s="51" t="b">
        <v>0</v>
      </c>
      <c r="FO22" s="103"/>
      <c r="FP22" s="102"/>
      <c r="FQ22" s="51"/>
      <c r="FR22" s="51" t="b">
        <v>0</v>
      </c>
      <c r="FS22" s="51" t="b">
        <v>0</v>
      </c>
      <c r="FT22" s="51" t="b">
        <v>0</v>
      </c>
      <c r="FU22" s="51" t="b">
        <v>0</v>
      </c>
      <c r="FV22" s="20"/>
      <c r="FW22" s="21"/>
      <c r="FX22" s="51"/>
      <c r="FY22" s="51" t="b">
        <v>0</v>
      </c>
      <c r="FZ22" s="51" t="b">
        <v>0</v>
      </c>
      <c r="GA22" s="51" t="b">
        <v>0</v>
      </c>
      <c r="GB22" s="51" t="b">
        <v>0</v>
      </c>
      <c r="GC22" s="20"/>
      <c r="GD22" s="21"/>
      <c r="GE22" s="51"/>
      <c r="GF22" s="51" t="b">
        <v>0</v>
      </c>
      <c r="GG22" s="51" t="b">
        <v>0</v>
      </c>
      <c r="GH22" s="51" t="b">
        <v>0</v>
      </c>
      <c r="GI22" s="51" t="b">
        <v>0</v>
      </c>
      <c r="GJ22" s="103"/>
      <c r="GK22" s="102"/>
      <c r="GL22" s="51"/>
      <c r="GM22" s="51" t="b">
        <v>0</v>
      </c>
      <c r="GN22" s="51" t="b">
        <v>0</v>
      </c>
      <c r="GO22" s="51" t="b">
        <v>0</v>
      </c>
      <c r="GP22" s="51" t="b">
        <v>0</v>
      </c>
      <c r="GQ22" s="20"/>
      <c r="GR22" s="21"/>
      <c r="GS22" s="51"/>
      <c r="GT22" s="51" t="b">
        <v>0</v>
      </c>
      <c r="GU22" s="51" t="b">
        <v>0</v>
      </c>
      <c r="GV22" s="51" t="b">
        <v>0</v>
      </c>
      <c r="GW22" s="51" t="b">
        <v>0</v>
      </c>
      <c r="GX22" s="20"/>
      <c r="GY22" s="21"/>
      <c r="GZ22" s="51"/>
      <c r="HA22" s="51" t="b">
        <v>0</v>
      </c>
      <c r="HB22" s="51" t="b">
        <v>0</v>
      </c>
      <c r="HC22" s="51" t="b">
        <v>0</v>
      </c>
      <c r="HD22" s="51" t="b">
        <v>0</v>
      </c>
      <c r="HE22" s="103"/>
      <c r="HF22" s="102"/>
      <c r="HG22" s="51"/>
      <c r="HH22" s="51" t="b">
        <v>0</v>
      </c>
      <c r="HI22" s="51" t="b">
        <v>0</v>
      </c>
      <c r="HJ22" s="51" t="b">
        <v>0</v>
      </c>
      <c r="HK22" s="51" t="b">
        <v>0</v>
      </c>
      <c r="HL22" s="20"/>
      <c r="HM22" s="21"/>
      <c r="HN22" s="51"/>
      <c r="HO22" s="51" t="b">
        <v>0</v>
      </c>
      <c r="HP22" s="51" t="b">
        <v>0</v>
      </c>
      <c r="HQ22" s="51" t="b">
        <v>0</v>
      </c>
      <c r="HR22" s="51" t="b">
        <v>0</v>
      </c>
      <c r="HS22" s="20"/>
      <c r="HT22" s="21"/>
      <c r="HU22" s="51"/>
      <c r="HV22" s="51" t="b">
        <v>0</v>
      </c>
      <c r="HW22" s="51" t="b">
        <v>0</v>
      </c>
      <c r="HX22" s="51" t="b">
        <v>0</v>
      </c>
      <c r="HY22" s="51" t="b">
        <v>0</v>
      </c>
      <c r="HZ22" s="103"/>
      <c r="IA22" s="102"/>
      <c r="IB22" s="51"/>
      <c r="IC22" s="51" t="b">
        <v>0</v>
      </c>
      <c r="ID22" s="51" t="b">
        <v>0</v>
      </c>
      <c r="IE22" s="51" t="b">
        <v>0</v>
      </c>
      <c r="IF22" s="51" t="b">
        <v>0</v>
      </c>
      <c r="IG22" s="20"/>
      <c r="IH22" s="21"/>
      <c r="II22" s="51"/>
      <c r="IJ22" s="51" t="b">
        <v>0</v>
      </c>
      <c r="IK22" s="51" t="b">
        <v>0</v>
      </c>
      <c r="IL22" s="51" t="b">
        <v>0</v>
      </c>
      <c r="IM22" s="51" t="b">
        <v>0</v>
      </c>
      <c r="IN22" s="20"/>
      <c r="IO22" s="21"/>
      <c r="IP22" s="51"/>
      <c r="IQ22" s="51" t="b">
        <v>0</v>
      </c>
      <c r="IR22" s="51" t="b">
        <v>0</v>
      </c>
      <c r="IS22" s="51" t="b">
        <v>0</v>
      </c>
      <c r="IT22" s="51" t="b">
        <v>0</v>
      </c>
      <c r="IU22" s="103"/>
      <c r="IV22" s="112"/>
    </row>
    <row r="23" spans="1:256" x14ac:dyDescent="0.2">
      <c r="C23">
        <v>14</v>
      </c>
      <c r="D23" s="102"/>
      <c r="E23" s="51"/>
      <c r="F23" s="51" t="s">
        <v>81</v>
      </c>
      <c r="G23" s="51" t="s">
        <v>81</v>
      </c>
      <c r="H23" s="51" t="s">
        <v>81</v>
      </c>
      <c r="I23" s="51" t="s">
        <v>81</v>
      </c>
      <c r="J23" s="20"/>
      <c r="K23" s="21"/>
      <c r="L23" s="51"/>
      <c r="M23" s="51" t="s">
        <v>81</v>
      </c>
      <c r="N23" s="51" t="s">
        <v>81</v>
      </c>
      <c r="O23" s="51" t="s">
        <v>81</v>
      </c>
      <c r="P23" s="51" t="s">
        <v>81</v>
      </c>
      <c r="Q23" s="20"/>
      <c r="R23" s="21"/>
      <c r="S23" s="51"/>
      <c r="T23" s="51" t="s">
        <v>81</v>
      </c>
      <c r="U23" s="51" t="s">
        <v>81</v>
      </c>
      <c r="V23" s="51" t="s">
        <v>81</v>
      </c>
      <c r="W23" s="51" t="s">
        <v>81</v>
      </c>
      <c r="X23" s="103"/>
      <c r="Y23" s="102"/>
      <c r="Z23" s="51"/>
      <c r="AA23" s="51" t="s">
        <v>81</v>
      </c>
      <c r="AB23" s="51" t="s">
        <v>81</v>
      </c>
      <c r="AC23" s="51" t="s">
        <v>81</v>
      </c>
      <c r="AD23" s="51" t="s">
        <v>81</v>
      </c>
      <c r="AE23" s="20"/>
      <c r="AF23" s="21"/>
      <c r="AG23" s="51"/>
      <c r="AH23" s="51" t="s">
        <v>81</v>
      </c>
      <c r="AI23" s="51" t="s">
        <v>81</v>
      </c>
      <c r="AJ23" s="51" t="s">
        <v>81</v>
      </c>
      <c r="AK23" s="51" t="s">
        <v>81</v>
      </c>
      <c r="AL23" s="20"/>
      <c r="AM23" s="21"/>
      <c r="AN23" s="51"/>
      <c r="AO23" s="51" t="s">
        <v>81</v>
      </c>
      <c r="AP23" s="51" t="s">
        <v>81</v>
      </c>
      <c r="AQ23" s="51" t="s">
        <v>81</v>
      </c>
      <c r="AR23" s="51" t="s">
        <v>81</v>
      </c>
      <c r="AS23" s="103"/>
      <c r="AT23" s="102"/>
      <c r="AU23" s="51"/>
      <c r="AV23" s="51" t="s">
        <v>81</v>
      </c>
      <c r="AW23" s="51" t="s">
        <v>81</v>
      </c>
      <c r="AX23" s="51" t="s">
        <v>81</v>
      </c>
      <c r="AY23" s="51" t="s">
        <v>81</v>
      </c>
      <c r="AZ23" s="20"/>
      <c r="BA23" s="21"/>
      <c r="BB23" s="51"/>
      <c r="BC23" s="51" t="s">
        <v>81</v>
      </c>
      <c r="BD23" s="51" t="s">
        <v>81</v>
      </c>
      <c r="BE23" s="51" t="s">
        <v>81</v>
      </c>
      <c r="BF23" s="51" t="s">
        <v>81</v>
      </c>
      <c r="BG23" s="20"/>
      <c r="BH23" s="21"/>
      <c r="BI23" s="51"/>
      <c r="BJ23" s="51" t="s">
        <v>81</v>
      </c>
      <c r="BK23" s="51" t="s">
        <v>81</v>
      </c>
      <c r="BL23" s="51" t="s">
        <v>81</v>
      </c>
      <c r="BM23" s="51" t="s">
        <v>81</v>
      </c>
      <c r="BN23" s="103"/>
      <c r="BO23" s="102"/>
      <c r="BP23" s="51"/>
      <c r="BQ23" s="51" t="b">
        <v>0</v>
      </c>
      <c r="BR23" s="51" t="b">
        <v>0</v>
      </c>
      <c r="BS23" s="51" t="b">
        <v>0</v>
      </c>
      <c r="BT23" s="51" t="b">
        <v>0</v>
      </c>
      <c r="BU23" s="20"/>
      <c r="BV23" s="21"/>
      <c r="BW23" s="51"/>
      <c r="BX23" s="51" t="b">
        <v>0</v>
      </c>
      <c r="BY23" s="51" t="b">
        <v>0</v>
      </c>
      <c r="BZ23" s="51" t="b">
        <v>0</v>
      </c>
      <c r="CA23" s="51" t="b">
        <v>0</v>
      </c>
      <c r="CB23" s="20"/>
      <c r="CC23" s="21"/>
      <c r="CD23" s="51"/>
      <c r="CE23" s="51" t="b">
        <v>0</v>
      </c>
      <c r="CF23" s="51" t="b">
        <v>0</v>
      </c>
      <c r="CG23" s="51" t="b">
        <v>0</v>
      </c>
      <c r="CH23" s="51" t="b">
        <v>0</v>
      </c>
      <c r="CI23" s="103"/>
      <c r="CJ23" s="102"/>
      <c r="CK23" s="51"/>
      <c r="CL23" s="51" t="b">
        <v>0</v>
      </c>
      <c r="CM23" s="51" t="b">
        <v>0</v>
      </c>
      <c r="CN23" s="51" t="b">
        <v>0</v>
      </c>
      <c r="CO23" s="51" t="b">
        <v>0</v>
      </c>
      <c r="CP23" s="20"/>
      <c r="CQ23" s="21"/>
      <c r="CR23" s="51"/>
      <c r="CS23" s="51" t="b">
        <v>0</v>
      </c>
      <c r="CT23" s="51" t="b">
        <v>0</v>
      </c>
      <c r="CU23" s="51" t="b">
        <v>0</v>
      </c>
      <c r="CV23" s="51" t="b">
        <v>0</v>
      </c>
      <c r="CW23" s="20"/>
      <c r="CX23" s="21"/>
      <c r="CY23" s="51"/>
      <c r="CZ23" s="51" t="b">
        <v>0</v>
      </c>
      <c r="DA23" s="51" t="b">
        <v>0</v>
      </c>
      <c r="DB23" s="51" t="b">
        <v>0</v>
      </c>
      <c r="DC23" s="51" t="b">
        <v>0</v>
      </c>
      <c r="DD23" s="103"/>
      <c r="DE23" s="102"/>
      <c r="DF23" s="51"/>
      <c r="DG23" s="51" t="b">
        <v>0</v>
      </c>
      <c r="DH23" s="51" t="b">
        <v>0</v>
      </c>
      <c r="DI23" s="51" t="b">
        <v>0</v>
      </c>
      <c r="DJ23" s="51" t="b">
        <v>0</v>
      </c>
      <c r="DK23" s="20"/>
      <c r="DL23" s="21"/>
      <c r="DM23" s="51"/>
      <c r="DN23" s="51" t="b">
        <v>0</v>
      </c>
      <c r="DO23" s="51" t="b">
        <v>0</v>
      </c>
      <c r="DP23" s="51" t="b">
        <v>0</v>
      </c>
      <c r="DQ23" s="51" t="b">
        <v>0</v>
      </c>
      <c r="DR23" s="20"/>
      <c r="DS23" s="21"/>
      <c r="DT23" s="51"/>
      <c r="DU23" s="51" t="b">
        <v>0</v>
      </c>
      <c r="DV23" s="51" t="b">
        <v>0</v>
      </c>
      <c r="DW23" s="51" t="b">
        <v>0</v>
      </c>
      <c r="DX23" s="51" t="b">
        <v>0</v>
      </c>
      <c r="DY23" s="103"/>
      <c r="DZ23" s="102"/>
      <c r="EA23" s="51"/>
      <c r="EB23" s="51" t="b">
        <v>0</v>
      </c>
      <c r="EC23" s="51" t="b">
        <v>0</v>
      </c>
      <c r="ED23" s="51" t="b">
        <v>0</v>
      </c>
      <c r="EE23" s="51" t="b">
        <v>0</v>
      </c>
      <c r="EF23" s="20"/>
      <c r="EG23" s="21"/>
      <c r="EH23" s="51"/>
      <c r="EI23" s="51" t="b">
        <v>0</v>
      </c>
      <c r="EJ23" s="51" t="b">
        <v>0</v>
      </c>
      <c r="EK23" s="51" t="b">
        <v>0</v>
      </c>
      <c r="EL23" s="51" t="b">
        <v>0</v>
      </c>
      <c r="EM23" s="20"/>
      <c r="EN23" s="21"/>
      <c r="EO23" s="51"/>
      <c r="EP23" s="51" t="b">
        <v>0</v>
      </c>
      <c r="EQ23" s="51" t="b">
        <v>0</v>
      </c>
      <c r="ER23" s="51" t="b">
        <v>0</v>
      </c>
      <c r="ES23" s="51" t="b">
        <v>0</v>
      </c>
      <c r="ET23" s="103"/>
      <c r="EU23" s="102"/>
      <c r="EV23" s="51"/>
      <c r="EW23" s="51" t="b">
        <v>0</v>
      </c>
      <c r="EX23" s="51" t="b">
        <v>0</v>
      </c>
      <c r="EY23" s="51" t="b">
        <v>0</v>
      </c>
      <c r="EZ23" s="51" t="b">
        <v>0</v>
      </c>
      <c r="FA23" s="20"/>
      <c r="FB23" s="21"/>
      <c r="FC23" s="51"/>
      <c r="FD23" s="51" t="b">
        <v>0</v>
      </c>
      <c r="FE23" s="51" t="b">
        <v>0</v>
      </c>
      <c r="FF23" s="51" t="b">
        <v>0</v>
      </c>
      <c r="FG23" s="51" t="b">
        <v>0</v>
      </c>
      <c r="FH23" s="20"/>
      <c r="FI23" s="21"/>
      <c r="FJ23" s="51"/>
      <c r="FK23" s="51" t="b">
        <v>0</v>
      </c>
      <c r="FL23" s="51" t="b">
        <v>0</v>
      </c>
      <c r="FM23" s="51" t="b">
        <v>0</v>
      </c>
      <c r="FN23" s="51" t="b">
        <v>0</v>
      </c>
      <c r="FO23" s="103"/>
      <c r="FP23" s="102"/>
      <c r="FQ23" s="51"/>
      <c r="FR23" s="51" t="b">
        <v>0</v>
      </c>
      <c r="FS23" s="51" t="b">
        <v>0</v>
      </c>
      <c r="FT23" s="51" t="b">
        <v>0</v>
      </c>
      <c r="FU23" s="51" t="b">
        <v>0</v>
      </c>
      <c r="FV23" s="20"/>
      <c r="FW23" s="21"/>
      <c r="FX23" s="51"/>
      <c r="FY23" s="51" t="b">
        <v>0</v>
      </c>
      <c r="FZ23" s="51" t="b">
        <v>0</v>
      </c>
      <c r="GA23" s="51" t="b">
        <v>0</v>
      </c>
      <c r="GB23" s="51" t="b">
        <v>0</v>
      </c>
      <c r="GC23" s="20"/>
      <c r="GD23" s="21"/>
      <c r="GE23" s="51"/>
      <c r="GF23" s="51" t="b">
        <v>0</v>
      </c>
      <c r="GG23" s="51" t="b">
        <v>0</v>
      </c>
      <c r="GH23" s="51" t="b">
        <v>0</v>
      </c>
      <c r="GI23" s="51" t="b">
        <v>0</v>
      </c>
      <c r="GJ23" s="103"/>
      <c r="GK23" s="102"/>
      <c r="GL23" s="51"/>
      <c r="GM23" s="51" t="b">
        <v>0</v>
      </c>
      <c r="GN23" s="51" t="b">
        <v>0</v>
      </c>
      <c r="GO23" s="51" t="b">
        <v>0</v>
      </c>
      <c r="GP23" s="51" t="b">
        <v>0</v>
      </c>
      <c r="GQ23" s="20"/>
      <c r="GR23" s="21"/>
      <c r="GS23" s="51"/>
      <c r="GT23" s="51" t="b">
        <v>0</v>
      </c>
      <c r="GU23" s="51" t="b">
        <v>0</v>
      </c>
      <c r="GV23" s="51" t="b">
        <v>0</v>
      </c>
      <c r="GW23" s="51" t="b">
        <v>0</v>
      </c>
      <c r="GX23" s="20"/>
      <c r="GY23" s="21"/>
      <c r="GZ23" s="51"/>
      <c r="HA23" s="51" t="b">
        <v>0</v>
      </c>
      <c r="HB23" s="51" t="b">
        <v>0</v>
      </c>
      <c r="HC23" s="51" t="b">
        <v>0</v>
      </c>
      <c r="HD23" s="51" t="b">
        <v>0</v>
      </c>
      <c r="HE23" s="103"/>
      <c r="HF23" s="102"/>
      <c r="HG23" s="51"/>
      <c r="HH23" s="51" t="b">
        <v>0</v>
      </c>
      <c r="HI23" s="51" t="b">
        <v>0</v>
      </c>
      <c r="HJ23" s="51" t="b">
        <v>0</v>
      </c>
      <c r="HK23" s="51" t="b">
        <v>0</v>
      </c>
      <c r="HL23" s="20"/>
      <c r="HM23" s="21"/>
      <c r="HN23" s="51"/>
      <c r="HO23" s="51" t="b">
        <v>0</v>
      </c>
      <c r="HP23" s="51" t="b">
        <v>0</v>
      </c>
      <c r="HQ23" s="51" t="b">
        <v>0</v>
      </c>
      <c r="HR23" s="51" t="b">
        <v>0</v>
      </c>
      <c r="HS23" s="20"/>
      <c r="HT23" s="21"/>
      <c r="HU23" s="51"/>
      <c r="HV23" s="51" t="b">
        <v>0</v>
      </c>
      <c r="HW23" s="51" t="b">
        <v>0</v>
      </c>
      <c r="HX23" s="51" t="b">
        <v>0</v>
      </c>
      <c r="HY23" s="51" t="b">
        <v>0</v>
      </c>
      <c r="HZ23" s="103"/>
      <c r="IA23" s="102"/>
      <c r="IB23" s="51"/>
      <c r="IC23" s="51" t="b">
        <v>0</v>
      </c>
      <c r="ID23" s="51" t="b">
        <v>0</v>
      </c>
      <c r="IE23" s="51" t="b">
        <v>0</v>
      </c>
      <c r="IF23" s="51" t="b">
        <v>0</v>
      </c>
      <c r="IG23" s="20"/>
      <c r="IH23" s="21"/>
      <c r="II23" s="51"/>
      <c r="IJ23" s="51" t="b">
        <v>0</v>
      </c>
      <c r="IK23" s="51" t="b">
        <v>0</v>
      </c>
      <c r="IL23" s="51" t="b">
        <v>0</v>
      </c>
      <c r="IM23" s="51" t="b">
        <v>0</v>
      </c>
      <c r="IN23" s="20"/>
      <c r="IO23" s="21"/>
      <c r="IP23" s="51"/>
      <c r="IQ23" s="51" t="b">
        <v>0</v>
      </c>
      <c r="IR23" s="51" t="b">
        <v>0</v>
      </c>
      <c r="IS23" s="51" t="b">
        <v>0</v>
      </c>
      <c r="IT23" s="51" t="b">
        <v>0</v>
      </c>
      <c r="IU23" s="103"/>
      <c r="IV23" s="112"/>
    </row>
    <row r="24" spans="1:256" x14ac:dyDescent="0.2">
      <c r="C24">
        <v>15</v>
      </c>
      <c r="D24" s="102"/>
      <c r="E24" s="51"/>
      <c r="F24" s="51" t="s">
        <v>81</v>
      </c>
      <c r="G24" s="51" t="s">
        <v>81</v>
      </c>
      <c r="H24" s="51" t="s">
        <v>81</v>
      </c>
      <c r="I24" s="51" t="s">
        <v>81</v>
      </c>
      <c r="J24" s="20"/>
      <c r="K24" s="21"/>
      <c r="L24" s="51"/>
      <c r="M24" s="51" t="s">
        <v>81</v>
      </c>
      <c r="N24" s="51" t="s">
        <v>81</v>
      </c>
      <c r="O24" s="51" t="s">
        <v>81</v>
      </c>
      <c r="P24" s="51" t="s">
        <v>81</v>
      </c>
      <c r="Q24" s="20"/>
      <c r="R24" s="21"/>
      <c r="S24" s="51"/>
      <c r="T24" s="51" t="s">
        <v>81</v>
      </c>
      <c r="U24" s="51" t="s">
        <v>81</v>
      </c>
      <c r="V24" s="51" t="s">
        <v>81</v>
      </c>
      <c r="W24" s="51" t="s">
        <v>81</v>
      </c>
      <c r="X24" s="103"/>
      <c r="Y24" s="102"/>
      <c r="Z24" s="51"/>
      <c r="AA24" s="51" t="s">
        <v>81</v>
      </c>
      <c r="AB24" s="51" t="s">
        <v>81</v>
      </c>
      <c r="AC24" s="51" t="s">
        <v>81</v>
      </c>
      <c r="AD24" s="51" t="s">
        <v>81</v>
      </c>
      <c r="AE24" s="20"/>
      <c r="AF24" s="21"/>
      <c r="AG24" s="51"/>
      <c r="AH24" s="51" t="s">
        <v>81</v>
      </c>
      <c r="AI24" s="51" t="s">
        <v>81</v>
      </c>
      <c r="AJ24" s="51" t="s">
        <v>81</v>
      </c>
      <c r="AK24" s="51" t="s">
        <v>81</v>
      </c>
      <c r="AL24" s="20"/>
      <c r="AM24" s="21"/>
      <c r="AN24" s="51"/>
      <c r="AO24" s="51" t="s">
        <v>81</v>
      </c>
      <c r="AP24" s="51" t="s">
        <v>81</v>
      </c>
      <c r="AQ24" s="51" t="s">
        <v>81</v>
      </c>
      <c r="AR24" s="51" t="s">
        <v>81</v>
      </c>
      <c r="AS24" s="103"/>
      <c r="AT24" s="102"/>
      <c r="AU24" s="51"/>
      <c r="AV24" s="51" t="s">
        <v>81</v>
      </c>
      <c r="AW24" s="51" t="s">
        <v>81</v>
      </c>
      <c r="AX24" s="51" t="s">
        <v>81</v>
      </c>
      <c r="AY24" s="51" t="s">
        <v>81</v>
      </c>
      <c r="AZ24" s="20"/>
      <c r="BA24" s="21"/>
      <c r="BB24" s="51"/>
      <c r="BC24" s="51" t="s">
        <v>81</v>
      </c>
      <c r="BD24" s="51" t="s">
        <v>81</v>
      </c>
      <c r="BE24" s="51" t="s">
        <v>81</v>
      </c>
      <c r="BF24" s="51" t="s">
        <v>81</v>
      </c>
      <c r="BG24" s="20"/>
      <c r="BH24" s="21"/>
      <c r="BI24" s="51"/>
      <c r="BJ24" s="51" t="s">
        <v>81</v>
      </c>
      <c r="BK24" s="51" t="s">
        <v>81</v>
      </c>
      <c r="BL24" s="51" t="s">
        <v>81</v>
      </c>
      <c r="BM24" s="51" t="s">
        <v>81</v>
      </c>
      <c r="BN24" s="103"/>
      <c r="BO24" s="102"/>
      <c r="BP24" s="51"/>
      <c r="BQ24" s="51" t="b">
        <v>0</v>
      </c>
      <c r="BR24" s="51" t="b">
        <v>0</v>
      </c>
      <c r="BS24" s="51" t="b">
        <v>0</v>
      </c>
      <c r="BT24" s="51" t="b">
        <v>0</v>
      </c>
      <c r="BU24" s="20"/>
      <c r="BV24" s="21"/>
      <c r="BW24" s="51"/>
      <c r="BX24" s="51" t="b">
        <v>0</v>
      </c>
      <c r="BY24" s="51" t="b">
        <v>0</v>
      </c>
      <c r="BZ24" s="51" t="b">
        <v>0</v>
      </c>
      <c r="CA24" s="51" t="b">
        <v>0</v>
      </c>
      <c r="CB24" s="20"/>
      <c r="CC24" s="21"/>
      <c r="CD24" s="51"/>
      <c r="CE24" s="51" t="b">
        <v>0</v>
      </c>
      <c r="CF24" s="51" t="b">
        <v>0</v>
      </c>
      <c r="CG24" s="51" t="b">
        <v>0</v>
      </c>
      <c r="CH24" s="51" t="b">
        <v>0</v>
      </c>
      <c r="CI24" s="103"/>
      <c r="CJ24" s="102"/>
      <c r="CK24" s="51"/>
      <c r="CL24" s="51" t="b">
        <v>0</v>
      </c>
      <c r="CM24" s="51" t="b">
        <v>0</v>
      </c>
      <c r="CN24" s="51" t="b">
        <v>0</v>
      </c>
      <c r="CO24" s="51" t="b">
        <v>0</v>
      </c>
      <c r="CP24" s="20"/>
      <c r="CQ24" s="21"/>
      <c r="CR24" s="51"/>
      <c r="CS24" s="51" t="b">
        <v>0</v>
      </c>
      <c r="CT24" s="51" t="b">
        <v>0</v>
      </c>
      <c r="CU24" s="51" t="b">
        <v>0</v>
      </c>
      <c r="CV24" s="51" t="b">
        <v>0</v>
      </c>
      <c r="CW24" s="20"/>
      <c r="CX24" s="21"/>
      <c r="CY24" s="51"/>
      <c r="CZ24" s="51" t="b">
        <v>0</v>
      </c>
      <c r="DA24" s="51" t="b">
        <v>0</v>
      </c>
      <c r="DB24" s="51" t="b">
        <v>0</v>
      </c>
      <c r="DC24" s="51" t="b">
        <v>0</v>
      </c>
      <c r="DD24" s="103"/>
      <c r="DE24" s="102"/>
      <c r="DF24" s="51"/>
      <c r="DG24" s="51" t="b">
        <v>0</v>
      </c>
      <c r="DH24" s="51" t="b">
        <v>0</v>
      </c>
      <c r="DI24" s="51" t="b">
        <v>0</v>
      </c>
      <c r="DJ24" s="51" t="b">
        <v>0</v>
      </c>
      <c r="DK24" s="20"/>
      <c r="DL24" s="21"/>
      <c r="DM24" s="51"/>
      <c r="DN24" s="51" t="b">
        <v>0</v>
      </c>
      <c r="DO24" s="51" t="b">
        <v>0</v>
      </c>
      <c r="DP24" s="51" t="b">
        <v>0</v>
      </c>
      <c r="DQ24" s="51" t="b">
        <v>0</v>
      </c>
      <c r="DR24" s="20"/>
      <c r="DS24" s="21"/>
      <c r="DT24" s="51"/>
      <c r="DU24" s="51" t="b">
        <v>0</v>
      </c>
      <c r="DV24" s="51" t="b">
        <v>0</v>
      </c>
      <c r="DW24" s="51" t="b">
        <v>0</v>
      </c>
      <c r="DX24" s="51" t="b">
        <v>0</v>
      </c>
      <c r="DY24" s="103"/>
      <c r="DZ24" s="102"/>
      <c r="EA24" s="51"/>
      <c r="EB24" s="51" t="b">
        <v>0</v>
      </c>
      <c r="EC24" s="51" t="b">
        <v>0</v>
      </c>
      <c r="ED24" s="51" t="b">
        <v>0</v>
      </c>
      <c r="EE24" s="51" t="b">
        <v>0</v>
      </c>
      <c r="EF24" s="20"/>
      <c r="EG24" s="21"/>
      <c r="EH24" s="51"/>
      <c r="EI24" s="51" t="b">
        <v>0</v>
      </c>
      <c r="EJ24" s="51" t="b">
        <v>0</v>
      </c>
      <c r="EK24" s="51" t="b">
        <v>0</v>
      </c>
      <c r="EL24" s="51" t="b">
        <v>0</v>
      </c>
      <c r="EM24" s="20"/>
      <c r="EN24" s="21"/>
      <c r="EO24" s="51"/>
      <c r="EP24" s="51" t="b">
        <v>0</v>
      </c>
      <c r="EQ24" s="51" t="b">
        <v>0</v>
      </c>
      <c r="ER24" s="51" t="b">
        <v>0</v>
      </c>
      <c r="ES24" s="51" t="b">
        <v>0</v>
      </c>
      <c r="ET24" s="103"/>
      <c r="EU24" s="102"/>
      <c r="EV24" s="51"/>
      <c r="EW24" s="51" t="b">
        <v>0</v>
      </c>
      <c r="EX24" s="51" t="b">
        <v>0</v>
      </c>
      <c r="EY24" s="51" t="b">
        <v>0</v>
      </c>
      <c r="EZ24" s="51" t="b">
        <v>0</v>
      </c>
      <c r="FA24" s="20"/>
      <c r="FB24" s="21"/>
      <c r="FC24" s="51"/>
      <c r="FD24" s="51" t="b">
        <v>0</v>
      </c>
      <c r="FE24" s="51" t="b">
        <v>0</v>
      </c>
      <c r="FF24" s="51" t="b">
        <v>0</v>
      </c>
      <c r="FG24" s="51" t="b">
        <v>0</v>
      </c>
      <c r="FH24" s="20"/>
      <c r="FI24" s="21"/>
      <c r="FJ24" s="51"/>
      <c r="FK24" s="51" t="b">
        <v>0</v>
      </c>
      <c r="FL24" s="51" t="b">
        <v>0</v>
      </c>
      <c r="FM24" s="51" t="b">
        <v>0</v>
      </c>
      <c r="FN24" s="51" t="b">
        <v>0</v>
      </c>
      <c r="FO24" s="103"/>
      <c r="FP24" s="102"/>
      <c r="FQ24" s="51"/>
      <c r="FR24" s="51" t="b">
        <v>0</v>
      </c>
      <c r="FS24" s="51" t="b">
        <v>0</v>
      </c>
      <c r="FT24" s="51" t="b">
        <v>0</v>
      </c>
      <c r="FU24" s="51" t="b">
        <v>0</v>
      </c>
      <c r="FV24" s="20"/>
      <c r="FW24" s="21"/>
      <c r="FX24" s="51"/>
      <c r="FY24" s="51" t="b">
        <v>0</v>
      </c>
      <c r="FZ24" s="51" t="b">
        <v>0</v>
      </c>
      <c r="GA24" s="51" t="b">
        <v>0</v>
      </c>
      <c r="GB24" s="51" t="b">
        <v>0</v>
      </c>
      <c r="GC24" s="20"/>
      <c r="GD24" s="21"/>
      <c r="GE24" s="51"/>
      <c r="GF24" s="51" t="b">
        <v>0</v>
      </c>
      <c r="GG24" s="51" t="b">
        <v>0</v>
      </c>
      <c r="GH24" s="51" t="b">
        <v>0</v>
      </c>
      <c r="GI24" s="51" t="b">
        <v>0</v>
      </c>
      <c r="GJ24" s="103"/>
      <c r="GK24" s="102"/>
      <c r="GL24" s="51"/>
      <c r="GM24" s="51" t="b">
        <v>0</v>
      </c>
      <c r="GN24" s="51" t="b">
        <v>0</v>
      </c>
      <c r="GO24" s="51" t="b">
        <v>0</v>
      </c>
      <c r="GP24" s="51" t="b">
        <v>0</v>
      </c>
      <c r="GQ24" s="20"/>
      <c r="GR24" s="21"/>
      <c r="GS24" s="51"/>
      <c r="GT24" s="51" t="b">
        <v>0</v>
      </c>
      <c r="GU24" s="51" t="b">
        <v>0</v>
      </c>
      <c r="GV24" s="51" t="b">
        <v>0</v>
      </c>
      <c r="GW24" s="51" t="b">
        <v>0</v>
      </c>
      <c r="GX24" s="20"/>
      <c r="GY24" s="21"/>
      <c r="GZ24" s="51"/>
      <c r="HA24" s="51" t="b">
        <v>0</v>
      </c>
      <c r="HB24" s="51" t="b">
        <v>0</v>
      </c>
      <c r="HC24" s="51" t="b">
        <v>0</v>
      </c>
      <c r="HD24" s="51" t="b">
        <v>0</v>
      </c>
      <c r="HE24" s="103"/>
      <c r="HF24" s="102"/>
      <c r="HG24" s="51"/>
      <c r="HH24" s="51" t="b">
        <v>0</v>
      </c>
      <c r="HI24" s="51" t="b">
        <v>0</v>
      </c>
      <c r="HJ24" s="51" t="b">
        <v>0</v>
      </c>
      <c r="HK24" s="51" t="b">
        <v>0</v>
      </c>
      <c r="HL24" s="20"/>
      <c r="HM24" s="21"/>
      <c r="HN24" s="51"/>
      <c r="HO24" s="51" t="b">
        <v>0</v>
      </c>
      <c r="HP24" s="51" t="b">
        <v>0</v>
      </c>
      <c r="HQ24" s="51" t="b">
        <v>0</v>
      </c>
      <c r="HR24" s="51" t="b">
        <v>0</v>
      </c>
      <c r="HS24" s="20"/>
      <c r="HT24" s="21"/>
      <c r="HU24" s="51"/>
      <c r="HV24" s="51" t="b">
        <v>0</v>
      </c>
      <c r="HW24" s="51" t="b">
        <v>0</v>
      </c>
      <c r="HX24" s="51" t="b">
        <v>0</v>
      </c>
      <c r="HY24" s="51" t="b">
        <v>0</v>
      </c>
      <c r="HZ24" s="103"/>
      <c r="IA24" s="102"/>
      <c r="IB24" s="51"/>
      <c r="IC24" s="51" t="b">
        <v>0</v>
      </c>
      <c r="ID24" s="51" t="b">
        <v>0</v>
      </c>
      <c r="IE24" s="51" t="b">
        <v>0</v>
      </c>
      <c r="IF24" s="51" t="b">
        <v>0</v>
      </c>
      <c r="IG24" s="20"/>
      <c r="IH24" s="21"/>
      <c r="II24" s="51"/>
      <c r="IJ24" s="51" t="b">
        <v>0</v>
      </c>
      <c r="IK24" s="51" t="b">
        <v>0</v>
      </c>
      <c r="IL24" s="51" t="b">
        <v>0</v>
      </c>
      <c r="IM24" s="51" t="b">
        <v>0</v>
      </c>
      <c r="IN24" s="20"/>
      <c r="IO24" s="21"/>
      <c r="IP24" s="51"/>
      <c r="IQ24" s="51" t="b">
        <v>0</v>
      </c>
      <c r="IR24" s="51" t="b">
        <v>0</v>
      </c>
      <c r="IS24" s="51" t="b">
        <v>0</v>
      </c>
      <c r="IT24" s="51" t="b">
        <v>0</v>
      </c>
      <c r="IU24" s="103"/>
      <c r="IV24" s="112"/>
    </row>
    <row r="25" spans="1:256" x14ac:dyDescent="0.2">
      <c r="C25">
        <v>16</v>
      </c>
      <c r="D25" s="102"/>
      <c r="E25" s="51"/>
      <c r="F25" s="51" t="s">
        <v>81</v>
      </c>
      <c r="G25" s="51" t="s">
        <v>81</v>
      </c>
      <c r="H25" s="51" t="s">
        <v>81</v>
      </c>
      <c r="I25" s="51" t="s">
        <v>81</v>
      </c>
      <c r="J25" s="20"/>
      <c r="K25" s="21"/>
      <c r="L25" s="51"/>
      <c r="M25" s="51" t="s">
        <v>81</v>
      </c>
      <c r="N25" s="51" t="s">
        <v>81</v>
      </c>
      <c r="O25" s="51" t="s">
        <v>81</v>
      </c>
      <c r="P25" s="51" t="s">
        <v>81</v>
      </c>
      <c r="Q25" s="20"/>
      <c r="R25" s="21"/>
      <c r="S25" s="51"/>
      <c r="T25" s="51" t="b">
        <v>0</v>
      </c>
      <c r="U25" s="51" t="b">
        <v>0</v>
      </c>
      <c r="V25" s="51" t="b">
        <v>0</v>
      </c>
      <c r="W25" s="51" t="b">
        <v>0</v>
      </c>
      <c r="X25" s="103"/>
      <c r="Y25" s="102"/>
      <c r="Z25" s="51"/>
      <c r="AA25" s="51" t="s">
        <v>81</v>
      </c>
      <c r="AB25" s="51" t="s">
        <v>81</v>
      </c>
      <c r="AC25" s="51" t="s">
        <v>81</v>
      </c>
      <c r="AD25" s="51" t="s">
        <v>81</v>
      </c>
      <c r="AE25" s="20"/>
      <c r="AF25" s="21"/>
      <c r="AG25" s="51"/>
      <c r="AH25" s="51" t="s">
        <v>81</v>
      </c>
      <c r="AI25" s="51" t="s">
        <v>81</v>
      </c>
      <c r="AJ25" s="51" t="s">
        <v>81</v>
      </c>
      <c r="AK25" s="51" t="s">
        <v>81</v>
      </c>
      <c r="AL25" s="20"/>
      <c r="AM25" s="21"/>
      <c r="AN25" s="51"/>
      <c r="AO25" s="51" t="b">
        <v>0</v>
      </c>
      <c r="AP25" s="51" t="b">
        <v>0</v>
      </c>
      <c r="AQ25" s="51" t="b">
        <v>0</v>
      </c>
      <c r="AR25" s="51" t="b">
        <v>0</v>
      </c>
      <c r="AS25" s="103"/>
      <c r="AT25" s="102"/>
      <c r="AU25" s="51"/>
      <c r="AV25" s="51" t="s">
        <v>81</v>
      </c>
      <c r="AW25" s="51" t="s">
        <v>81</v>
      </c>
      <c r="AX25" s="51" t="s">
        <v>81</v>
      </c>
      <c r="AY25" s="51" t="s">
        <v>81</v>
      </c>
      <c r="AZ25" s="20"/>
      <c r="BA25" s="21"/>
      <c r="BB25" s="51"/>
      <c r="BC25" s="51" t="s">
        <v>81</v>
      </c>
      <c r="BD25" s="51" t="s">
        <v>81</v>
      </c>
      <c r="BE25" s="51" t="s">
        <v>81</v>
      </c>
      <c r="BF25" s="51" t="s">
        <v>81</v>
      </c>
      <c r="BG25" s="20"/>
      <c r="BH25" s="21"/>
      <c r="BI25" s="51"/>
      <c r="BJ25" s="51" t="b">
        <v>0</v>
      </c>
      <c r="BK25" s="51" t="b">
        <v>0</v>
      </c>
      <c r="BL25" s="51" t="b">
        <v>0</v>
      </c>
      <c r="BM25" s="51" t="b">
        <v>0</v>
      </c>
      <c r="BN25" s="103"/>
      <c r="BO25" s="102"/>
      <c r="BP25" s="51"/>
      <c r="BQ25" s="51" t="b">
        <v>0</v>
      </c>
      <c r="BR25" s="51" t="b">
        <v>0</v>
      </c>
      <c r="BS25" s="51" t="b">
        <v>0</v>
      </c>
      <c r="BT25" s="51" t="b">
        <v>0</v>
      </c>
      <c r="BU25" s="20"/>
      <c r="BV25" s="21"/>
      <c r="BW25" s="51"/>
      <c r="BX25" s="51" t="b">
        <v>0</v>
      </c>
      <c r="BY25" s="51" t="b">
        <v>0</v>
      </c>
      <c r="BZ25" s="51" t="b">
        <v>0</v>
      </c>
      <c r="CA25" s="51" t="b">
        <v>0</v>
      </c>
      <c r="CB25" s="20"/>
      <c r="CC25" s="21"/>
      <c r="CD25" s="51"/>
      <c r="CE25" s="51" t="b">
        <v>0</v>
      </c>
      <c r="CF25" s="51" t="b">
        <v>0</v>
      </c>
      <c r="CG25" s="51" t="b">
        <v>0</v>
      </c>
      <c r="CH25" s="51" t="b">
        <v>0</v>
      </c>
      <c r="CI25" s="103"/>
      <c r="CJ25" s="102"/>
      <c r="CK25" s="51"/>
      <c r="CL25" s="51" t="b">
        <v>0</v>
      </c>
      <c r="CM25" s="51" t="b">
        <v>0</v>
      </c>
      <c r="CN25" s="51" t="b">
        <v>0</v>
      </c>
      <c r="CO25" s="51" t="b">
        <v>0</v>
      </c>
      <c r="CP25" s="20"/>
      <c r="CQ25" s="21"/>
      <c r="CR25" s="51"/>
      <c r="CS25" s="51" t="b">
        <v>0</v>
      </c>
      <c r="CT25" s="51" t="b">
        <v>0</v>
      </c>
      <c r="CU25" s="51" t="b">
        <v>0</v>
      </c>
      <c r="CV25" s="51" t="b">
        <v>0</v>
      </c>
      <c r="CW25" s="20"/>
      <c r="CX25" s="21"/>
      <c r="CY25" s="51"/>
      <c r="CZ25" s="51" t="b">
        <v>0</v>
      </c>
      <c r="DA25" s="51" t="b">
        <v>0</v>
      </c>
      <c r="DB25" s="51" t="b">
        <v>0</v>
      </c>
      <c r="DC25" s="51" t="b">
        <v>0</v>
      </c>
      <c r="DD25" s="103"/>
      <c r="DE25" s="102"/>
      <c r="DF25" s="51"/>
      <c r="DG25" s="51" t="b">
        <v>0</v>
      </c>
      <c r="DH25" s="51" t="b">
        <v>0</v>
      </c>
      <c r="DI25" s="51" t="b">
        <v>0</v>
      </c>
      <c r="DJ25" s="51" t="b">
        <v>0</v>
      </c>
      <c r="DK25" s="20"/>
      <c r="DL25" s="21"/>
      <c r="DM25" s="51"/>
      <c r="DN25" s="51" t="b">
        <v>0</v>
      </c>
      <c r="DO25" s="51" t="b">
        <v>0</v>
      </c>
      <c r="DP25" s="51" t="b">
        <v>0</v>
      </c>
      <c r="DQ25" s="51" t="b">
        <v>0</v>
      </c>
      <c r="DR25" s="20"/>
      <c r="DS25" s="21"/>
      <c r="DT25" s="51"/>
      <c r="DU25" s="51" t="b">
        <v>0</v>
      </c>
      <c r="DV25" s="51" t="b">
        <v>0</v>
      </c>
      <c r="DW25" s="51" t="b">
        <v>0</v>
      </c>
      <c r="DX25" s="51" t="b">
        <v>0</v>
      </c>
      <c r="DY25" s="103"/>
      <c r="DZ25" s="102"/>
      <c r="EA25" s="51"/>
      <c r="EB25" s="51" t="b">
        <v>0</v>
      </c>
      <c r="EC25" s="51" t="b">
        <v>0</v>
      </c>
      <c r="ED25" s="51" t="b">
        <v>0</v>
      </c>
      <c r="EE25" s="51" t="b">
        <v>0</v>
      </c>
      <c r="EF25" s="20"/>
      <c r="EG25" s="21"/>
      <c r="EH25" s="51"/>
      <c r="EI25" s="51" t="b">
        <v>0</v>
      </c>
      <c r="EJ25" s="51" t="b">
        <v>0</v>
      </c>
      <c r="EK25" s="51" t="b">
        <v>0</v>
      </c>
      <c r="EL25" s="51" t="b">
        <v>0</v>
      </c>
      <c r="EM25" s="20"/>
      <c r="EN25" s="21"/>
      <c r="EO25" s="51"/>
      <c r="EP25" s="51" t="b">
        <v>0</v>
      </c>
      <c r="EQ25" s="51" t="b">
        <v>0</v>
      </c>
      <c r="ER25" s="51" t="b">
        <v>0</v>
      </c>
      <c r="ES25" s="51" t="b">
        <v>0</v>
      </c>
      <c r="ET25" s="103"/>
      <c r="EU25" s="102"/>
      <c r="EV25" s="51"/>
      <c r="EW25" s="51" t="b">
        <v>0</v>
      </c>
      <c r="EX25" s="51" t="b">
        <v>0</v>
      </c>
      <c r="EY25" s="51" t="b">
        <v>0</v>
      </c>
      <c r="EZ25" s="51" t="b">
        <v>0</v>
      </c>
      <c r="FA25" s="20"/>
      <c r="FB25" s="21"/>
      <c r="FC25" s="51"/>
      <c r="FD25" s="51" t="b">
        <v>0</v>
      </c>
      <c r="FE25" s="51" t="b">
        <v>0</v>
      </c>
      <c r="FF25" s="51" t="b">
        <v>0</v>
      </c>
      <c r="FG25" s="51" t="b">
        <v>0</v>
      </c>
      <c r="FH25" s="20"/>
      <c r="FI25" s="21"/>
      <c r="FJ25" s="51"/>
      <c r="FK25" s="51" t="b">
        <v>0</v>
      </c>
      <c r="FL25" s="51" t="b">
        <v>0</v>
      </c>
      <c r="FM25" s="51" t="b">
        <v>0</v>
      </c>
      <c r="FN25" s="51" t="b">
        <v>0</v>
      </c>
      <c r="FO25" s="103"/>
      <c r="FP25" s="102"/>
      <c r="FQ25" s="51"/>
      <c r="FR25" s="51" t="b">
        <v>0</v>
      </c>
      <c r="FS25" s="51" t="b">
        <v>0</v>
      </c>
      <c r="FT25" s="51" t="b">
        <v>0</v>
      </c>
      <c r="FU25" s="51" t="b">
        <v>0</v>
      </c>
      <c r="FV25" s="20"/>
      <c r="FW25" s="21"/>
      <c r="FX25" s="51"/>
      <c r="FY25" s="51" t="b">
        <v>0</v>
      </c>
      <c r="FZ25" s="51" t="b">
        <v>0</v>
      </c>
      <c r="GA25" s="51" t="b">
        <v>0</v>
      </c>
      <c r="GB25" s="51" t="b">
        <v>0</v>
      </c>
      <c r="GC25" s="20"/>
      <c r="GD25" s="21"/>
      <c r="GE25" s="51"/>
      <c r="GF25" s="51" t="b">
        <v>0</v>
      </c>
      <c r="GG25" s="51" t="b">
        <v>0</v>
      </c>
      <c r="GH25" s="51" t="b">
        <v>0</v>
      </c>
      <c r="GI25" s="51" t="b">
        <v>0</v>
      </c>
      <c r="GJ25" s="103"/>
      <c r="GK25" s="102"/>
      <c r="GL25" s="51"/>
      <c r="GM25" s="51" t="b">
        <v>0</v>
      </c>
      <c r="GN25" s="51" t="b">
        <v>0</v>
      </c>
      <c r="GO25" s="51" t="b">
        <v>0</v>
      </c>
      <c r="GP25" s="51" t="b">
        <v>0</v>
      </c>
      <c r="GQ25" s="20"/>
      <c r="GR25" s="21"/>
      <c r="GS25" s="51"/>
      <c r="GT25" s="51" t="b">
        <v>0</v>
      </c>
      <c r="GU25" s="51" t="b">
        <v>0</v>
      </c>
      <c r="GV25" s="51" t="b">
        <v>0</v>
      </c>
      <c r="GW25" s="51" t="b">
        <v>0</v>
      </c>
      <c r="GX25" s="20"/>
      <c r="GY25" s="21"/>
      <c r="GZ25" s="51"/>
      <c r="HA25" s="51" t="b">
        <v>0</v>
      </c>
      <c r="HB25" s="51" t="b">
        <v>0</v>
      </c>
      <c r="HC25" s="51" t="b">
        <v>0</v>
      </c>
      <c r="HD25" s="51" t="b">
        <v>0</v>
      </c>
      <c r="HE25" s="103"/>
      <c r="HF25" s="102"/>
      <c r="HG25" s="51"/>
      <c r="HH25" s="51" t="b">
        <v>0</v>
      </c>
      <c r="HI25" s="51" t="b">
        <v>0</v>
      </c>
      <c r="HJ25" s="51" t="b">
        <v>0</v>
      </c>
      <c r="HK25" s="51" t="b">
        <v>0</v>
      </c>
      <c r="HL25" s="20"/>
      <c r="HM25" s="21"/>
      <c r="HN25" s="51"/>
      <c r="HO25" s="51" t="b">
        <v>0</v>
      </c>
      <c r="HP25" s="51" t="b">
        <v>0</v>
      </c>
      <c r="HQ25" s="51" t="b">
        <v>0</v>
      </c>
      <c r="HR25" s="51" t="b">
        <v>0</v>
      </c>
      <c r="HS25" s="20"/>
      <c r="HT25" s="21"/>
      <c r="HU25" s="51"/>
      <c r="HV25" s="51" t="b">
        <v>0</v>
      </c>
      <c r="HW25" s="51" t="b">
        <v>0</v>
      </c>
      <c r="HX25" s="51" t="b">
        <v>0</v>
      </c>
      <c r="HY25" s="51" t="b">
        <v>0</v>
      </c>
      <c r="HZ25" s="103"/>
      <c r="IA25" s="102"/>
      <c r="IB25" s="51"/>
      <c r="IC25" s="51" t="b">
        <v>0</v>
      </c>
      <c r="ID25" s="51" t="b">
        <v>0</v>
      </c>
      <c r="IE25" s="51" t="b">
        <v>0</v>
      </c>
      <c r="IF25" s="51" t="b">
        <v>0</v>
      </c>
      <c r="IG25" s="20"/>
      <c r="IH25" s="21"/>
      <c r="II25" s="51"/>
      <c r="IJ25" s="51" t="b">
        <v>0</v>
      </c>
      <c r="IK25" s="51" t="b">
        <v>0</v>
      </c>
      <c r="IL25" s="51" t="b">
        <v>0</v>
      </c>
      <c r="IM25" s="51" t="b">
        <v>0</v>
      </c>
      <c r="IN25" s="20"/>
      <c r="IO25" s="21"/>
      <c r="IP25" s="51"/>
      <c r="IQ25" s="51" t="b">
        <v>0</v>
      </c>
      <c r="IR25" s="51" t="b">
        <v>0</v>
      </c>
      <c r="IS25" s="51" t="b">
        <v>0</v>
      </c>
      <c r="IT25" s="51" t="b">
        <v>0</v>
      </c>
      <c r="IU25" s="103"/>
      <c r="IV25" s="112"/>
    </row>
    <row r="26" spans="1:256" x14ac:dyDescent="0.2">
      <c r="C26">
        <v>17</v>
      </c>
      <c r="D26" s="102"/>
      <c r="E26" s="51"/>
      <c r="F26" s="51" t="s">
        <v>81</v>
      </c>
      <c r="G26" s="51" t="s">
        <v>81</v>
      </c>
      <c r="H26" s="51" t="s">
        <v>81</v>
      </c>
      <c r="I26" s="51" t="s">
        <v>81</v>
      </c>
      <c r="J26" s="20"/>
      <c r="K26" s="21"/>
      <c r="L26" s="51"/>
      <c r="M26" s="51" t="s">
        <v>81</v>
      </c>
      <c r="N26" s="51" t="s">
        <v>81</v>
      </c>
      <c r="O26" s="51" t="s">
        <v>81</v>
      </c>
      <c r="P26" s="51" t="s">
        <v>81</v>
      </c>
      <c r="Q26" s="20"/>
      <c r="R26" s="21"/>
      <c r="S26" s="51"/>
      <c r="T26" s="51" t="b">
        <v>0</v>
      </c>
      <c r="U26" s="51" t="b">
        <v>0</v>
      </c>
      <c r="V26" s="51" t="b">
        <v>0</v>
      </c>
      <c r="W26" s="51" t="b">
        <v>0</v>
      </c>
      <c r="X26" s="103"/>
      <c r="Y26" s="102"/>
      <c r="Z26" s="51"/>
      <c r="AA26" s="51" t="s">
        <v>81</v>
      </c>
      <c r="AB26" s="51" t="s">
        <v>81</v>
      </c>
      <c r="AC26" s="51" t="s">
        <v>81</v>
      </c>
      <c r="AD26" s="51" t="s">
        <v>81</v>
      </c>
      <c r="AE26" s="20"/>
      <c r="AF26" s="21"/>
      <c r="AG26" s="51"/>
      <c r="AH26" s="51" t="s">
        <v>81</v>
      </c>
      <c r="AI26" s="51" t="s">
        <v>81</v>
      </c>
      <c r="AJ26" s="51" t="s">
        <v>81</v>
      </c>
      <c r="AK26" s="51" t="s">
        <v>81</v>
      </c>
      <c r="AL26" s="20"/>
      <c r="AM26" s="21"/>
      <c r="AN26" s="51"/>
      <c r="AO26" s="51" t="b">
        <v>0</v>
      </c>
      <c r="AP26" s="51" t="b">
        <v>0</v>
      </c>
      <c r="AQ26" s="51" t="b">
        <v>0</v>
      </c>
      <c r="AR26" s="51" t="b">
        <v>0</v>
      </c>
      <c r="AS26" s="103"/>
      <c r="AT26" s="102"/>
      <c r="AU26" s="51"/>
      <c r="AV26" s="51" t="s">
        <v>81</v>
      </c>
      <c r="AW26" s="51" t="s">
        <v>81</v>
      </c>
      <c r="AX26" s="51" t="s">
        <v>81</v>
      </c>
      <c r="AY26" s="51" t="s">
        <v>81</v>
      </c>
      <c r="AZ26" s="20"/>
      <c r="BA26" s="21"/>
      <c r="BB26" s="51"/>
      <c r="BC26" s="51" t="s">
        <v>81</v>
      </c>
      <c r="BD26" s="51" t="s">
        <v>82</v>
      </c>
      <c r="BE26" s="51" t="s">
        <v>82</v>
      </c>
      <c r="BF26" s="51" t="s">
        <v>81</v>
      </c>
      <c r="BG26" s="20"/>
      <c r="BH26" s="21"/>
      <c r="BI26" s="51"/>
      <c r="BJ26" s="51" t="b">
        <v>0</v>
      </c>
      <c r="BK26" s="51" t="b">
        <v>0</v>
      </c>
      <c r="BL26" s="51" t="b">
        <v>0</v>
      </c>
      <c r="BM26" s="51" t="b">
        <v>0</v>
      </c>
      <c r="BN26" s="103"/>
      <c r="BO26" s="102"/>
      <c r="BP26" s="51"/>
      <c r="BQ26" s="51" t="b">
        <v>0</v>
      </c>
      <c r="BR26" s="51" t="b">
        <v>0</v>
      </c>
      <c r="BS26" s="51" t="b">
        <v>0</v>
      </c>
      <c r="BT26" s="51" t="b">
        <v>0</v>
      </c>
      <c r="BU26" s="20"/>
      <c r="BV26" s="21"/>
      <c r="BW26" s="51"/>
      <c r="BX26" s="51" t="b">
        <v>0</v>
      </c>
      <c r="BY26" s="51" t="b">
        <v>0</v>
      </c>
      <c r="BZ26" s="51" t="b">
        <v>0</v>
      </c>
      <c r="CA26" s="51" t="b">
        <v>0</v>
      </c>
      <c r="CB26" s="20"/>
      <c r="CC26" s="21"/>
      <c r="CD26" s="51"/>
      <c r="CE26" s="51" t="b">
        <v>0</v>
      </c>
      <c r="CF26" s="51" t="b">
        <v>0</v>
      </c>
      <c r="CG26" s="51" t="b">
        <v>0</v>
      </c>
      <c r="CH26" s="51" t="b">
        <v>0</v>
      </c>
      <c r="CI26" s="103"/>
      <c r="CJ26" s="102"/>
      <c r="CK26" s="51"/>
      <c r="CL26" s="51" t="b">
        <v>0</v>
      </c>
      <c r="CM26" s="51" t="b">
        <v>0</v>
      </c>
      <c r="CN26" s="51" t="b">
        <v>0</v>
      </c>
      <c r="CO26" s="51" t="b">
        <v>0</v>
      </c>
      <c r="CP26" s="20"/>
      <c r="CQ26" s="21"/>
      <c r="CR26" s="51"/>
      <c r="CS26" s="51" t="b">
        <v>0</v>
      </c>
      <c r="CT26" s="51" t="b">
        <v>0</v>
      </c>
      <c r="CU26" s="51" t="b">
        <v>0</v>
      </c>
      <c r="CV26" s="51" t="b">
        <v>0</v>
      </c>
      <c r="CW26" s="20"/>
      <c r="CX26" s="21"/>
      <c r="CY26" s="51"/>
      <c r="CZ26" s="51" t="b">
        <v>0</v>
      </c>
      <c r="DA26" s="51" t="b">
        <v>0</v>
      </c>
      <c r="DB26" s="51" t="b">
        <v>0</v>
      </c>
      <c r="DC26" s="51" t="b">
        <v>0</v>
      </c>
      <c r="DD26" s="103"/>
      <c r="DE26" s="102"/>
      <c r="DF26" s="51"/>
      <c r="DG26" s="51" t="b">
        <v>0</v>
      </c>
      <c r="DH26" s="51" t="b">
        <v>0</v>
      </c>
      <c r="DI26" s="51" t="b">
        <v>0</v>
      </c>
      <c r="DJ26" s="51" t="b">
        <v>0</v>
      </c>
      <c r="DK26" s="20"/>
      <c r="DL26" s="21"/>
      <c r="DM26" s="51"/>
      <c r="DN26" s="51" t="b">
        <v>0</v>
      </c>
      <c r="DO26" s="51" t="b">
        <v>0</v>
      </c>
      <c r="DP26" s="51" t="b">
        <v>0</v>
      </c>
      <c r="DQ26" s="51" t="b">
        <v>0</v>
      </c>
      <c r="DR26" s="20"/>
      <c r="DS26" s="21"/>
      <c r="DT26" s="51"/>
      <c r="DU26" s="51" t="b">
        <v>0</v>
      </c>
      <c r="DV26" s="51" t="b">
        <v>0</v>
      </c>
      <c r="DW26" s="51" t="b">
        <v>0</v>
      </c>
      <c r="DX26" s="51" t="b">
        <v>0</v>
      </c>
      <c r="DY26" s="103"/>
      <c r="DZ26" s="102"/>
      <c r="EA26" s="51"/>
      <c r="EB26" s="51" t="b">
        <v>0</v>
      </c>
      <c r="EC26" s="51" t="b">
        <v>0</v>
      </c>
      <c r="ED26" s="51" t="b">
        <v>0</v>
      </c>
      <c r="EE26" s="51" t="b">
        <v>0</v>
      </c>
      <c r="EF26" s="20"/>
      <c r="EG26" s="21"/>
      <c r="EH26" s="51"/>
      <c r="EI26" s="51" t="b">
        <v>0</v>
      </c>
      <c r="EJ26" s="51" t="b">
        <v>0</v>
      </c>
      <c r="EK26" s="51" t="b">
        <v>0</v>
      </c>
      <c r="EL26" s="51" t="b">
        <v>0</v>
      </c>
      <c r="EM26" s="20"/>
      <c r="EN26" s="21"/>
      <c r="EO26" s="51"/>
      <c r="EP26" s="51" t="b">
        <v>0</v>
      </c>
      <c r="EQ26" s="51" t="b">
        <v>0</v>
      </c>
      <c r="ER26" s="51" t="b">
        <v>0</v>
      </c>
      <c r="ES26" s="51" t="b">
        <v>0</v>
      </c>
      <c r="ET26" s="103"/>
      <c r="EU26" s="102"/>
      <c r="EV26" s="51"/>
      <c r="EW26" s="51" t="b">
        <v>0</v>
      </c>
      <c r="EX26" s="51" t="b">
        <v>0</v>
      </c>
      <c r="EY26" s="51" t="b">
        <v>0</v>
      </c>
      <c r="EZ26" s="51" t="b">
        <v>0</v>
      </c>
      <c r="FA26" s="20"/>
      <c r="FB26" s="21"/>
      <c r="FC26" s="51"/>
      <c r="FD26" s="51" t="b">
        <v>0</v>
      </c>
      <c r="FE26" s="51" t="b">
        <v>0</v>
      </c>
      <c r="FF26" s="51" t="b">
        <v>0</v>
      </c>
      <c r="FG26" s="51" t="b">
        <v>0</v>
      </c>
      <c r="FH26" s="20"/>
      <c r="FI26" s="21"/>
      <c r="FJ26" s="51"/>
      <c r="FK26" s="51" t="b">
        <v>0</v>
      </c>
      <c r="FL26" s="51" t="b">
        <v>0</v>
      </c>
      <c r="FM26" s="51" t="b">
        <v>0</v>
      </c>
      <c r="FN26" s="51" t="b">
        <v>0</v>
      </c>
      <c r="FO26" s="103"/>
      <c r="FP26" s="102"/>
      <c r="FQ26" s="51"/>
      <c r="FR26" s="51" t="b">
        <v>0</v>
      </c>
      <c r="FS26" s="51" t="b">
        <v>0</v>
      </c>
      <c r="FT26" s="51" t="b">
        <v>0</v>
      </c>
      <c r="FU26" s="51" t="b">
        <v>0</v>
      </c>
      <c r="FV26" s="20"/>
      <c r="FW26" s="21"/>
      <c r="FX26" s="51"/>
      <c r="FY26" s="51" t="b">
        <v>0</v>
      </c>
      <c r="FZ26" s="51" t="b">
        <v>0</v>
      </c>
      <c r="GA26" s="51" t="b">
        <v>0</v>
      </c>
      <c r="GB26" s="51" t="b">
        <v>0</v>
      </c>
      <c r="GC26" s="20"/>
      <c r="GD26" s="21"/>
      <c r="GE26" s="51"/>
      <c r="GF26" s="51" t="b">
        <v>0</v>
      </c>
      <c r="GG26" s="51" t="b">
        <v>0</v>
      </c>
      <c r="GH26" s="51" t="b">
        <v>0</v>
      </c>
      <c r="GI26" s="51" t="b">
        <v>0</v>
      </c>
      <c r="GJ26" s="103"/>
      <c r="GK26" s="102"/>
      <c r="GL26" s="51"/>
      <c r="GM26" s="51" t="b">
        <v>0</v>
      </c>
      <c r="GN26" s="51" t="b">
        <v>0</v>
      </c>
      <c r="GO26" s="51" t="b">
        <v>0</v>
      </c>
      <c r="GP26" s="51" t="b">
        <v>0</v>
      </c>
      <c r="GQ26" s="20"/>
      <c r="GR26" s="21"/>
      <c r="GS26" s="51"/>
      <c r="GT26" s="51" t="b">
        <v>0</v>
      </c>
      <c r="GU26" s="51" t="b">
        <v>0</v>
      </c>
      <c r="GV26" s="51" t="b">
        <v>0</v>
      </c>
      <c r="GW26" s="51" t="b">
        <v>0</v>
      </c>
      <c r="GX26" s="20"/>
      <c r="GY26" s="21"/>
      <c r="GZ26" s="51"/>
      <c r="HA26" s="51" t="b">
        <v>0</v>
      </c>
      <c r="HB26" s="51" t="b">
        <v>0</v>
      </c>
      <c r="HC26" s="51" t="b">
        <v>0</v>
      </c>
      <c r="HD26" s="51" t="b">
        <v>0</v>
      </c>
      <c r="HE26" s="103"/>
      <c r="HF26" s="102"/>
      <c r="HG26" s="51"/>
      <c r="HH26" s="51" t="b">
        <v>0</v>
      </c>
      <c r="HI26" s="51" t="b">
        <v>0</v>
      </c>
      <c r="HJ26" s="51" t="b">
        <v>0</v>
      </c>
      <c r="HK26" s="51" t="b">
        <v>0</v>
      </c>
      <c r="HL26" s="20"/>
      <c r="HM26" s="21"/>
      <c r="HN26" s="51"/>
      <c r="HO26" s="51" t="b">
        <v>0</v>
      </c>
      <c r="HP26" s="51" t="b">
        <v>0</v>
      </c>
      <c r="HQ26" s="51" t="b">
        <v>0</v>
      </c>
      <c r="HR26" s="51" t="b">
        <v>0</v>
      </c>
      <c r="HS26" s="20"/>
      <c r="HT26" s="21"/>
      <c r="HU26" s="51"/>
      <c r="HV26" s="51" t="b">
        <v>0</v>
      </c>
      <c r="HW26" s="51" t="b">
        <v>0</v>
      </c>
      <c r="HX26" s="51" t="b">
        <v>0</v>
      </c>
      <c r="HY26" s="51" t="b">
        <v>0</v>
      </c>
      <c r="HZ26" s="103"/>
      <c r="IA26" s="102"/>
      <c r="IB26" s="51"/>
      <c r="IC26" s="51" t="b">
        <v>0</v>
      </c>
      <c r="ID26" s="51" t="b">
        <v>0</v>
      </c>
      <c r="IE26" s="51" t="b">
        <v>0</v>
      </c>
      <c r="IF26" s="51" t="b">
        <v>0</v>
      </c>
      <c r="IG26" s="20"/>
      <c r="IH26" s="21"/>
      <c r="II26" s="51"/>
      <c r="IJ26" s="51" t="b">
        <v>0</v>
      </c>
      <c r="IK26" s="51" t="b">
        <v>0</v>
      </c>
      <c r="IL26" s="51" t="b">
        <v>0</v>
      </c>
      <c r="IM26" s="51" t="b">
        <v>0</v>
      </c>
      <c r="IN26" s="20"/>
      <c r="IO26" s="21"/>
      <c r="IP26" s="51"/>
      <c r="IQ26" s="51" t="b">
        <v>0</v>
      </c>
      <c r="IR26" s="51" t="b">
        <v>0</v>
      </c>
      <c r="IS26" s="51" t="b">
        <v>0</v>
      </c>
      <c r="IT26" s="51" t="b">
        <v>0</v>
      </c>
      <c r="IU26" s="103"/>
      <c r="IV26" s="112"/>
    </row>
    <row r="27" spans="1:256" x14ac:dyDescent="0.2">
      <c r="C27">
        <v>18</v>
      </c>
      <c r="D27" s="102"/>
      <c r="E27" s="51"/>
      <c r="F27" s="51" t="s">
        <v>81</v>
      </c>
      <c r="G27" s="51" t="s">
        <v>81</v>
      </c>
      <c r="H27" s="51" t="s">
        <v>81</v>
      </c>
      <c r="I27" s="51" t="s">
        <v>81</v>
      </c>
      <c r="J27" s="20"/>
      <c r="K27" s="21"/>
      <c r="L27" s="51"/>
      <c r="M27" s="51" t="s">
        <v>81</v>
      </c>
      <c r="N27" s="51" t="s">
        <v>81</v>
      </c>
      <c r="O27" s="51" t="s">
        <v>81</v>
      </c>
      <c r="P27" s="51" t="s">
        <v>81</v>
      </c>
      <c r="Q27" s="20"/>
      <c r="R27" s="21"/>
      <c r="S27" s="51"/>
      <c r="T27" s="51" t="b">
        <v>0</v>
      </c>
      <c r="U27" s="51" t="b">
        <v>0</v>
      </c>
      <c r="V27" s="51" t="b">
        <v>0</v>
      </c>
      <c r="W27" s="51" t="b">
        <v>0</v>
      </c>
      <c r="X27" s="103"/>
      <c r="Y27" s="102"/>
      <c r="Z27" s="51"/>
      <c r="AA27" s="51" t="s">
        <v>81</v>
      </c>
      <c r="AB27" s="51" t="s">
        <v>81</v>
      </c>
      <c r="AC27" s="51" t="s">
        <v>81</v>
      </c>
      <c r="AD27" s="51" t="s">
        <v>81</v>
      </c>
      <c r="AE27" s="20"/>
      <c r="AF27" s="21"/>
      <c r="AG27" s="51"/>
      <c r="AH27" s="51" t="s">
        <v>81</v>
      </c>
      <c r="AI27" s="51" t="s">
        <v>81</v>
      </c>
      <c r="AJ27" s="51" t="s">
        <v>81</v>
      </c>
      <c r="AK27" s="51" t="s">
        <v>81</v>
      </c>
      <c r="AL27" s="20"/>
      <c r="AM27" s="21"/>
      <c r="AN27" s="51"/>
      <c r="AO27" s="51" t="b">
        <v>0</v>
      </c>
      <c r="AP27" s="51" t="b">
        <v>0</v>
      </c>
      <c r="AQ27" s="51" t="b">
        <v>0</v>
      </c>
      <c r="AR27" s="51" t="b">
        <v>0</v>
      </c>
      <c r="AS27" s="103"/>
      <c r="AT27" s="102"/>
      <c r="AU27" s="51"/>
      <c r="AV27" s="51" t="s">
        <v>81</v>
      </c>
      <c r="AW27" s="51" t="s">
        <v>81</v>
      </c>
      <c r="AX27" s="51" t="s">
        <v>81</v>
      </c>
      <c r="AY27" s="51" t="s">
        <v>81</v>
      </c>
      <c r="AZ27" s="20"/>
      <c r="BA27" s="21"/>
      <c r="BB27" s="51"/>
      <c r="BC27" s="51" t="s">
        <v>81</v>
      </c>
      <c r="BD27" s="51" t="s">
        <v>81</v>
      </c>
      <c r="BE27" s="51" t="s">
        <v>81</v>
      </c>
      <c r="BF27" s="51" t="s">
        <v>81</v>
      </c>
      <c r="BG27" s="20"/>
      <c r="BH27" s="21"/>
      <c r="BI27" s="51"/>
      <c r="BJ27" s="51" t="b">
        <v>0</v>
      </c>
      <c r="BK27" s="51" t="b">
        <v>0</v>
      </c>
      <c r="BL27" s="51" t="b">
        <v>0</v>
      </c>
      <c r="BM27" s="51" t="b">
        <v>0</v>
      </c>
      <c r="BN27" s="103"/>
      <c r="BO27" s="102"/>
      <c r="BP27" s="51"/>
      <c r="BQ27" s="51" t="b">
        <v>0</v>
      </c>
      <c r="BR27" s="51" t="b">
        <v>0</v>
      </c>
      <c r="BS27" s="51" t="b">
        <v>0</v>
      </c>
      <c r="BT27" s="51" t="b">
        <v>0</v>
      </c>
      <c r="BU27" s="20"/>
      <c r="BV27" s="21"/>
      <c r="BW27" s="51"/>
      <c r="BX27" s="51" t="b">
        <v>0</v>
      </c>
      <c r="BY27" s="51" t="b">
        <v>0</v>
      </c>
      <c r="BZ27" s="51" t="b">
        <v>0</v>
      </c>
      <c r="CA27" s="51" t="b">
        <v>0</v>
      </c>
      <c r="CB27" s="20"/>
      <c r="CC27" s="21"/>
      <c r="CD27" s="51"/>
      <c r="CE27" s="51" t="b">
        <v>0</v>
      </c>
      <c r="CF27" s="51" t="b">
        <v>0</v>
      </c>
      <c r="CG27" s="51" t="b">
        <v>0</v>
      </c>
      <c r="CH27" s="51" t="b">
        <v>0</v>
      </c>
      <c r="CI27" s="103"/>
      <c r="CJ27" s="102"/>
      <c r="CK27" s="51"/>
      <c r="CL27" s="51" t="b">
        <v>0</v>
      </c>
      <c r="CM27" s="51" t="b">
        <v>0</v>
      </c>
      <c r="CN27" s="51" t="b">
        <v>0</v>
      </c>
      <c r="CO27" s="51" t="b">
        <v>0</v>
      </c>
      <c r="CP27" s="20"/>
      <c r="CQ27" s="21"/>
      <c r="CR27" s="51"/>
      <c r="CS27" s="51" t="b">
        <v>0</v>
      </c>
      <c r="CT27" s="51" t="b">
        <v>0</v>
      </c>
      <c r="CU27" s="51" t="b">
        <v>0</v>
      </c>
      <c r="CV27" s="51" t="b">
        <v>0</v>
      </c>
      <c r="CW27" s="20"/>
      <c r="CX27" s="21"/>
      <c r="CY27" s="51"/>
      <c r="CZ27" s="51" t="b">
        <v>0</v>
      </c>
      <c r="DA27" s="51" t="b">
        <v>0</v>
      </c>
      <c r="DB27" s="51" t="b">
        <v>0</v>
      </c>
      <c r="DC27" s="51" t="b">
        <v>0</v>
      </c>
      <c r="DD27" s="103"/>
      <c r="DE27" s="102"/>
      <c r="DF27" s="51"/>
      <c r="DG27" s="51" t="b">
        <v>0</v>
      </c>
      <c r="DH27" s="51" t="b">
        <v>0</v>
      </c>
      <c r="DI27" s="51" t="b">
        <v>0</v>
      </c>
      <c r="DJ27" s="51" t="b">
        <v>0</v>
      </c>
      <c r="DK27" s="20"/>
      <c r="DL27" s="21"/>
      <c r="DM27" s="51"/>
      <c r="DN27" s="51" t="b">
        <v>0</v>
      </c>
      <c r="DO27" s="51" t="b">
        <v>0</v>
      </c>
      <c r="DP27" s="51" t="b">
        <v>0</v>
      </c>
      <c r="DQ27" s="51" t="b">
        <v>0</v>
      </c>
      <c r="DR27" s="20"/>
      <c r="DS27" s="21"/>
      <c r="DT27" s="51"/>
      <c r="DU27" s="51" t="b">
        <v>0</v>
      </c>
      <c r="DV27" s="51" t="b">
        <v>0</v>
      </c>
      <c r="DW27" s="51" t="b">
        <v>0</v>
      </c>
      <c r="DX27" s="51" t="b">
        <v>0</v>
      </c>
      <c r="DY27" s="103"/>
      <c r="DZ27" s="102"/>
      <c r="EA27" s="51"/>
      <c r="EB27" s="51" t="b">
        <v>0</v>
      </c>
      <c r="EC27" s="51" t="b">
        <v>0</v>
      </c>
      <c r="ED27" s="51" t="b">
        <v>0</v>
      </c>
      <c r="EE27" s="51" t="b">
        <v>0</v>
      </c>
      <c r="EF27" s="20"/>
      <c r="EG27" s="21"/>
      <c r="EH27" s="51"/>
      <c r="EI27" s="51" t="b">
        <v>0</v>
      </c>
      <c r="EJ27" s="51" t="b">
        <v>0</v>
      </c>
      <c r="EK27" s="51" t="b">
        <v>0</v>
      </c>
      <c r="EL27" s="51" t="b">
        <v>0</v>
      </c>
      <c r="EM27" s="20"/>
      <c r="EN27" s="21"/>
      <c r="EO27" s="51"/>
      <c r="EP27" s="51" t="b">
        <v>0</v>
      </c>
      <c r="EQ27" s="51" t="b">
        <v>0</v>
      </c>
      <c r="ER27" s="51" t="b">
        <v>0</v>
      </c>
      <c r="ES27" s="51" t="b">
        <v>0</v>
      </c>
      <c r="ET27" s="103"/>
      <c r="EU27" s="102"/>
      <c r="EV27" s="51"/>
      <c r="EW27" s="51" t="b">
        <v>0</v>
      </c>
      <c r="EX27" s="51" t="b">
        <v>0</v>
      </c>
      <c r="EY27" s="51" t="b">
        <v>0</v>
      </c>
      <c r="EZ27" s="51" t="b">
        <v>0</v>
      </c>
      <c r="FA27" s="20"/>
      <c r="FB27" s="21"/>
      <c r="FC27" s="51"/>
      <c r="FD27" s="51" t="b">
        <v>0</v>
      </c>
      <c r="FE27" s="51" t="b">
        <v>0</v>
      </c>
      <c r="FF27" s="51" t="b">
        <v>0</v>
      </c>
      <c r="FG27" s="51" t="b">
        <v>0</v>
      </c>
      <c r="FH27" s="20"/>
      <c r="FI27" s="21"/>
      <c r="FJ27" s="51"/>
      <c r="FK27" s="51" t="b">
        <v>0</v>
      </c>
      <c r="FL27" s="51" t="b">
        <v>0</v>
      </c>
      <c r="FM27" s="51" t="b">
        <v>0</v>
      </c>
      <c r="FN27" s="51" t="b">
        <v>0</v>
      </c>
      <c r="FO27" s="103"/>
      <c r="FP27" s="102"/>
      <c r="FQ27" s="51"/>
      <c r="FR27" s="51" t="b">
        <v>0</v>
      </c>
      <c r="FS27" s="51" t="b">
        <v>0</v>
      </c>
      <c r="FT27" s="51" t="b">
        <v>0</v>
      </c>
      <c r="FU27" s="51" t="b">
        <v>0</v>
      </c>
      <c r="FV27" s="20"/>
      <c r="FW27" s="21"/>
      <c r="FX27" s="51"/>
      <c r="FY27" s="51" t="b">
        <v>0</v>
      </c>
      <c r="FZ27" s="51" t="b">
        <v>0</v>
      </c>
      <c r="GA27" s="51" t="b">
        <v>0</v>
      </c>
      <c r="GB27" s="51" t="b">
        <v>0</v>
      </c>
      <c r="GC27" s="20"/>
      <c r="GD27" s="21"/>
      <c r="GE27" s="51"/>
      <c r="GF27" s="51" t="b">
        <v>0</v>
      </c>
      <c r="GG27" s="51" t="b">
        <v>0</v>
      </c>
      <c r="GH27" s="51" t="b">
        <v>0</v>
      </c>
      <c r="GI27" s="51" t="b">
        <v>0</v>
      </c>
      <c r="GJ27" s="103"/>
      <c r="GK27" s="102"/>
      <c r="GL27" s="51"/>
      <c r="GM27" s="51" t="b">
        <v>0</v>
      </c>
      <c r="GN27" s="51" t="b">
        <v>0</v>
      </c>
      <c r="GO27" s="51" t="b">
        <v>0</v>
      </c>
      <c r="GP27" s="51" t="b">
        <v>0</v>
      </c>
      <c r="GQ27" s="20"/>
      <c r="GR27" s="21"/>
      <c r="GS27" s="51"/>
      <c r="GT27" s="51" t="b">
        <v>0</v>
      </c>
      <c r="GU27" s="51" t="b">
        <v>0</v>
      </c>
      <c r="GV27" s="51" t="b">
        <v>0</v>
      </c>
      <c r="GW27" s="51" t="b">
        <v>0</v>
      </c>
      <c r="GX27" s="20"/>
      <c r="GY27" s="21"/>
      <c r="GZ27" s="51"/>
      <c r="HA27" s="51" t="b">
        <v>0</v>
      </c>
      <c r="HB27" s="51" t="b">
        <v>0</v>
      </c>
      <c r="HC27" s="51" t="b">
        <v>0</v>
      </c>
      <c r="HD27" s="51" t="b">
        <v>0</v>
      </c>
      <c r="HE27" s="103"/>
      <c r="HF27" s="102"/>
      <c r="HG27" s="51"/>
      <c r="HH27" s="51" t="b">
        <v>0</v>
      </c>
      <c r="HI27" s="51" t="b">
        <v>0</v>
      </c>
      <c r="HJ27" s="51" t="b">
        <v>0</v>
      </c>
      <c r="HK27" s="51" t="b">
        <v>0</v>
      </c>
      <c r="HL27" s="20"/>
      <c r="HM27" s="21"/>
      <c r="HN27" s="51"/>
      <c r="HO27" s="51" t="b">
        <v>0</v>
      </c>
      <c r="HP27" s="51" t="b">
        <v>0</v>
      </c>
      <c r="HQ27" s="51" t="b">
        <v>0</v>
      </c>
      <c r="HR27" s="51" t="b">
        <v>0</v>
      </c>
      <c r="HS27" s="20"/>
      <c r="HT27" s="21"/>
      <c r="HU27" s="51"/>
      <c r="HV27" s="51" t="b">
        <v>0</v>
      </c>
      <c r="HW27" s="51" t="b">
        <v>0</v>
      </c>
      <c r="HX27" s="51" t="b">
        <v>0</v>
      </c>
      <c r="HY27" s="51" t="b">
        <v>0</v>
      </c>
      <c r="HZ27" s="103"/>
      <c r="IA27" s="102"/>
      <c r="IB27" s="51"/>
      <c r="IC27" s="51" t="b">
        <v>0</v>
      </c>
      <c r="ID27" s="51" t="b">
        <v>0</v>
      </c>
      <c r="IE27" s="51" t="b">
        <v>0</v>
      </c>
      <c r="IF27" s="51" t="b">
        <v>0</v>
      </c>
      <c r="IG27" s="20"/>
      <c r="IH27" s="21"/>
      <c r="II27" s="51"/>
      <c r="IJ27" s="51" t="b">
        <v>0</v>
      </c>
      <c r="IK27" s="51" t="b">
        <v>0</v>
      </c>
      <c r="IL27" s="51" t="b">
        <v>0</v>
      </c>
      <c r="IM27" s="51" t="b">
        <v>0</v>
      </c>
      <c r="IN27" s="20"/>
      <c r="IO27" s="21"/>
      <c r="IP27" s="51"/>
      <c r="IQ27" s="51" t="b">
        <v>0</v>
      </c>
      <c r="IR27" s="51" t="b">
        <v>0</v>
      </c>
      <c r="IS27" s="51" t="b">
        <v>0</v>
      </c>
      <c r="IT27" s="51" t="b">
        <v>0</v>
      </c>
      <c r="IU27" s="103"/>
      <c r="IV27" s="112"/>
    </row>
    <row r="28" spans="1:256" x14ac:dyDescent="0.2">
      <c r="C28">
        <v>19</v>
      </c>
      <c r="D28" s="102"/>
      <c r="E28" s="51"/>
      <c r="F28" s="51" t="s">
        <v>81</v>
      </c>
      <c r="G28" s="51" t="s">
        <v>81</v>
      </c>
      <c r="H28" s="51" t="s">
        <v>81</v>
      </c>
      <c r="I28" s="51" t="s">
        <v>81</v>
      </c>
      <c r="J28" s="20"/>
      <c r="K28" s="21"/>
      <c r="L28" s="51"/>
      <c r="M28" s="51" t="s">
        <v>81</v>
      </c>
      <c r="N28" s="51" t="s">
        <v>81</v>
      </c>
      <c r="O28" s="51" t="s">
        <v>81</v>
      </c>
      <c r="P28" s="51" t="s">
        <v>81</v>
      </c>
      <c r="Q28" s="20"/>
      <c r="R28" s="21"/>
      <c r="S28" s="51"/>
      <c r="T28" s="51" t="b">
        <v>0</v>
      </c>
      <c r="U28" s="51" t="b">
        <v>0</v>
      </c>
      <c r="V28" s="51" t="b">
        <v>0</v>
      </c>
      <c r="W28" s="51" t="b">
        <v>0</v>
      </c>
      <c r="X28" s="103"/>
      <c r="Y28" s="102"/>
      <c r="Z28" s="51"/>
      <c r="AA28" s="51" t="s">
        <v>81</v>
      </c>
      <c r="AB28" s="51" t="s">
        <v>81</v>
      </c>
      <c r="AC28" s="51" t="s">
        <v>81</v>
      </c>
      <c r="AD28" s="51" t="s">
        <v>81</v>
      </c>
      <c r="AE28" s="20"/>
      <c r="AF28" s="21"/>
      <c r="AG28" s="51"/>
      <c r="AH28" s="51" t="s">
        <v>81</v>
      </c>
      <c r="AI28" s="51" t="s">
        <v>81</v>
      </c>
      <c r="AJ28" s="51" t="s">
        <v>81</v>
      </c>
      <c r="AK28" s="51" t="s">
        <v>81</v>
      </c>
      <c r="AL28" s="20"/>
      <c r="AM28" s="21"/>
      <c r="AN28" s="51"/>
      <c r="AO28" s="51" t="b">
        <v>0</v>
      </c>
      <c r="AP28" s="51" t="b">
        <v>0</v>
      </c>
      <c r="AQ28" s="51" t="b">
        <v>0</v>
      </c>
      <c r="AR28" s="51" t="b">
        <v>0</v>
      </c>
      <c r="AS28" s="103"/>
      <c r="AT28" s="102"/>
      <c r="AU28" s="51"/>
      <c r="AV28" s="51" t="s">
        <v>81</v>
      </c>
      <c r="AW28" s="51" t="s">
        <v>81</v>
      </c>
      <c r="AX28" s="51" t="s">
        <v>81</v>
      </c>
      <c r="AY28" s="51" t="s">
        <v>81</v>
      </c>
      <c r="AZ28" s="20"/>
      <c r="BA28" s="21"/>
      <c r="BB28" s="51"/>
      <c r="BC28" s="51" t="s">
        <v>81</v>
      </c>
      <c r="BD28" s="51" t="s">
        <v>81</v>
      </c>
      <c r="BE28" s="51" t="s">
        <v>81</v>
      </c>
      <c r="BF28" s="51" t="s">
        <v>81</v>
      </c>
      <c r="BG28" s="20"/>
      <c r="BH28" s="21"/>
      <c r="BI28" s="51"/>
      <c r="BJ28" s="51" t="b">
        <v>0</v>
      </c>
      <c r="BK28" s="51" t="b">
        <v>0</v>
      </c>
      <c r="BL28" s="51" t="b">
        <v>0</v>
      </c>
      <c r="BM28" s="51" t="b">
        <v>0</v>
      </c>
      <c r="BN28" s="103"/>
      <c r="BO28" s="102"/>
      <c r="BP28" s="51"/>
      <c r="BQ28" s="51" t="b">
        <v>0</v>
      </c>
      <c r="BR28" s="51" t="b">
        <v>0</v>
      </c>
      <c r="BS28" s="51" t="b">
        <v>0</v>
      </c>
      <c r="BT28" s="51" t="b">
        <v>0</v>
      </c>
      <c r="BU28" s="20"/>
      <c r="BV28" s="21"/>
      <c r="BW28" s="51"/>
      <c r="BX28" s="51" t="b">
        <v>0</v>
      </c>
      <c r="BY28" s="51" t="b">
        <v>0</v>
      </c>
      <c r="BZ28" s="51" t="b">
        <v>0</v>
      </c>
      <c r="CA28" s="51" t="b">
        <v>0</v>
      </c>
      <c r="CB28" s="20"/>
      <c r="CC28" s="21"/>
      <c r="CD28" s="51"/>
      <c r="CE28" s="51" t="b">
        <v>0</v>
      </c>
      <c r="CF28" s="51" t="b">
        <v>0</v>
      </c>
      <c r="CG28" s="51" t="b">
        <v>0</v>
      </c>
      <c r="CH28" s="51" t="b">
        <v>0</v>
      </c>
      <c r="CI28" s="103"/>
      <c r="CJ28" s="102"/>
      <c r="CK28" s="51"/>
      <c r="CL28" s="51" t="b">
        <v>0</v>
      </c>
      <c r="CM28" s="51" t="b">
        <v>0</v>
      </c>
      <c r="CN28" s="51" t="b">
        <v>0</v>
      </c>
      <c r="CO28" s="51" t="b">
        <v>0</v>
      </c>
      <c r="CP28" s="20"/>
      <c r="CQ28" s="21"/>
      <c r="CR28" s="51"/>
      <c r="CS28" s="51" t="b">
        <v>0</v>
      </c>
      <c r="CT28" s="51" t="b">
        <v>0</v>
      </c>
      <c r="CU28" s="51" t="b">
        <v>0</v>
      </c>
      <c r="CV28" s="51" t="b">
        <v>0</v>
      </c>
      <c r="CW28" s="20"/>
      <c r="CX28" s="21"/>
      <c r="CY28" s="51"/>
      <c r="CZ28" s="51" t="b">
        <v>0</v>
      </c>
      <c r="DA28" s="51" t="b">
        <v>0</v>
      </c>
      <c r="DB28" s="51" t="b">
        <v>0</v>
      </c>
      <c r="DC28" s="51" t="b">
        <v>0</v>
      </c>
      <c r="DD28" s="103"/>
      <c r="DE28" s="102"/>
      <c r="DF28" s="51"/>
      <c r="DG28" s="51" t="b">
        <v>0</v>
      </c>
      <c r="DH28" s="51" t="b">
        <v>0</v>
      </c>
      <c r="DI28" s="51" t="b">
        <v>0</v>
      </c>
      <c r="DJ28" s="51" t="b">
        <v>0</v>
      </c>
      <c r="DK28" s="20"/>
      <c r="DL28" s="21"/>
      <c r="DM28" s="51"/>
      <c r="DN28" s="51" t="b">
        <v>0</v>
      </c>
      <c r="DO28" s="51" t="b">
        <v>0</v>
      </c>
      <c r="DP28" s="51" t="b">
        <v>0</v>
      </c>
      <c r="DQ28" s="51" t="b">
        <v>0</v>
      </c>
      <c r="DR28" s="20"/>
      <c r="DS28" s="21"/>
      <c r="DT28" s="51"/>
      <c r="DU28" s="51" t="b">
        <v>0</v>
      </c>
      <c r="DV28" s="51" t="b">
        <v>0</v>
      </c>
      <c r="DW28" s="51" t="b">
        <v>0</v>
      </c>
      <c r="DX28" s="51" t="b">
        <v>0</v>
      </c>
      <c r="DY28" s="103"/>
      <c r="DZ28" s="102"/>
      <c r="EA28" s="51"/>
      <c r="EB28" s="51" t="b">
        <v>0</v>
      </c>
      <c r="EC28" s="51" t="b">
        <v>0</v>
      </c>
      <c r="ED28" s="51" t="b">
        <v>0</v>
      </c>
      <c r="EE28" s="51" t="b">
        <v>0</v>
      </c>
      <c r="EF28" s="20"/>
      <c r="EG28" s="21"/>
      <c r="EH28" s="51"/>
      <c r="EI28" s="51" t="b">
        <v>0</v>
      </c>
      <c r="EJ28" s="51" t="b">
        <v>0</v>
      </c>
      <c r="EK28" s="51" t="b">
        <v>0</v>
      </c>
      <c r="EL28" s="51" t="b">
        <v>0</v>
      </c>
      <c r="EM28" s="20"/>
      <c r="EN28" s="21"/>
      <c r="EO28" s="51"/>
      <c r="EP28" s="51" t="b">
        <v>0</v>
      </c>
      <c r="EQ28" s="51" t="b">
        <v>0</v>
      </c>
      <c r="ER28" s="51" t="b">
        <v>0</v>
      </c>
      <c r="ES28" s="51" t="b">
        <v>0</v>
      </c>
      <c r="ET28" s="103"/>
      <c r="EU28" s="102"/>
      <c r="EV28" s="51"/>
      <c r="EW28" s="51" t="b">
        <v>0</v>
      </c>
      <c r="EX28" s="51" t="b">
        <v>0</v>
      </c>
      <c r="EY28" s="51" t="b">
        <v>0</v>
      </c>
      <c r="EZ28" s="51" t="b">
        <v>0</v>
      </c>
      <c r="FA28" s="20"/>
      <c r="FB28" s="21"/>
      <c r="FC28" s="51"/>
      <c r="FD28" s="51" t="b">
        <v>0</v>
      </c>
      <c r="FE28" s="51" t="b">
        <v>0</v>
      </c>
      <c r="FF28" s="51" t="b">
        <v>0</v>
      </c>
      <c r="FG28" s="51" t="b">
        <v>0</v>
      </c>
      <c r="FH28" s="20"/>
      <c r="FI28" s="21"/>
      <c r="FJ28" s="51"/>
      <c r="FK28" s="51" t="b">
        <v>0</v>
      </c>
      <c r="FL28" s="51" t="b">
        <v>0</v>
      </c>
      <c r="FM28" s="51" t="b">
        <v>0</v>
      </c>
      <c r="FN28" s="51" t="b">
        <v>0</v>
      </c>
      <c r="FO28" s="103"/>
      <c r="FP28" s="102"/>
      <c r="FQ28" s="51"/>
      <c r="FR28" s="51" t="b">
        <v>0</v>
      </c>
      <c r="FS28" s="51" t="b">
        <v>0</v>
      </c>
      <c r="FT28" s="51" t="b">
        <v>0</v>
      </c>
      <c r="FU28" s="51" t="b">
        <v>0</v>
      </c>
      <c r="FV28" s="20"/>
      <c r="FW28" s="21"/>
      <c r="FX28" s="51"/>
      <c r="FY28" s="51" t="b">
        <v>0</v>
      </c>
      <c r="FZ28" s="51" t="b">
        <v>0</v>
      </c>
      <c r="GA28" s="51" t="b">
        <v>0</v>
      </c>
      <c r="GB28" s="51" t="b">
        <v>0</v>
      </c>
      <c r="GC28" s="20"/>
      <c r="GD28" s="21"/>
      <c r="GE28" s="51"/>
      <c r="GF28" s="51" t="b">
        <v>0</v>
      </c>
      <c r="GG28" s="51" t="b">
        <v>0</v>
      </c>
      <c r="GH28" s="51" t="b">
        <v>0</v>
      </c>
      <c r="GI28" s="51" t="b">
        <v>0</v>
      </c>
      <c r="GJ28" s="103"/>
      <c r="GK28" s="102"/>
      <c r="GL28" s="51"/>
      <c r="GM28" s="51" t="b">
        <v>0</v>
      </c>
      <c r="GN28" s="51" t="b">
        <v>0</v>
      </c>
      <c r="GO28" s="51" t="b">
        <v>0</v>
      </c>
      <c r="GP28" s="51" t="b">
        <v>0</v>
      </c>
      <c r="GQ28" s="20"/>
      <c r="GR28" s="21"/>
      <c r="GS28" s="51"/>
      <c r="GT28" s="51" t="b">
        <v>0</v>
      </c>
      <c r="GU28" s="51" t="b">
        <v>0</v>
      </c>
      <c r="GV28" s="51" t="b">
        <v>0</v>
      </c>
      <c r="GW28" s="51" t="b">
        <v>0</v>
      </c>
      <c r="GX28" s="20"/>
      <c r="GY28" s="21"/>
      <c r="GZ28" s="51"/>
      <c r="HA28" s="51" t="b">
        <v>0</v>
      </c>
      <c r="HB28" s="51" t="b">
        <v>0</v>
      </c>
      <c r="HC28" s="51" t="b">
        <v>0</v>
      </c>
      <c r="HD28" s="51" t="b">
        <v>0</v>
      </c>
      <c r="HE28" s="103"/>
      <c r="HF28" s="102"/>
      <c r="HG28" s="51"/>
      <c r="HH28" s="51" t="b">
        <v>0</v>
      </c>
      <c r="HI28" s="51" t="b">
        <v>0</v>
      </c>
      <c r="HJ28" s="51" t="b">
        <v>0</v>
      </c>
      <c r="HK28" s="51" t="b">
        <v>0</v>
      </c>
      <c r="HL28" s="20"/>
      <c r="HM28" s="21"/>
      <c r="HN28" s="51"/>
      <c r="HO28" s="51" t="b">
        <v>0</v>
      </c>
      <c r="HP28" s="51" t="b">
        <v>0</v>
      </c>
      <c r="HQ28" s="51" t="b">
        <v>0</v>
      </c>
      <c r="HR28" s="51" t="b">
        <v>0</v>
      </c>
      <c r="HS28" s="20"/>
      <c r="HT28" s="21"/>
      <c r="HU28" s="51"/>
      <c r="HV28" s="51" t="b">
        <v>0</v>
      </c>
      <c r="HW28" s="51" t="b">
        <v>0</v>
      </c>
      <c r="HX28" s="51" t="b">
        <v>0</v>
      </c>
      <c r="HY28" s="51" t="b">
        <v>0</v>
      </c>
      <c r="HZ28" s="103"/>
      <c r="IA28" s="102"/>
      <c r="IB28" s="51"/>
      <c r="IC28" s="51" t="b">
        <v>0</v>
      </c>
      <c r="ID28" s="51" t="b">
        <v>0</v>
      </c>
      <c r="IE28" s="51" t="b">
        <v>0</v>
      </c>
      <c r="IF28" s="51" t="b">
        <v>0</v>
      </c>
      <c r="IG28" s="20"/>
      <c r="IH28" s="21"/>
      <c r="II28" s="51"/>
      <c r="IJ28" s="51" t="b">
        <v>0</v>
      </c>
      <c r="IK28" s="51" t="b">
        <v>0</v>
      </c>
      <c r="IL28" s="51" t="b">
        <v>0</v>
      </c>
      <c r="IM28" s="51" t="b">
        <v>0</v>
      </c>
      <c r="IN28" s="20"/>
      <c r="IO28" s="21"/>
      <c r="IP28" s="51"/>
      <c r="IQ28" s="51" t="b">
        <v>0</v>
      </c>
      <c r="IR28" s="51" t="b">
        <v>0</v>
      </c>
      <c r="IS28" s="51" t="b">
        <v>0</v>
      </c>
      <c r="IT28" s="51" t="b">
        <v>0</v>
      </c>
      <c r="IU28" s="103"/>
      <c r="IV28" s="112"/>
    </row>
    <row r="29" spans="1:256" x14ac:dyDescent="0.2">
      <c r="C29">
        <v>20</v>
      </c>
      <c r="D29" s="102"/>
      <c r="E29" s="51"/>
      <c r="F29" s="51" t="s">
        <v>81</v>
      </c>
      <c r="G29" s="51" t="s">
        <v>81</v>
      </c>
      <c r="H29" s="51" t="s">
        <v>81</v>
      </c>
      <c r="I29" s="51" t="s">
        <v>81</v>
      </c>
      <c r="J29" s="20"/>
      <c r="K29" s="21"/>
      <c r="L29" s="51"/>
      <c r="M29" s="51" t="s">
        <v>81</v>
      </c>
      <c r="N29" s="51" t="s">
        <v>81</v>
      </c>
      <c r="O29" s="51" t="s">
        <v>81</v>
      </c>
      <c r="P29" s="51" t="s">
        <v>81</v>
      </c>
      <c r="Q29" s="20"/>
      <c r="R29" s="21"/>
      <c r="S29" s="51"/>
      <c r="T29" s="51" t="b">
        <v>0</v>
      </c>
      <c r="U29" s="51" t="b">
        <v>0</v>
      </c>
      <c r="V29" s="51" t="b">
        <v>0</v>
      </c>
      <c r="W29" s="51" t="b">
        <v>0</v>
      </c>
      <c r="X29" s="103"/>
      <c r="Y29" s="102"/>
      <c r="Z29" s="51"/>
      <c r="AA29" s="51" t="s">
        <v>81</v>
      </c>
      <c r="AB29" s="51" t="s">
        <v>81</v>
      </c>
      <c r="AC29" s="51" t="s">
        <v>81</v>
      </c>
      <c r="AD29" s="51" t="s">
        <v>81</v>
      </c>
      <c r="AE29" s="20"/>
      <c r="AF29" s="21"/>
      <c r="AG29" s="51"/>
      <c r="AH29" s="51" t="s">
        <v>81</v>
      </c>
      <c r="AI29" s="51" t="s">
        <v>81</v>
      </c>
      <c r="AJ29" s="51" t="s">
        <v>81</v>
      </c>
      <c r="AK29" s="51" t="s">
        <v>81</v>
      </c>
      <c r="AL29" s="20"/>
      <c r="AM29" s="21"/>
      <c r="AN29" s="51"/>
      <c r="AO29" s="51" t="b">
        <v>0</v>
      </c>
      <c r="AP29" s="51" t="b">
        <v>0</v>
      </c>
      <c r="AQ29" s="51" t="b">
        <v>0</v>
      </c>
      <c r="AR29" s="51" t="b">
        <v>0</v>
      </c>
      <c r="AS29" s="103"/>
      <c r="AT29" s="102"/>
      <c r="AU29" s="51"/>
      <c r="AV29" s="51" t="s">
        <v>81</v>
      </c>
      <c r="AW29" s="51" t="s">
        <v>82</v>
      </c>
      <c r="AX29" s="51" t="s">
        <v>82</v>
      </c>
      <c r="AY29" s="51" t="s">
        <v>81</v>
      </c>
      <c r="AZ29" s="20"/>
      <c r="BA29" s="21"/>
      <c r="BB29" s="51"/>
      <c r="BC29" s="51" t="s">
        <v>81</v>
      </c>
      <c r="BD29" s="51" t="s">
        <v>81</v>
      </c>
      <c r="BE29" s="51" t="s">
        <v>81</v>
      </c>
      <c r="BF29" s="51" t="s">
        <v>81</v>
      </c>
      <c r="BG29" s="20"/>
      <c r="BH29" s="21"/>
      <c r="BI29" s="51"/>
      <c r="BJ29" s="51" t="b">
        <v>0</v>
      </c>
      <c r="BK29" s="51" t="b">
        <v>0</v>
      </c>
      <c r="BL29" s="51" t="b">
        <v>0</v>
      </c>
      <c r="BM29" s="51" t="b">
        <v>0</v>
      </c>
      <c r="BN29" s="103"/>
      <c r="BO29" s="102"/>
      <c r="BP29" s="51"/>
      <c r="BQ29" s="51" t="b">
        <v>0</v>
      </c>
      <c r="BR29" s="51" t="b">
        <v>0</v>
      </c>
      <c r="BS29" s="51" t="b">
        <v>0</v>
      </c>
      <c r="BT29" s="51" t="b">
        <v>0</v>
      </c>
      <c r="BU29" s="20"/>
      <c r="BV29" s="21"/>
      <c r="BW29" s="51"/>
      <c r="BX29" s="51" t="b">
        <v>0</v>
      </c>
      <c r="BY29" s="51" t="b">
        <v>0</v>
      </c>
      <c r="BZ29" s="51" t="b">
        <v>0</v>
      </c>
      <c r="CA29" s="51" t="b">
        <v>0</v>
      </c>
      <c r="CB29" s="20"/>
      <c r="CC29" s="21"/>
      <c r="CD29" s="51"/>
      <c r="CE29" s="51" t="b">
        <v>0</v>
      </c>
      <c r="CF29" s="51" t="b">
        <v>0</v>
      </c>
      <c r="CG29" s="51" t="b">
        <v>0</v>
      </c>
      <c r="CH29" s="51" t="b">
        <v>0</v>
      </c>
      <c r="CI29" s="103"/>
      <c r="CJ29" s="102"/>
      <c r="CK29" s="51"/>
      <c r="CL29" s="51" t="b">
        <v>0</v>
      </c>
      <c r="CM29" s="51" t="b">
        <v>0</v>
      </c>
      <c r="CN29" s="51" t="b">
        <v>0</v>
      </c>
      <c r="CO29" s="51" t="b">
        <v>0</v>
      </c>
      <c r="CP29" s="20"/>
      <c r="CQ29" s="21"/>
      <c r="CR29" s="51"/>
      <c r="CS29" s="51" t="b">
        <v>0</v>
      </c>
      <c r="CT29" s="51" t="b">
        <v>0</v>
      </c>
      <c r="CU29" s="51" t="b">
        <v>0</v>
      </c>
      <c r="CV29" s="51" t="b">
        <v>0</v>
      </c>
      <c r="CW29" s="20"/>
      <c r="CX29" s="21"/>
      <c r="CY29" s="51"/>
      <c r="CZ29" s="51" t="b">
        <v>0</v>
      </c>
      <c r="DA29" s="51" t="b">
        <v>0</v>
      </c>
      <c r="DB29" s="51" t="b">
        <v>0</v>
      </c>
      <c r="DC29" s="51" t="b">
        <v>0</v>
      </c>
      <c r="DD29" s="103"/>
      <c r="DE29" s="102"/>
      <c r="DF29" s="51"/>
      <c r="DG29" s="51" t="b">
        <v>0</v>
      </c>
      <c r="DH29" s="51" t="b">
        <v>0</v>
      </c>
      <c r="DI29" s="51" t="b">
        <v>0</v>
      </c>
      <c r="DJ29" s="51" t="b">
        <v>0</v>
      </c>
      <c r="DK29" s="20"/>
      <c r="DL29" s="21"/>
      <c r="DM29" s="51"/>
      <c r="DN29" s="51" t="b">
        <v>0</v>
      </c>
      <c r="DO29" s="51" t="b">
        <v>0</v>
      </c>
      <c r="DP29" s="51" t="b">
        <v>0</v>
      </c>
      <c r="DQ29" s="51" t="b">
        <v>0</v>
      </c>
      <c r="DR29" s="20"/>
      <c r="DS29" s="21"/>
      <c r="DT29" s="51"/>
      <c r="DU29" s="51" t="b">
        <v>0</v>
      </c>
      <c r="DV29" s="51" t="b">
        <v>0</v>
      </c>
      <c r="DW29" s="51" t="b">
        <v>0</v>
      </c>
      <c r="DX29" s="51" t="b">
        <v>0</v>
      </c>
      <c r="DY29" s="103"/>
      <c r="DZ29" s="102"/>
      <c r="EA29" s="51"/>
      <c r="EB29" s="51" t="b">
        <v>0</v>
      </c>
      <c r="EC29" s="51" t="b">
        <v>0</v>
      </c>
      <c r="ED29" s="51" t="b">
        <v>0</v>
      </c>
      <c r="EE29" s="51" t="b">
        <v>0</v>
      </c>
      <c r="EF29" s="20"/>
      <c r="EG29" s="21"/>
      <c r="EH29" s="51"/>
      <c r="EI29" s="51" t="b">
        <v>0</v>
      </c>
      <c r="EJ29" s="51" t="b">
        <v>0</v>
      </c>
      <c r="EK29" s="51" t="b">
        <v>0</v>
      </c>
      <c r="EL29" s="51" t="b">
        <v>0</v>
      </c>
      <c r="EM29" s="20"/>
      <c r="EN29" s="21"/>
      <c r="EO29" s="51"/>
      <c r="EP29" s="51" t="b">
        <v>0</v>
      </c>
      <c r="EQ29" s="51" t="b">
        <v>0</v>
      </c>
      <c r="ER29" s="51" t="b">
        <v>0</v>
      </c>
      <c r="ES29" s="51" t="b">
        <v>0</v>
      </c>
      <c r="ET29" s="103"/>
      <c r="EU29" s="102"/>
      <c r="EV29" s="51"/>
      <c r="EW29" s="51" t="b">
        <v>0</v>
      </c>
      <c r="EX29" s="51" t="b">
        <v>0</v>
      </c>
      <c r="EY29" s="51" t="b">
        <v>0</v>
      </c>
      <c r="EZ29" s="51" t="b">
        <v>0</v>
      </c>
      <c r="FA29" s="20"/>
      <c r="FB29" s="21"/>
      <c r="FC29" s="51"/>
      <c r="FD29" s="51" t="b">
        <v>0</v>
      </c>
      <c r="FE29" s="51" t="b">
        <v>0</v>
      </c>
      <c r="FF29" s="51" t="b">
        <v>0</v>
      </c>
      <c r="FG29" s="51" t="b">
        <v>0</v>
      </c>
      <c r="FH29" s="20"/>
      <c r="FI29" s="21"/>
      <c r="FJ29" s="51"/>
      <c r="FK29" s="51" t="b">
        <v>0</v>
      </c>
      <c r="FL29" s="51" t="b">
        <v>0</v>
      </c>
      <c r="FM29" s="51" t="b">
        <v>0</v>
      </c>
      <c r="FN29" s="51" t="b">
        <v>0</v>
      </c>
      <c r="FO29" s="103"/>
      <c r="FP29" s="102"/>
      <c r="FQ29" s="51"/>
      <c r="FR29" s="51" t="b">
        <v>0</v>
      </c>
      <c r="FS29" s="51" t="b">
        <v>0</v>
      </c>
      <c r="FT29" s="51" t="b">
        <v>0</v>
      </c>
      <c r="FU29" s="51" t="b">
        <v>0</v>
      </c>
      <c r="FV29" s="20"/>
      <c r="FW29" s="21"/>
      <c r="FX29" s="51"/>
      <c r="FY29" s="51" t="b">
        <v>0</v>
      </c>
      <c r="FZ29" s="51" t="b">
        <v>0</v>
      </c>
      <c r="GA29" s="51" t="b">
        <v>0</v>
      </c>
      <c r="GB29" s="51" t="b">
        <v>0</v>
      </c>
      <c r="GC29" s="20"/>
      <c r="GD29" s="21"/>
      <c r="GE29" s="51"/>
      <c r="GF29" s="51" t="b">
        <v>0</v>
      </c>
      <c r="GG29" s="51" t="b">
        <v>0</v>
      </c>
      <c r="GH29" s="51" t="b">
        <v>0</v>
      </c>
      <c r="GI29" s="51" t="b">
        <v>0</v>
      </c>
      <c r="GJ29" s="103"/>
      <c r="GK29" s="102"/>
      <c r="GL29" s="51"/>
      <c r="GM29" s="51" t="b">
        <v>0</v>
      </c>
      <c r="GN29" s="51" t="b">
        <v>0</v>
      </c>
      <c r="GO29" s="51" t="b">
        <v>0</v>
      </c>
      <c r="GP29" s="51" t="b">
        <v>0</v>
      </c>
      <c r="GQ29" s="20"/>
      <c r="GR29" s="21"/>
      <c r="GS29" s="51"/>
      <c r="GT29" s="51" t="b">
        <v>0</v>
      </c>
      <c r="GU29" s="51" t="b">
        <v>0</v>
      </c>
      <c r="GV29" s="51" t="b">
        <v>0</v>
      </c>
      <c r="GW29" s="51" t="b">
        <v>0</v>
      </c>
      <c r="GX29" s="20"/>
      <c r="GY29" s="21"/>
      <c r="GZ29" s="51"/>
      <c r="HA29" s="51" t="b">
        <v>0</v>
      </c>
      <c r="HB29" s="51" t="b">
        <v>0</v>
      </c>
      <c r="HC29" s="51" t="b">
        <v>0</v>
      </c>
      <c r="HD29" s="51" t="b">
        <v>0</v>
      </c>
      <c r="HE29" s="103"/>
      <c r="HF29" s="102"/>
      <c r="HG29" s="51"/>
      <c r="HH29" s="51" t="b">
        <v>0</v>
      </c>
      <c r="HI29" s="51" t="b">
        <v>0</v>
      </c>
      <c r="HJ29" s="51" t="b">
        <v>0</v>
      </c>
      <c r="HK29" s="51" t="b">
        <v>0</v>
      </c>
      <c r="HL29" s="20"/>
      <c r="HM29" s="21"/>
      <c r="HN29" s="51"/>
      <c r="HO29" s="51" t="b">
        <v>0</v>
      </c>
      <c r="HP29" s="51" t="b">
        <v>0</v>
      </c>
      <c r="HQ29" s="51" t="b">
        <v>0</v>
      </c>
      <c r="HR29" s="51" t="b">
        <v>0</v>
      </c>
      <c r="HS29" s="20"/>
      <c r="HT29" s="21"/>
      <c r="HU29" s="51"/>
      <c r="HV29" s="51" t="b">
        <v>0</v>
      </c>
      <c r="HW29" s="51" t="b">
        <v>0</v>
      </c>
      <c r="HX29" s="51" t="b">
        <v>0</v>
      </c>
      <c r="HY29" s="51" t="b">
        <v>0</v>
      </c>
      <c r="HZ29" s="103"/>
      <c r="IA29" s="102"/>
      <c r="IB29" s="51"/>
      <c r="IC29" s="51" t="b">
        <v>0</v>
      </c>
      <c r="ID29" s="51" t="b">
        <v>0</v>
      </c>
      <c r="IE29" s="51" t="b">
        <v>0</v>
      </c>
      <c r="IF29" s="51" t="b">
        <v>0</v>
      </c>
      <c r="IG29" s="20"/>
      <c r="IH29" s="21"/>
      <c r="II29" s="51"/>
      <c r="IJ29" s="51" t="b">
        <v>0</v>
      </c>
      <c r="IK29" s="51" t="b">
        <v>0</v>
      </c>
      <c r="IL29" s="51" t="b">
        <v>0</v>
      </c>
      <c r="IM29" s="51" t="b">
        <v>0</v>
      </c>
      <c r="IN29" s="20"/>
      <c r="IO29" s="21"/>
      <c r="IP29" s="51"/>
      <c r="IQ29" s="51" t="b">
        <v>0</v>
      </c>
      <c r="IR29" s="51" t="b">
        <v>0</v>
      </c>
      <c r="IS29" s="51" t="b">
        <v>0</v>
      </c>
      <c r="IT29" s="51" t="b">
        <v>0</v>
      </c>
      <c r="IU29" s="103"/>
      <c r="IV29" s="112"/>
    </row>
    <row r="30" spans="1:256" x14ac:dyDescent="0.2">
      <c r="C30">
        <v>21</v>
      </c>
      <c r="D30" s="102"/>
      <c r="E30" s="51"/>
      <c r="F30" s="51" t="s">
        <v>81</v>
      </c>
      <c r="G30" s="51" t="s">
        <v>81</v>
      </c>
      <c r="H30" s="51" t="s">
        <v>81</v>
      </c>
      <c r="I30" s="51" t="s">
        <v>81</v>
      </c>
      <c r="J30" s="20"/>
      <c r="K30" s="21"/>
      <c r="L30" s="51"/>
      <c r="M30" s="51" t="s">
        <v>81</v>
      </c>
      <c r="N30" s="51" t="s">
        <v>81</v>
      </c>
      <c r="O30" s="51" t="s">
        <v>81</v>
      </c>
      <c r="P30" s="51" t="s">
        <v>81</v>
      </c>
      <c r="Q30" s="20"/>
      <c r="R30" s="21"/>
      <c r="S30" s="51"/>
      <c r="T30" s="51" t="b">
        <v>0</v>
      </c>
      <c r="U30" s="51" t="b">
        <v>0</v>
      </c>
      <c r="V30" s="51" t="b">
        <v>0</v>
      </c>
      <c r="W30" s="51" t="b">
        <v>0</v>
      </c>
      <c r="X30" s="103"/>
      <c r="Y30" s="102"/>
      <c r="Z30" s="51"/>
      <c r="AA30" s="51" t="s">
        <v>81</v>
      </c>
      <c r="AB30" s="51" t="s">
        <v>81</v>
      </c>
      <c r="AC30" s="51" t="s">
        <v>81</v>
      </c>
      <c r="AD30" s="51" t="s">
        <v>81</v>
      </c>
      <c r="AE30" s="20"/>
      <c r="AF30" s="21"/>
      <c r="AG30" s="51"/>
      <c r="AH30" s="51" t="s">
        <v>81</v>
      </c>
      <c r="AI30" s="51" t="s">
        <v>81</v>
      </c>
      <c r="AJ30" s="51" t="s">
        <v>81</v>
      </c>
      <c r="AK30" s="51" t="s">
        <v>81</v>
      </c>
      <c r="AL30" s="20"/>
      <c r="AM30" s="21"/>
      <c r="AN30" s="51"/>
      <c r="AO30" s="51" t="b">
        <v>0</v>
      </c>
      <c r="AP30" s="51" t="b">
        <v>0</v>
      </c>
      <c r="AQ30" s="51" t="b">
        <v>0</v>
      </c>
      <c r="AR30" s="51" t="b">
        <v>0</v>
      </c>
      <c r="AS30" s="103"/>
      <c r="AT30" s="102"/>
      <c r="AU30" s="51"/>
      <c r="AV30" s="51" t="s">
        <v>81</v>
      </c>
      <c r="AW30" s="51" t="s">
        <v>81</v>
      </c>
      <c r="AX30" s="51" t="s">
        <v>81</v>
      </c>
      <c r="AY30" s="51" t="s">
        <v>81</v>
      </c>
      <c r="AZ30" s="20"/>
      <c r="BA30" s="21"/>
      <c r="BB30" s="51"/>
      <c r="BC30" s="51" t="s">
        <v>81</v>
      </c>
      <c r="BD30" s="51" t="s">
        <v>81</v>
      </c>
      <c r="BE30" s="51" t="s">
        <v>81</v>
      </c>
      <c r="BF30" s="51" t="s">
        <v>81</v>
      </c>
      <c r="BG30" s="20"/>
      <c r="BH30" s="21"/>
      <c r="BI30" s="51"/>
      <c r="BJ30" s="51" t="b">
        <v>0</v>
      </c>
      <c r="BK30" s="51" t="b">
        <v>0</v>
      </c>
      <c r="BL30" s="51" t="b">
        <v>0</v>
      </c>
      <c r="BM30" s="51" t="b">
        <v>0</v>
      </c>
      <c r="BN30" s="103"/>
      <c r="BO30" s="102"/>
      <c r="BP30" s="51"/>
      <c r="BQ30" s="51" t="b">
        <v>0</v>
      </c>
      <c r="BR30" s="51" t="b">
        <v>0</v>
      </c>
      <c r="BS30" s="51" t="b">
        <v>0</v>
      </c>
      <c r="BT30" s="51" t="b">
        <v>0</v>
      </c>
      <c r="BU30" s="20"/>
      <c r="BV30" s="21"/>
      <c r="BW30" s="51"/>
      <c r="BX30" s="51" t="b">
        <v>0</v>
      </c>
      <c r="BY30" s="51" t="b">
        <v>0</v>
      </c>
      <c r="BZ30" s="51" t="b">
        <v>0</v>
      </c>
      <c r="CA30" s="51" t="b">
        <v>0</v>
      </c>
      <c r="CB30" s="20"/>
      <c r="CC30" s="21"/>
      <c r="CD30" s="51"/>
      <c r="CE30" s="51" t="b">
        <v>0</v>
      </c>
      <c r="CF30" s="51" t="b">
        <v>0</v>
      </c>
      <c r="CG30" s="51" t="b">
        <v>0</v>
      </c>
      <c r="CH30" s="51" t="b">
        <v>0</v>
      </c>
      <c r="CI30" s="103"/>
      <c r="CJ30" s="102"/>
      <c r="CK30" s="51"/>
      <c r="CL30" s="51" t="b">
        <v>0</v>
      </c>
      <c r="CM30" s="51" t="b">
        <v>0</v>
      </c>
      <c r="CN30" s="51" t="b">
        <v>0</v>
      </c>
      <c r="CO30" s="51" t="b">
        <v>0</v>
      </c>
      <c r="CP30" s="20"/>
      <c r="CQ30" s="21"/>
      <c r="CR30" s="51"/>
      <c r="CS30" s="51" t="b">
        <v>0</v>
      </c>
      <c r="CT30" s="51" t="b">
        <v>0</v>
      </c>
      <c r="CU30" s="51" t="b">
        <v>0</v>
      </c>
      <c r="CV30" s="51" t="b">
        <v>0</v>
      </c>
      <c r="CW30" s="20"/>
      <c r="CX30" s="21"/>
      <c r="CY30" s="51"/>
      <c r="CZ30" s="51" t="b">
        <v>0</v>
      </c>
      <c r="DA30" s="51" t="b">
        <v>0</v>
      </c>
      <c r="DB30" s="51" t="b">
        <v>0</v>
      </c>
      <c r="DC30" s="51" t="b">
        <v>0</v>
      </c>
      <c r="DD30" s="103"/>
      <c r="DE30" s="102"/>
      <c r="DF30" s="51"/>
      <c r="DG30" s="51" t="b">
        <v>0</v>
      </c>
      <c r="DH30" s="51" t="b">
        <v>0</v>
      </c>
      <c r="DI30" s="51" t="b">
        <v>0</v>
      </c>
      <c r="DJ30" s="51" t="b">
        <v>0</v>
      </c>
      <c r="DK30" s="20"/>
      <c r="DL30" s="21"/>
      <c r="DM30" s="51"/>
      <c r="DN30" s="51" t="b">
        <v>0</v>
      </c>
      <c r="DO30" s="51" t="b">
        <v>0</v>
      </c>
      <c r="DP30" s="51" t="b">
        <v>0</v>
      </c>
      <c r="DQ30" s="51" t="b">
        <v>0</v>
      </c>
      <c r="DR30" s="20"/>
      <c r="DS30" s="21"/>
      <c r="DT30" s="51"/>
      <c r="DU30" s="51" t="b">
        <v>0</v>
      </c>
      <c r="DV30" s="51" t="b">
        <v>0</v>
      </c>
      <c r="DW30" s="51" t="b">
        <v>0</v>
      </c>
      <c r="DX30" s="51" t="b">
        <v>0</v>
      </c>
      <c r="DY30" s="103"/>
      <c r="DZ30" s="102"/>
      <c r="EA30" s="51"/>
      <c r="EB30" s="51" t="b">
        <v>0</v>
      </c>
      <c r="EC30" s="51" t="b">
        <v>0</v>
      </c>
      <c r="ED30" s="51" t="b">
        <v>0</v>
      </c>
      <c r="EE30" s="51" t="b">
        <v>0</v>
      </c>
      <c r="EF30" s="20"/>
      <c r="EG30" s="21"/>
      <c r="EH30" s="51"/>
      <c r="EI30" s="51" t="b">
        <v>0</v>
      </c>
      <c r="EJ30" s="51" t="b">
        <v>0</v>
      </c>
      <c r="EK30" s="51" t="b">
        <v>0</v>
      </c>
      <c r="EL30" s="51" t="b">
        <v>0</v>
      </c>
      <c r="EM30" s="20"/>
      <c r="EN30" s="21"/>
      <c r="EO30" s="51"/>
      <c r="EP30" s="51" t="b">
        <v>0</v>
      </c>
      <c r="EQ30" s="51" t="b">
        <v>0</v>
      </c>
      <c r="ER30" s="51" t="b">
        <v>0</v>
      </c>
      <c r="ES30" s="51" t="b">
        <v>0</v>
      </c>
      <c r="ET30" s="103"/>
      <c r="EU30" s="102"/>
      <c r="EV30" s="51"/>
      <c r="EW30" s="51" t="b">
        <v>0</v>
      </c>
      <c r="EX30" s="51" t="b">
        <v>0</v>
      </c>
      <c r="EY30" s="51" t="b">
        <v>0</v>
      </c>
      <c r="EZ30" s="51" t="b">
        <v>0</v>
      </c>
      <c r="FA30" s="20"/>
      <c r="FB30" s="21"/>
      <c r="FC30" s="51"/>
      <c r="FD30" s="51" t="b">
        <v>0</v>
      </c>
      <c r="FE30" s="51" t="b">
        <v>0</v>
      </c>
      <c r="FF30" s="51" t="b">
        <v>0</v>
      </c>
      <c r="FG30" s="51" t="b">
        <v>0</v>
      </c>
      <c r="FH30" s="20"/>
      <c r="FI30" s="21"/>
      <c r="FJ30" s="51"/>
      <c r="FK30" s="51" t="b">
        <v>0</v>
      </c>
      <c r="FL30" s="51" t="b">
        <v>0</v>
      </c>
      <c r="FM30" s="51" t="b">
        <v>0</v>
      </c>
      <c r="FN30" s="51" t="b">
        <v>0</v>
      </c>
      <c r="FO30" s="103"/>
      <c r="FP30" s="102"/>
      <c r="FQ30" s="51"/>
      <c r="FR30" s="51" t="b">
        <v>0</v>
      </c>
      <c r="FS30" s="51" t="b">
        <v>0</v>
      </c>
      <c r="FT30" s="51" t="b">
        <v>0</v>
      </c>
      <c r="FU30" s="51" t="b">
        <v>0</v>
      </c>
      <c r="FV30" s="20"/>
      <c r="FW30" s="21"/>
      <c r="FX30" s="51"/>
      <c r="FY30" s="51" t="b">
        <v>0</v>
      </c>
      <c r="FZ30" s="51" t="b">
        <v>0</v>
      </c>
      <c r="GA30" s="51" t="b">
        <v>0</v>
      </c>
      <c r="GB30" s="51" t="b">
        <v>0</v>
      </c>
      <c r="GC30" s="20"/>
      <c r="GD30" s="21"/>
      <c r="GE30" s="51"/>
      <c r="GF30" s="51" t="b">
        <v>0</v>
      </c>
      <c r="GG30" s="51" t="b">
        <v>0</v>
      </c>
      <c r="GH30" s="51" t="b">
        <v>0</v>
      </c>
      <c r="GI30" s="51" t="b">
        <v>0</v>
      </c>
      <c r="GJ30" s="103"/>
      <c r="GK30" s="102"/>
      <c r="GL30" s="51"/>
      <c r="GM30" s="51" t="b">
        <v>0</v>
      </c>
      <c r="GN30" s="51" t="b">
        <v>0</v>
      </c>
      <c r="GO30" s="51" t="b">
        <v>0</v>
      </c>
      <c r="GP30" s="51" t="b">
        <v>0</v>
      </c>
      <c r="GQ30" s="20"/>
      <c r="GR30" s="21"/>
      <c r="GS30" s="51"/>
      <c r="GT30" s="51" t="b">
        <v>0</v>
      </c>
      <c r="GU30" s="51" t="b">
        <v>0</v>
      </c>
      <c r="GV30" s="51" t="b">
        <v>0</v>
      </c>
      <c r="GW30" s="51" t="b">
        <v>0</v>
      </c>
      <c r="GX30" s="20"/>
      <c r="GY30" s="21"/>
      <c r="GZ30" s="51"/>
      <c r="HA30" s="51" t="b">
        <v>0</v>
      </c>
      <c r="HB30" s="51" t="b">
        <v>0</v>
      </c>
      <c r="HC30" s="51" t="b">
        <v>0</v>
      </c>
      <c r="HD30" s="51" t="b">
        <v>0</v>
      </c>
      <c r="HE30" s="103"/>
      <c r="HF30" s="102"/>
      <c r="HG30" s="51"/>
      <c r="HH30" s="51" t="b">
        <v>0</v>
      </c>
      <c r="HI30" s="51" t="b">
        <v>0</v>
      </c>
      <c r="HJ30" s="51" t="b">
        <v>0</v>
      </c>
      <c r="HK30" s="51" t="b">
        <v>0</v>
      </c>
      <c r="HL30" s="20"/>
      <c r="HM30" s="21"/>
      <c r="HN30" s="51"/>
      <c r="HO30" s="51" t="b">
        <v>0</v>
      </c>
      <c r="HP30" s="51" t="b">
        <v>0</v>
      </c>
      <c r="HQ30" s="51" t="b">
        <v>0</v>
      </c>
      <c r="HR30" s="51" t="b">
        <v>0</v>
      </c>
      <c r="HS30" s="20"/>
      <c r="HT30" s="21"/>
      <c r="HU30" s="51"/>
      <c r="HV30" s="51" t="b">
        <v>0</v>
      </c>
      <c r="HW30" s="51" t="b">
        <v>0</v>
      </c>
      <c r="HX30" s="51" t="b">
        <v>0</v>
      </c>
      <c r="HY30" s="51" t="b">
        <v>0</v>
      </c>
      <c r="HZ30" s="103"/>
      <c r="IA30" s="102"/>
      <c r="IB30" s="51"/>
      <c r="IC30" s="51" t="b">
        <v>0</v>
      </c>
      <c r="ID30" s="51" t="b">
        <v>0</v>
      </c>
      <c r="IE30" s="51" t="b">
        <v>0</v>
      </c>
      <c r="IF30" s="51" t="b">
        <v>0</v>
      </c>
      <c r="IG30" s="20"/>
      <c r="IH30" s="21"/>
      <c r="II30" s="51"/>
      <c r="IJ30" s="51" t="b">
        <v>0</v>
      </c>
      <c r="IK30" s="51" t="b">
        <v>0</v>
      </c>
      <c r="IL30" s="51" t="b">
        <v>0</v>
      </c>
      <c r="IM30" s="51" t="b">
        <v>0</v>
      </c>
      <c r="IN30" s="20"/>
      <c r="IO30" s="21"/>
      <c r="IP30" s="51"/>
      <c r="IQ30" s="51" t="b">
        <v>0</v>
      </c>
      <c r="IR30" s="51" t="b">
        <v>0</v>
      </c>
      <c r="IS30" s="51" t="b">
        <v>0</v>
      </c>
      <c r="IT30" s="51" t="b">
        <v>0</v>
      </c>
      <c r="IU30" s="103"/>
      <c r="IV30" s="112"/>
    </row>
    <row r="31" spans="1:256" x14ac:dyDescent="0.2">
      <c r="C31">
        <v>22</v>
      </c>
      <c r="D31" s="102"/>
      <c r="E31" s="51"/>
      <c r="F31" s="51" t="s">
        <v>81</v>
      </c>
      <c r="G31" s="51" t="s">
        <v>81</v>
      </c>
      <c r="H31" s="51" t="s">
        <v>81</v>
      </c>
      <c r="I31" s="51" t="s">
        <v>81</v>
      </c>
      <c r="J31" s="20"/>
      <c r="K31" s="21"/>
      <c r="L31" s="51"/>
      <c r="M31" s="51" t="s">
        <v>81</v>
      </c>
      <c r="N31" s="51" t="s">
        <v>81</v>
      </c>
      <c r="O31" s="51" t="s">
        <v>81</v>
      </c>
      <c r="P31" s="51" t="s">
        <v>81</v>
      </c>
      <c r="Q31" s="20"/>
      <c r="R31" s="21"/>
      <c r="S31" s="51"/>
      <c r="T31" s="51" t="b">
        <v>0</v>
      </c>
      <c r="U31" s="51" t="b">
        <v>0</v>
      </c>
      <c r="V31" s="51" t="b">
        <v>0</v>
      </c>
      <c r="W31" s="51" t="b">
        <v>0</v>
      </c>
      <c r="X31" s="103"/>
      <c r="Y31" s="102"/>
      <c r="Z31" s="51"/>
      <c r="AA31" s="51" t="s">
        <v>81</v>
      </c>
      <c r="AB31" s="51" t="s">
        <v>81</v>
      </c>
      <c r="AC31" s="51" t="s">
        <v>81</v>
      </c>
      <c r="AD31" s="51" t="s">
        <v>81</v>
      </c>
      <c r="AE31" s="20"/>
      <c r="AF31" s="21"/>
      <c r="AG31" s="51"/>
      <c r="AH31" s="51" t="s">
        <v>81</v>
      </c>
      <c r="AI31" s="51" t="s">
        <v>81</v>
      </c>
      <c r="AJ31" s="51" t="s">
        <v>81</v>
      </c>
      <c r="AK31" s="51" t="s">
        <v>81</v>
      </c>
      <c r="AL31" s="20"/>
      <c r="AM31" s="21"/>
      <c r="AN31" s="51"/>
      <c r="AO31" s="51" t="b">
        <v>0</v>
      </c>
      <c r="AP31" s="51" t="b">
        <v>0</v>
      </c>
      <c r="AQ31" s="51" t="b">
        <v>0</v>
      </c>
      <c r="AR31" s="51" t="b">
        <v>0</v>
      </c>
      <c r="AS31" s="103"/>
      <c r="AT31" s="102"/>
      <c r="AU31" s="51"/>
      <c r="AV31" s="51" t="s">
        <v>81</v>
      </c>
      <c r="AW31" s="51" t="s">
        <v>81</v>
      </c>
      <c r="AX31" s="51" t="s">
        <v>81</v>
      </c>
      <c r="AY31" s="51" t="s">
        <v>81</v>
      </c>
      <c r="AZ31" s="20"/>
      <c r="BA31" s="21"/>
      <c r="BB31" s="51"/>
      <c r="BC31" s="51" t="s">
        <v>81</v>
      </c>
      <c r="BD31" s="51" t="s">
        <v>81</v>
      </c>
      <c r="BE31" s="51" t="s">
        <v>81</v>
      </c>
      <c r="BF31" s="51" t="s">
        <v>81</v>
      </c>
      <c r="BG31" s="20"/>
      <c r="BH31" s="21"/>
      <c r="BI31" s="51"/>
      <c r="BJ31" s="51" t="b">
        <v>0</v>
      </c>
      <c r="BK31" s="51" t="b">
        <v>0</v>
      </c>
      <c r="BL31" s="51" t="b">
        <v>0</v>
      </c>
      <c r="BM31" s="51" t="b">
        <v>0</v>
      </c>
      <c r="BN31" s="103"/>
      <c r="BO31" s="102"/>
      <c r="BP31" s="51"/>
      <c r="BQ31" s="51" t="b">
        <v>0</v>
      </c>
      <c r="BR31" s="51" t="b">
        <v>0</v>
      </c>
      <c r="BS31" s="51" t="b">
        <v>0</v>
      </c>
      <c r="BT31" s="51" t="b">
        <v>0</v>
      </c>
      <c r="BU31" s="20"/>
      <c r="BV31" s="21"/>
      <c r="BW31" s="51"/>
      <c r="BX31" s="51" t="b">
        <v>0</v>
      </c>
      <c r="BY31" s="51" t="b">
        <v>0</v>
      </c>
      <c r="BZ31" s="51" t="b">
        <v>0</v>
      </c>
      <c r="CA31" s="51" t="b">
        <v>0</v>
      </c>
      <c r="CB31" s="20"/>
      <c r="CC31" s="21"/>
      <c r="CD31" s="51"/>
      <c r="CE31" s="51" t="b">
        <v>0</v>
      </c>
      <c r="CF31" s="51" t="b">
        <v>0</v>
      </c>
      <c r="CG31" s="51" t="b">
        <v>0</v>
      </c>
      <c r="CH31" s="51" t="b">
        <v>0</v>
      </c>
      <c r="CI31" s="103"/>
      <c r="CJ31" s="102"/>
      <c r="CK31" s="51"/>
      <c r="CL31" s="51" t="b">
        <v>0</v>
      </c>
      <c r="CM31" s="51" t="b">
        <v>0</v>
      </c>
      <c r="CN31" s="51" t="b">
        <v>0</v>
      </c>
      <c r="CO31" s="51" t="b">
        <v>0</v>
      </c>
      <c r="CP31" s="20"/>
      <c r="CQ31" s="21"/>
      <c r="CR31" s="51"/>
      <c r="CS31" s="51" t="b">
        <v>0</v>
      </c>
      <c r="CT31" s="51" t="b">
        <v>0</v>
      </c>
      <c r="CU31" s="51" t="b">
        <v>0</v>
      </c>
      <c r="CV31" s="51" t="b">
        <v>0</v>
      </c>
      <c r="CW31" s="20"/>
      <c r="CX31" s="21"/>
      <c r="CY31" s="51"/>
      <c r="CZ31" s="51" t="b">
        <v>0</v>
      </c>
      <c r="DA31" s="51" t="b">
        <v>0</v>
      </c>
      <c r="DB31" s="51" t="b">
        <v>0</v>
      </c>
      <c r="DC31" s="51" t="b">
        <v>0</v>
      </c>
      <c r="DD31" s="103"/>
      <c r="DE31" s="102"/>
      <c r="DF31" s="51"/>
      <c r="DG31" s="51" t="b">
        <v>0</v>
      </c>
      <c r="DH31" s="51" t="b">
        <v>0</v>
      </c>
      <c r="DI31" s="51" t="b">
        <v>0</v>
      </c>
      <c r="DJ31" s="51" t="b">
        <v>0</v>
      </c>
      <c r="DK31" s="20"/>
      <c r="DL31" s="21"/>
      <c r="DM31" s="51"/>
      <c r="DN31" s="51" t="b">
        <v>0</v>
      </c>
      <c r="DO31" s="51" t="b">
        <v>0</v>
      </c>
      <c r="DP31" s="51" t="b">
        <v>0</v>
      </c>
      <c r="DQ31" s="51" t="b">
        <v>0</v>
      </c>
      <c r="DR31" s="20"/>
      <c r="DS31" s="21"/>
      <c r="DT31" s="51"/>
      <c r="DU31" s="51" t="b">
        <v>0</v>
      </c>
      <c r="DV31" s="51" t="b">
        <v>0</v>
      </c>
      <c r="DW31" s="51" t="b">
        <v>0</v>
      </c>
      <c r="DX31" s="51" t="b">
        <v>0</v>
      </c>
      <c r="DY31" s="103"/>
      <c r="DZ31" s="102"/>
      <c r="EA31" s="51"/>
      <c r="EB31" s="51" t="b">
        <v>0</v>
      </c>
      <c r="EC31" s="51" t="b">
        <v>0</v>
      </c>
      <c r="ED31" s="51" t="b">
        <v>0</v>
      </c>
      <c r="EE31" s="51" t="b">
        <v>0</v>
      </c>
      <c r="EF31" s="20"/>
      <c r="EG31" s="21"/>
      <c r="EH31" s="51"/>
      <c r="EI31" s="51" t="b">
        <v>0</v>
      </c>
      <c r="EJ31" s="51" t="b">
        <v>0</v>
      </c>
      <c r="EK31" s="51" t="b">
        <v>0</v>
      </c>
      <c r="EL31" s="51" t="b">
        <v>0</v>
      </c>
      <c r="EM31" s="20"/>
      <c r="EN31" s="21"/>
      <c r="EO31" s="51"/>
      <c r="EP31" s="51" t="b">
        <v>0</v>
      </c>
      <c r="EQ31" s="51" t="b">
        <v>0</v>
      </c>
      <c r="ER31" s="51" t="b">
        <v>0</v>
      </c>
      <c r="ES31" s="51" t="b">
        <v>0</v>
      </c>
      <c r="ET31" s="103"/>
      <c r="EU31" s="102"/>
      <c r="EV31" s="51"/>
      <c r="EW31" s="51" t="b">
        <v>0</v>
      </c>
      <c r="EX31" s="51" t="b">
        <v>0</v>
      </c>
      <c r="EY31" s="51" t="b">
        <v>0</v>
      </c>
      <c r="EZ31" s="51" t="b">
        <v>0</v>
      </c>
      <c r="FA31" s="20"/>
      <c r="FB31" s="21"/>
      <c r="FC31" s="51"/>
      <c r="FD31" s="51" t="b">
        <v>0</v>
      </c>
      <c r="FE31" s="51" t="b">
        <v>0</v>
      </c>
      <c r="FF31" s="51" t="b">
        <v>0</v>
      </c>
      <c r="FG31" s="51" t="b">
        <v>0</v>
      </c>
      <c r="FH31" s="20"/>
      <c r="FI31" s="21"/>
      <c r="FJ31" s="51"/>
      <c r="FK31" s="51" t="b">
        <v>0</v>
      </c>
      <c r="FL31" s="51" t="b">
        <v>0</v>
      </c>
      <c r="FM31" s="51" t="b">
        <v>0</v>
      </c>
      <c r="FN31" s="51" t="b">
        <v>0</v>
      </c>
      <c r="FO31" s="103"/>
      <c r="FP31" s="102"/>
      <c r="FQ31" s="51"/>
      <c r="FR31" s="51" t="b">
        <v>0</v>
      </c>
      <c r="FS31" s="51" t="b">
        <v>0</v>
      </c>
      <c r="FT31" s="51" t="b">
        <v>0</v>
      </c>
      <c r="FU31" s="51" t="b">
        <v>0</v>
      </c>
      <c r="FV31" s="20"/>
      <c r="FW31" s="21"/>
      <c r="FX31" s="51"/>
      <c r="FY31" s="51" t="b">
        <v>0</v>
      </c>
      <c r="FZ31" s="51" t="b">
        <v>0</v>
      </c>
      <c r="GA31" s="51" t="b">
        <v>0</v>
      </c>
      <c r="GB31" s="51" t="b">
        <v>0</v>
      </c>
      <c r="GC31" s="20"/>
      <c r="GD31" s="21"/>
      <c r="GE31" s="51"/>
      <c r="GF31" s="51" t="b">
        <v>0</v>
      </c>
      <c r="GG31" s="51" t="b">
        <v>0</v>
      </c>
      <c r="GH31" s="51" t="b">
        <v>0</v>
      </c>
      <c r="GI31" s="51" t="b">
        <v>0</v>
      </c>
      <c r="GJ31" s="103"/>
      <c r="GK31" s="102"/>
      <c r="GL31" s="51"/>
      <c r="GM31" s="51" t="b">
        <v>0</v>
      </c>
      <c r="GN31" s="51" t="b">
        <v>0</v>
      </c>
      <c r="GO31" s="51" t="b">
        <v>0</v>
      </c>
      <c r="GP31" s="51" t="b">
        <v>0</v>
      </c>
      <c r="GQ31" s="20"/>
      <c r="GR31" s="21"/>
      <c r="GS31" s="51"/>
      <c r="GT31" s="51" t="b">
        <v>0</v>
      </c>
      <c r="GU31" s="51" t="b">
        <v>0</v>
      </c>
      <c r="GV31" s="51" t="b">
        <v>0</v>
      </c>
      <c r="GW31" s="51" t="b">
        <v>0</v>
      </c>
      <c r="GX31" s="20"/>
      <c r="GY31" s="21"/>
      <c r="GZ31" s="51"/>
      <c r="HA31" s="51" t="b">
        <v>0</v>
      </c>
      <c r="HB31" s="51" t="b">
        <v>0</v>
      </c>
      <c r="HC31" s="51" t="b">
        <v>0</v>
      </c>
      <c r="HD31" s="51" t="b">
        <v>0</v>
      </c>
      <c r="HE31" s="103"/>
      <c r="HF31" s="102"/>
      <c r="HG31" s="51"/>
      <c r="HH31" s="51" t="b">
        <v>0</v>
      </c>
      <c r="HI31" s="51" t="b">
        <v>0</v>
      </c>
      <c r="HJ31" s="51" t="b">
        <v>0</v>
      </c>
      <c r="HK31" s="51" t="b">
        <v>0</v>
      </c>
      <c r="HL31" s="20"/>
      <c r="HM31" s="21"/>
      <c r="HN31" s="51"/>
      <c r="HO31" s="51" t="b">
        <v>0</v>
      </c>
      <c r="HP31" s="51" t="b">
        <v>0</v>
      </c>
      <c r="HQ31" s="51" t="b">
        <v>0</v>
      </c>
      <c r="HR31" s="51" t="b">
        <v>0</v>
      </c>
      <c r="HS31" s="20"/>
      <c r="HT31" s="21"/>
      <c r="HU31" s="51"/>
      <c r="HV31" s="51" t="b">
        <v>0</v>
      </c>
      <c r="HW31" s="51" t="b">
        <v>0</v>
      </c>
      <c r="HX31" s="51" t="b">
        <v>0</v>
      </c>
      <c r="HY31" s="51" t="b">
        <v>0</v>
      </c>
      <c r="HZ31" s="103"/>
      <c r="IA31" s="102"/>
      <c r="IB31" s="51"/>
      <c r="IC31" s="51" t="b">
        <v>0</v>
      </c>
      <c r="ID31" s="51" t="b">
        <v>0</v>
      </c>
      <c r="IE31" s="51" t="b">
        <v>0</v>
      </c>
      <c r="IF31" s="51" t="b">
        <v>0</v>
      </c>
      <c r="IG31" s="20"/>
      <c r="IH31" s="21"/>
      <c r="II31" s="51"/>
      <c r="IJ31" s="51" t="b">
        <v>0</v>
      </c>
      <c r="IK31" s="51" t="b">
        <v>0</v>
      </c>
      <c r="IL31" s="51" t="b">
        <v>0</v>
      </c>
      <c r="IM31" s="51" t="b">
        <v>0</v>
      </c>
      <c r="IN31" s="20"/>
      <c r="IO31" s="21"/>
      <c r="IP31" s="51"/>
      <c r="IQ31" s="51" t="b">
        <v>0</v>
      </c>
      <c r="IR31" s="51" t="b">
        <v>0</v>
      </c>
      <c r="IS31" s="51" t="b">
        <v>0</v>
      </c>
      <c r="IT31" s="51" t="b">
        <v>0</v>
      </c>
      <c r="IU31" s="103"/>
      <c r="IV31" s="112"/>
    </row>
    <row r="32" spans="1:256" x14ac:dyDescent="0.2">
      <c r="C32">
        <v>23</v>
      </c>
      <c r="D32" s="102"/>
      <c r="E32" s="51"/>
      <c r="F32" s="51" t="s">
        <v>81</v>
      </c>
      <c r="G32" s="51" t="s">
        <v>81</v>
      </c>
      <c r="H32" s="51" t="s">
        <v>81</v>
      </c>
      <c r="I32" s="51" t="s">
        <v>81</v>
      </c>
      <c r="J32" s="20"/>
      <c r="K32" s="21"/>
      <c r="L32" s="51"/>
      <c r="M32" s="51" t="s">
        <v>81</v>
      </c>
      <c r="N32" s="51" t="s">
        <v>81</v>
      </c>
      <c r="O32" s="51" t="s">
        <v>81</v>
      </c>
      <c r="P32" s="51" t="s">
        <v>81</v>
      </c>
      <c r="Q32" s="20"/>
      <c r="R32" s="21"/>
      <c r="S32" s="51"/>
      <c r="T32" s="51" t="b">
        <v>0</v>
      </c>
      <c r="U32" s="51" t="b">
        <v>0</v>
      </c>
      <c r="V32" s="51" t="b">
        <v>0</v>
      </c>
      <c r="W32" s="51" t="b">
        <v>0</v>
      </c>
      <c r="X32" s="103"/>
      <c r="Y32" s="102"/>
      <c r="Z32" s="51"/>
      <c r="AA32" s="51" t="s">
        <v>81</v>
      </c>
      <c r="AB32" s="51" t="s">
        <v>81</v>
      </c>
      <c r="AC32" s="51" t="s">
        <v>81</v>
      </c>
      <c r="AD32" s="51" t="s">
        <v>81</v>
      </c>
      <c r="AE32" s="20"/>
      <c r="AF32" s="21"/>
      <c r="AG32" s="51"/>
      <c r="AH32" s="51" t="s">
        <v>81</v>
      </c>
      <c r="AI32" s="51" t="s">
        <v>81</v>
      </c>
      <c r="AJ32" s="51" t="s">
        <v>81</v>
      </c>
      <c r="AK32" s="51" t="s">
        <v>81</v>
      </c>
      <c r="AL32" s="20"/>
      <c r="AM32" s="21"/>
      <c r="AN32" s="51"/>
      <c r="AO32" s="51" t="b">
        <v>0</v>
      </c>
      <c r="AP32" s="51" t="b">
        <v>0</v>
      </c>
      <c r="AQ32" s="51" t="b">
        <v>0</v>
      </c>
      <c r="AR32" s="51" t="b">
        <v>0</v>
      </c>
      <c r="AS32" s="103"/>
      <c r="AT32" s="102"/>
      <c r="AU32" s="51"/>
      <c r="AV32" s="51" t="s">
        <v>81</v>
      </c>
      <c r="AW32" s="51" t="s">
        <v>81</v>
      </c>
      <c r="AX32" s="51" t="s">
        <v>81</v>
      </c>
      <c r="AY32" s="51" t="s">
        <v>81</v>
      </c>
      <c r="AZ32" s="20"/>
      <c r="BA32" s="21"/>
      <c r="BB32" s="51"/>
      <c r="BC32" s="51" t="s">
        <v>81</v>
      </c>
      <c r="BD32" s="51" t="s">
        <v>81</v>
      </c>
      <c r="BE32" s="51" t="s">
        <v>81</v>
      </c>
      <c r="BF32" s="51" t="s">
        <v>81</v>
      </c>
      <c r="BG32" s="20"/>
      <c r="BH32" s="21"/>
      <c r="BI32" s="51"/>
      <c r="BJ32" s="51" t="b">
        <v>0</v>
      </c>
      <c r="BK32" s="51" t="b">
        <v>0</v>
      </c>
      <c r="BL32" s="51" t="b">
        <v>0</v>
      </c>
      <c r="BM32" s="51" t="b">
        <v>0</v>
      </c>
      <c r="BN32" s="103"/>
      <c r="BO32" s="102"/>
      <c r="BP32" s="51"/>
      <c r="BQ32" s="51" t="b">
        <v>0</v>
      </c>
      <c r="BR32" s="51" t="b">
        <v>0</v>
      </c>
      <c r="BS32" s="51" t="b">
        <v>0</v>
      </c>
      <c r="BT32" s="51" t="b">
        <v>0</v>
      </c>
      <c r="BU32" s="20"/>
      <c r="BV32" s="21"/>
      <c r="BW32" s="51"/>
      <c r="BX32" s="51" t="b">
        <v>0</v>
      </c>
      <c r="BY32" s="51" t="b">
        <v>0</v>
      </c>
      <c r="BZ32" s="51" t="b">
        <v>0</v>
      </c>
      <c r="CA32" s="51" t="b">
        <v>0</v>
      </c>
      <c r="CB32" s="20"/>
      <c r="CC32" s="21"/>
      <c r="CD32" s="51"/>
      <c r="CE32" s="51" t="b">
        <v>0</v>
      </c>
      <c r="CF32" s="51" t="b">
        <v>0</v>
      </c>
      <c r="CG32" s="51" t="b">
        <v>0</v>
      </c>
      <c r="CH32" s="51" t="b">
        <v>0</v>
      </c>
      <c r="CI32" s="103"/>
      <c r="CJ32" s="102"/>
      <c r="CK32" s="51"/>
      <c r="CL32" s="51" t="b">
        <v>0</v>
      </c>
      <c r="CM32" s="51" t="b">
        <v>0</v>
      </c>
      <c r="CN32" s="51" t="b">
        <v>0</v>
      </c>
      <c r="CO32" s="51" t="b">
        <v>0</v>
      </c>
      <c r="CP32" s="20"/>
      <c r="CQ32" s="21"/>
      <c r="CR32" s="51"/>
      <c r="CS32" s="51" t="b">
        <v>0</v>
      </c>
      <c r="CT32" s="51" t="b">
        <v>0</v>
      </c>
      <c r="CU32" s="51" t="b">
        <v>0</v>
      </c>
      <c r="CV32" s="51" t="b">
        <v>0</v>
      </c>
      <c r="CW32" s="20"/>
      <c r="CX32" s="21"/>
      <c r="CY32" s="51"/>
      <c r="CZ32" s="51" t="b">
        <v>0</v>
      </c>
      <c r="DA32" s="51" t="b">
        <v>0</v>
      </c>
      <c r="DB32" s="51" t="b">
        <v>0</v>
      </c>
      <c r="DC32" s="51" t="b">
        <v>0</v>
      </c>
      <c r="DD32" s="103"/>
      <c r="DE32" s="102"/>
      <c r="DF32" s="51"/>
      <c r="DG32" s="51" t="b">
        <v>0</v>
      </c>
      <c r="DH32" s="51" t="b">
        <v>0</v>
      </c>
      <c r="DI32" s="51" t="b">
        <v>0</v>
      </c>
      <c r="DJ32" s="51" t="b">
        <v>0</v>
      </c>
      <c r="DK32" s="20"/>
      <c r="DL32" s="21"/>
      <c r="DM32" s="51"/>
      <c r="DN32" s="51" t="b">
        <v>0</v>
      </c>
      <c r="DO32" s="51" t="b">
        <v>0</v>
      </c>
      <c r="DP32" s="51" t="b">
        <v>0</v>
      </c>
      <c r="DQ32" s="51" t="b">
        <v>0</v>
      </c>
      <c r="DR32" s="20"/>
      <c r="DS32" s="21"/>
      <c r="DT32" s="51"/>
      <c r="DU32" s="51" t="b">
        <v>0</v>
      </c>
      <c r="DV32" s="51" t="b">
        <v>0</v>
      </c>
      <c r="DW32" s="51" t="b">
        <v>0</v>
      </c>
      <c r="DX32" s="51" t="b">
        <v>0</v>
      </c>
      <c r="DY32" s="103"/>
      <c r="DZ32" s="102"/>
      <c r="EA32" s="51"/>
      <c r="EB32" s="51" t="b">
        <v>0</v>
      </c>
      <c r="EC32" s="51" t="b">
        <v>0</v>
      </c>
      <c r="ED32" s="51" t="b">
        <v>0</v>
      </c>
      <c r="EE32" s="51" t="b">
        <v>0</v>
      </c>
      <c r="EF32" s="20"/>
      <c r="EG32" s="21"/>
      <c r="EH32" s="51"/>
      <c r="EI32" s="51" t="b">
        <v>0</v>
      </c>
      <c r="EJ32" s="51" t="b">
        <v>0</v>
      </c>
      <c r="EK32" s="51" t="b">
        <v>0</v>
      </c>
      <c r="EL32" s="51" t="b">
        <v>0</v>
      </c>
      <c r="EM32" s="20"/>
      <c r="EN32" s="21"/>
      <c r="EO32" s="51"/>
      <c r="EP32" s="51" t="b">
        <v>0</v>
      </c>
      <c r="EQ32" s="51" t="b">
        <v>0</v>
      </c>
      <c r="ER32" s="51" t="b">
        <v>0</v>
      </c>
      <c r="ES32" s="51" t="b">
        <v>0</v>
      </c>
      <c r="ET32" s="103"/>
      <c r="EU32" s="102"/>
      <c r="EV32" s="51"/>
      <c r="EW32" s="51" t="b">
        <v>0</v>
      </c>
      <c r="EX32" s="51" t="b">
        <v>0</v>
      </c>
      <c r="EY32" s="51" t="b">
        <v>0</v>
      </c>
      <c r="EZ32" s="51" t="b">
        <v>0</v>
      </c>
      <c r="FA32" s="20"/>
      <c r="FB32" s="21"/>
      <c r="FC32" s="51"/>
      <c r="FD32" s="51" t="b">
        <v>0</v>
      </c>
      <c r="FE32" s="51" t="b">
        <v>0</v>
      </c>
      <c r="FF32" s="51" t="b">
        <v>0</v>
      </c>
      <c r="FG32" s="51" t="b">
        <v>0</v>
      </c>
      <c r="FH32" s="20"/>
      <c r="FI32" s="21"/>
      <c r="FJ32" s="51"/>
      <c r="FK32" s="51" t="b">
        <v>0</v>
      </c>
      <c r="FL32" s="51" t="b">
        <v>0</v>
      </c>
      <c r="FM32" s="51" t="b">
        <v>0</v>
      </c>
      <c r="FN32" s="51" t="b">
        <v>0</v>
      </c>
      <c r="FO32" s="103"/>
      <c r="FP32" s="102"/>
      <c r="FQ32" s="51"/>
      <c r="FR32" s="51" t="b">
        <v>0</v>
      </c>
      <c r="FS32" s="51" t="b">
        <v>0</v>
      </c>
      <c r="FT32" s="51" t="b">
        <v>0</v>
      </c>
      <c r="FU32" s="51" t="b">
        <v>0</v>
      </c>
      <c r="FV32" s="20"/>
      <c r="FW32" s="21"/>
      <c r="FX32" s="51"/>
      <c r="FY32" s="51" t="b">
        <v>0</v>
      </c>
      <c r="FZ32" s="51" t="b">
        <v>0</v>
      </c>
      <c r="GA32" s="51" t="b">
        <v>0</v>
      </c>
      <c r="GB32" s="51" t="b">
        <v>0</v>
      </c>
      <c r="GC32" s="20"/>
      <c r="GD32" s="21"/>
      <c r="GE32" s="51"/>
      <c r="GF32" s="51" t="b">
        <v>0</v>
      </c>
      <c r="GG32" s="51" t="b">
        <v>0</v>
      </c>
      <c r="GH32" s="51" t="b">
        <v>0</v>
      </c>
      <c r="GI32" s="51" t="b">
        <v>0</v>
      </c>
      <c r="GJ32" s="103"/>
      <c r="GK32" s="102"/>
      <c r="GL32" s="51"/>
      <c r="GM32" s="51" t="b">
        <v>0</v>
      </c>
      <c r="GN32" s="51" t="b">
        <v>0</v>
      </c>
      <c r="GO32" s="51" t="b">
        <v>0</v>
      </c>
      <c r="GP32" s="51" t="b">
        <v>0</v>
      </c>
      <c r="GQ32" s="20"/>
      <c r="GR32" s="21"/>
      <c r="GS32" s="51"/>
      <c r="GT32" s="51" t="b">
        <v>0</v>
      </c>
      <c r="GU32" s="51" t="b">
        <v>0</v>
      </c>
      <c r="GV32" s="51" t="b">
        <v>0</v>
      </c>
      <c r="GW32" s="51" t="b">
        <v>0</v>
      </c>
      <c r="GX32" s="20"/>
      <c r="GY32" s="21"/>
      <c r="GZ32" s="51"/>
      <c r="HA32" s="51" t="b">
        <v>0</v>
      </c>
      <c r="HB32" s="51" t="b">
        <v>0</v>
      </c>
      <c r="HC32" s="51" t="b">
        <v>0</v>
      </c>
      <c r="HD32" s="51" t="b">
        <v>0</v>
      </c>
      <c r="HE32" s="103"/>
      <c r="HF32" s="102"/>
      <c r="HG32" s="51"/>
      <c r="HH32" s="51" t="b">
        <v>0</v>
      </c>
      <c r="HI32" s="51" t="b">
        <v>0</v>
      </c>
      <c r="HJ32" s="51" t="b">
        <v>0</v>
      </c>
      <c r="HK32" s="51" t="b">
        <v>0</v>
      </c>
      <c r="HL32" s="20"/>
      <c r="HM32" s="21"/>
      <c r="HN32" s="51"/>
      <c r="HO32" s="51" t="b">
        <v>0</v>
      </c>
      <c r="HP32" s="51" t="b">
        <v>0</v>
      </c>
      <c r="HQ32" s="51" t="b">
        <v>0</v>
      </c>
      <c r="HR32" s="51" t="b">
        <v>0</v>
      </c>
      <c r="HS32" s="20"/>
      <c r="HT32" s="21"/>
      <c r="HU32" s="51"/>
      <c r="HV32" s="51" t="b">
        <v>0</v>
      </c>
      <c r="HW32" s="51" t="b">
        <v>0</v>
      </c>
      <c r="HX32" s="51" t="b">
        <v>0</v>
      </c>
      <c r="HY32" s="51" t="b">
        <v>0</v>
      </c>
      <c r="HZ32" s="103"/>
      <c r="IA32" s="102"/>
      <c r="IB32" s="51"/>
      <c r="IC32" s="51" t="b">
        <v>0</v>
      </c>
      <c r="ID32" s="51" t="b">
        <v>0</v>
      </c>
      <c r="IE32" s="51" t="b">
        <v>0</v>
      </c>
      <c r="IF32" s="51" t="b">
        <v>0</v>
      </c>
      <c r="IG32" s="20"/>
      <c r="IH32" s="21"/>
      <c r="II32" s="51"/>
      <c r="IJ32" s="51" t="b">
        <v>0</v>
      </c>
      <c r="IK32" s="51" t="b">
        <v>0</v>
      </c>
      <c r="IL32" s="51" t="b">
        <v>0</v>
      </c>
      <c r="IM32" s="51" t="b">
        <v>0</v>
      </c>
      <c r="IN32" s="20"/>
      <c r="IO32" s="21"/>
      <c r="IP32" s="51"/>
      <c r="IQ32" s="51" t="b">
        <v>0</v>
      </c>
      <c r="IR32" s="51" t="b">
        <v>0</v>
      </c>
      <c r="IS32" s="51" t="b">
        <v>0</v>
      </c>
      <c r="IT32" s="51" t="b">
        <v>0</v>
      </c>
      <c r="IU32" s="103"/>
      <c r="IV32" s="112"/>
    </row>
    <row r="33" spans="1:256" x14ac:dyDescent="0.2">
      <c r="C33">
        <v>24</v>
      </c>
      <c r="D33" s="102"/>
      <c r="E33" s="51"/>
      <c r="F33" s="51" t="s">
        <v>81</v>
      </c>
      <c r="G33" s="51" t="s">
        <v>81</v>
      </c>
      <c r="H33" s="51" t="s">
        <v>81</v>
      </c>
      <c r="I33" s="51" t="s">
        <v>81</v>
      </c>
      <c r="J33" s="20"/>
      <c r="K33" s="21"/>
      <c r="L33" s="51"/>
      <c r="M33" s="51" t="s">
        <v>81</v>
      </c>
      <c r="N33" s="51" t="s">
        <v>81</v>
      </c>
      <c r="O33" s="51" t="s">
        <v>81</v>
      </c>
      <c r="P33" s="51" t="s">
        <v>81</v>
      </c>
      <c r="Q33" s="20"/>
      <c r="R33" s="21"/>
      <c r="S33" s="51"/>
      <c r="T33" s="51" t="b">
        <v>0</v>
      </c>
      <c r="U33" s="51" t="b">
        <v>0</v>
      </c>
      <c r="V33" s="51" t="b">
        <v>0</v>
      </c>
      <c r="W33" s="51" t="b">
        <v>0</v>
      </c>
      <c r="X33" s="103"/>
      <c r="Y33" s="102"/>
      <c r="Z33" s="51"/>
      <c r="AA33" s="51" t="s">
        <v>81</v>
      </c>
      <c r="AB33" s="51" t="s">
        <v>81</v>
      </c>
      <c r="AC33" s="51" t="s">
        <v>81</v>
      </c>
      <c r="AD33" s="51" t="s">
        <v>81</v>
      </c>
      <c r="AE33" s="20"/>
      <c r="AF33" s="21"/>
      <c r="AG33" s="51"/>
      <c r="AH33" s="51" t="s">
        <v>81</v>
      </c>
      <c r="AI33" s="51" t="s">
        <v>81</v>
      </c>
      <c r="AJ33" s="51" t="s">
        <v>81</v>
      </c>
      <c r="AK33" s="51" t="s">
        <v>81</v>
      </c>
      <c r="AL33" s="20"/>
      <c r="AM33" s="21"/>
      <c r="AN33" s="51"/>
      <c r="AO33" s="51" t="b">
        <v>0</v>
      </c>
      <c r="AP33" s="51" t="b">
        <v>0</v>
      </c>
      <c r="AQ33" s="51" t="b">
        <v>0</v>
      </c>
      <c r="AR33" s="51" t="b">
        <v>0</v>
      </c>
      <c r="AS33" s="103"/>
      <c r="AT33" s="102"/>
      <c r="AU33" s="51"/>
      <c r="AV33" s="51" t="s">
        <v>81</v>
      </c>
      <c r="AW33" s="51" t="s">
        <v>81</v>
      </c>
      <c r="AX33" s="51" t="s">
        <v>81</v>
      </c>
      <c r="AY33" s="51" t="s">
        <v>81</v>
      </c>
      <c r="AZ33" s="20"/>
      <c r="BA33" s="21"/>
      <c r="BB33" s="51"/>
      <c r="BC33" s="51" t="s">
        <v>81</v>
      </c>
      <c r="BD33" s="51" t="s">
        <v>81</v>
      </c>
      <c r="BE33" s="51" t="s">
        <v>81</v>
      </c>
      <c r="BF33" s="51" t="s">
        <v>81</v>
      </c>
      <c r="BG33" s="20"/>
      <c r="BH33" s="21"/>
      <c r="BI33" s="51"/>
      <c r="BJ33" s="51" t="b">
        <v>0</v>
      </c>
      <c r="BK33" s="51" t="b">
        <v>0</v>
      </c>
      <c r="BL33" s="51" t="b">
        <v>0</v>
      </c>
      <c r="BM33" s="51" t="b">
        <v>0</v>
      </c>
      <c r="BN33" s="103"/>
      <c r="BO33" s="102"/>
      <c r="BP33" s="51"/>
      <c r="BQ33" s="51" t="b">
        <v>0</v>
      </c>
      <c r="BR33" s="51" t="b">
        <v>0</v>
      </c>
      <c r="BS33" s="51" t="b">
        <v>0</v>
      </c>
      <c r="BT33" s="51" t="b">
        <v>0</v>
      </c>
      <c r="BU33" s="20"/>
      <c r="BV33" s="21"/>
      <c r="BW33" s="51"/>
      <c r="BX33" s="51" t="b">
        <v>0</v>
      </c>
      <c r="BY33" s="51" t="b">
        <v>0</v>
      </c>
      <c r="BZ33" s="51" t="b">
        <v>0</v>
      </c>
      <c r="CA33" s="51" t="b">
        <v>0</v>
      </c>
      <c r="CB33" s="20"/>
      <c r="CC33" s="21"/>
      <c r="CD33" s="51"/>
      <c r="CE33" s="51" t="b">
        <v>0</v>
      </c>
      <c r="CF33" s="51" t="b">
        <v>0</v>
      </c>
      <c r="CG33" s="51" t="b">
        <v>0</v>
      </c>
      <c r="CH33" s="51" t="b">
        <v>0</v>
      </c>
      <c r="CI33" s="103"/>
      <c r="CJ33" s="102"/>
      <c r="CK33" s="51"/>
      <c r="CL33" s="51" t="b">
        <v>0</v>
      </c>
      <c r="CM33" s="51" t="b">
        <v>0</v>
      </c>
      <c r="CN33" s="51" t="b">
        <v>0</v>
      </c>
      <c r="CO33" s="51" t="b">
        <v>0</v>
      </c>
      <c r="CP33" s="20"/>
      <c r="CQ33" s="21"/>
      <c r="CR33" s="51"/>
      <c r="CS33" s="51" t="b">
        <v>0</v>
      </c>
      <c r="CT33" s="51" t="b">
        <v>0</v>
      </c>
      <c r="CU33" s="51" t="b">
        <v>0</v>
      </c>
      <c r="CV33" s="51" t="b">
        <v>0</v>
      </c>
      <c r="CW33" s="20"/>
      <c r="CX33" s="21"/>
      <c r="CY33" s="51"/>
      <c r="CZ33" s="51" t="b">
        <v>0</v>
      </c>
      <c r="DA33" s="51" t="b">
        <v>0</v>
      </c>
      <c r="DB33" s="51" t="b">
        <v>0</v>
      </c>
      <c r="DC33" s="51" t="b">
        <v>0</v>
      </c>
      <c r="DD33" s="103"/>
      <c r="DE33" s="102"/>
      <c r="DF33" s="51"/>
      <c r="DG33" s="51" t="b">
        <v>0</v>
      </c>
      <c r="DH33" s="51" t="b">
        <v>0</v>
      </c>
      <c r="DI33" s="51" t="b">
        <v>0</v>
      </c>
      <c r="DJ33" s="51" t="b">
        <v>0</v>
      </c>
      <c r="DK33" s="20"/>
      <c r="DL33" s="21"/>
      <c r="DM33" s="51"/>
      <c r="DN33" s="51" t="b">
        <v>0</v>
      </c>
      <c r="DO33" s="51" t="b">
        <v>0</v>
      </c>
      <c r="DP33" s="51" t="b">
        <v>0</v>
      </c>
      <c r="DQ33" s="51" t="b">
        <v>0</v>
      </c>
      <c r="DR33" s="20"/>
      <c r="DS33" s="21"/>
      <c r="DT33" s="51"/>
      <c r="DU33" s="51" t="b">
        <v>0</v>
      </c>
      <c r="DV33" s="51" t="b">
        <v>0</v>
      </c>
      <c r="DW33" s="51" t="b">
        <v>0</v>
      </c>
      <c r="DX33" s="51" t="b">
        <v>0</v>
      </c>
      <c r="DY33" s="103"/>
      <c r="DZ33" s="102"/>
      <c r="EA33" s="51"/>
      <c r="EB33" s="51" t="b">
        <v>0</v>
      </c>
      <c r="EC33" s="51" t="b">
        <v>0</v>
      </c>
      <c r="ED33" s="51" t="b">
        <v>0</v>
      </c>
      <c r="EE33" s="51" t="b">
        <v>0</v>
      </c>
      <c r="EF33" s="20"/>
      <c r="EG33" s="21"/>
      <c r="EH33" s="51"/>
      <c r="EI33" s="51" t="b">
        <v>0</v>
      </c>
      <c r="EJ33" s="51" t="b">
        <v>0</v>
      </c>
      <c r="EK33" s="51" t="b">
        <v>0</v>
      </c>
      <c r="EL33" s="51" t="b">
        <v>0</v>
      </c>
      <c r="EM33" s="20"/>
      <c r="EN33" s="21"/>
      <c r="EO33" s="51"/>
      <c r="EP33" s="51" t="b">
        <v>0</v>
      </c>
      <c r="EQ33" s="51" t="b">
        <v>0</v>
      </c>
      <c r="ER33" s="51" t="b">
        <v>0</v>
      </c>
      <c r="ES33" s="51" t="b">
        <v>0</v>
      </c>
      <c r="ET33" s="103"/>
      <c r="EU33" s="102"/>
      <c r="EV33" s="51"/>
      <c r="EW33" s="51" t="b">
        <v>0</v>
      </c>
      <c r="EX33" s="51" t="b">
        <v>0</v>
      </c>
      <c r="EY33" s="51" t="b">
        <v>0</v>
      </c>
      <c r="EZ33" s="51" t="b">
        <v>0</v>
      </c>
      <c r="FA33" s="20"/>
      <c r="FB33" s="21"/>
      <c r="FC33" s="51"/>
      <c r="FD33" s="51" t="b">
        <v>0</v>
      </c>
      <c r="FE33" s="51" t="b">
        <v>0</v>
      </c>
      <c r="FF33" s="51" t="b">
        <v>0</v>
      </c>
      <c r="FG33" s="51" t="b">
        <v>0</v>
      </c>
      <c r="FH33" s="20"/>
      <c r="FI33" s="21"/>
      <c r="FJ33" s="51"/>
      <c r="FK33" s="51" t="b">
        <v>0</v>
      </c>
      <c r="FL33" s="51" t="b">
        <v>0</v>
      </c>
      <c r="FM33" s="51" t="b">
        <v>0</v>
      </c>
      <c r="FN33" s="51" t="b">
        <v>0</v>
      </c>
      <c r="FO33" s="103"/>
      <c r="FP33" s="102"/>
      <c r="FQ33" s="51"/>
      <c r="FR33" s="51" t="b">
        <v>0</v>
      </c>
      <c r="FS33" s="51" t="b">
        <v>0</v>
      </c>
      <c r="FT33" s="51" t="b">
        <v>0</v>
      </c>
      <c r="FU33" s="51" t="b">
        <v>0</v>
      </c>
      <c r="FV33" s="20"/>
      <c r="FW33" s="21"/>
      <c r="FX33" s="51"/>
      <c r="FY33" s="51" t="b">
        <v>0</v>
      </c>
      <c r="FZ33" s="51" t="b">
        <v>0</v>
      </c>
      <c r="GA33" s="51" t="b">
        <v>0</v>
      </c>
      <c r="GB33" s="51" t="b">
        <v>0</v>
      </c>
      <c r="GC33" s="20"/>
      <c r="GD33" s="21"/>
      <c r="GE33" s="51"/>
      <c r="GF33" s="51" t="b">
        <v>0</v>
      </c>
      <c r="GG33" s="51" t="b">
        <v>0</v>
      </c>
      <c r="GH33" s="51" t="b">
        <v>0</v>
      </c>
      <c r="GI33" s="51" t="b">
        <v>0</v>
      </c>
      <c r="GJ33" s="103"/>
      <c r="GK33" s="102"/>
      <c r="GL33" s="51"/>
      <c r="GM33" s="51" t="b">
        <v>0</v>
      </c>
      <c r="GN33" s="51" t="b">
        <v>0</v>
      </c>
      <c r="GO33" s="51" t="b">
        <v>0</v>
      </c>
      <c r="GP33" s="51" t="b">
        <v>0</v>
      </c>
      <c r="GQ33" s="20"/>
      <c r="GR33" s="21"/>
      <c r="GS33" s="51"/>
      <c r="GT33" s="51" t="b">
        <v>0</v>
      </c>
      <c r="GU33" s="51" t="b">
        <v>0</v>
      </c>
      <c r="GV33" s="51" t="b">
        <v>0</v>
      </c>
      <c r="GW33" s="51" t="b">
        <v>0</v>
      </c>
      <c r="GX33" s="20"/>
      <c r="GY33" s="21"/>
      <c r="GZ33" s="51"/>
      <c r="HA33" s="51" t="b">
        <v>0</v>
      </c>
      <c r="HB33" s="51" t="b">
        <v>0</v>
      </c>
      <c r="HC33" s="51" t="b">
        <v>0</v>
      </c>
      <c r="HD33" s="51" t="b">
        <v>0</v>
      </c>
      <c r="HE33" s="103"/>
      <c r="HF33" s="102"/>
      <c r="HG33" s="51"/>
      <c r="HH33" s="51" t="b">
        <v>0</v>
      </c>
      <c r="HI33" s="51" t="b">
        <v>0</v>
      </c>
      <c r="HJ33" s="51" t="b">
        <v>0</v>
      </c>
      <c r="HK33" s="51" t="b">
        <v>0</v>
      </c>
      <c r="HL33" s="20"/>
      <c r="HM33" s="21"/>
      <c r="HN33" s="51"/>
      <c r="HO33" s="51" t="b">
        <v>0</v>
      </c>
      <c r="HP33" s="51" t="b">
        <v>0</v>
      </c>
      <c r="HQ33" s="51" t="b">
        <v>0</v>
      </c>
      <c r="HR33" s="51" t="b">
        <v>0</v>
      </c>
      <c r="HS33" s="20"/>
      <c r="HT33" s="21"/>
      <c r="HU33" s="51"/>
      <c r="HV33" s="51" t="b">
        <v>0</v>
      </c>
      <c r="HW33" s="51" t="b">
        <v>0</v>
      </c>
      <c r="HX33" s="51" t="b">
        <v>0</v>
      </c>
      <c r="HY33" s="51" t="b">
        <v>0</v>
      </c>
      <c r="HZ33" s="103"/>
      <c r="IA33" s="102"/>
      <c r="IB33" s="51"/>
      <c r="IC33" s="51" t="b">
        <v>0</v>
      </c>
      <c r="ID33" s="51" t="b">
        <v>0</v>
      </c>
      <c r="IE33" s="51" t="b">
        <v>0</v>
      </c>
      <c r="IF33" s="51" t="b">
        <v>0</v>
      </c>
      <c r="IG33" s="20"/>
      <c r="IH33" s="21"/>
      <c r="II33" s="51"/>
      <c r="IJ33" s="51" t="b">
        <v>0</v>
      </c>
      <c r="IK33" s="51" t="b">
        <v>0</v>
      </c>
      <c r="IL33" s="51" t="b">
        <v>0</v>
      </c>
      <c r="IM33" s="51" t="b">
        <v>0</v>
      </c>
      <c r="IN33" s="20"/>
      <c r="IO33" s="21"/>
      <c r="IP33" s="51"/>
      <c r="IQ33" s="51" t="b">
        <v>0</v>
      </c>
      <c r="IR33" s="51" t="b">
        <v>0</v>
      </c>
      <c r="IS33" s="51" t="b">
        <v>0</v>
      </c>
      <c r="IT33" s="51" t="b">
        <v>0</v>
      </c>
      <c r="IU33" s="103"/>
      <c r="IV33" s="112"/>
    </row>
    <row r="34" spans="1:256" x14ac:dyDescent="0.2">
      <c r="C34">
        <v>25</v>
      </c>
      <c r="D34" s="102"/>
      <c r="E34" s="51"/>
      <c r="F34" s="51" t="b">
        <v>0</v>
      </c>
      <c r="G34" s="51" t="b">
        <v>0</v>
      </c>
      <c r="H34" s="51" t="b">
        <v>0</v>
      </c>
      <c r="I34" s="51" t="b">
        <v>0</v>
      </c>
      <c r="J34" s="20"/>
      <c r="K34" s="21"/>
      <c r="L34" s="51"/>
      <c r="M34" s="51" t="b">
        <v>0</v>
      </c>
      <c r="N34" s="51" t="b">
        <v>0</v>
      </c>
      <c r="O34" s="51" t="b">
        <v>0</v>
      </c>
      <c r="P34" s="51" t="b">
        <v>0</v>
      </c>
      <c r="Q34" s="20"/>
      <c r="R34" s="21"/>
      <c r="S34" s="51"/>
      <c r="T34" s="51" t="b">
        <v>0</v>
      </c>
      <c r="U34" s="51" t="b">
        <v>0</v>
      </c>
      <c r="V34" s="51" t="b">
        <v>0</v>
      </c>
      <c r="W34" s="51" t="b">
        <v>0</v>
      </c>
      <c r="X34" s="103"/>
      <c r="Y34" s="102"/>
      <c r="Z34" s="51"/>
      <c r="AA34" s="51" t="b">
        <v>0</v>
      </c>
      <c r="AB34" s="51" t="b">
        <v>0</v>
      </c>
      <c r="AC34" s="51" t="b">
        <v>0</v>
      </c>
      <c r="AD34" s="51" t="b">
        <v>0</v>
      </c>
      <c r="AE34" s="20"/>
      <c r="AF34" s="21"/>
      <c r="AG34" s="51"/>
      <c r="AH34" s="51" t="b">
        <v>0</v>
      </c>
      <c r="AI34" s="51" t="b">
        <v>0</v>
      </c>
      <c r="AJ34" s="51" t="b">
        <v>0</v>
      </c>
      <c r="AK34" s="51" t="b">
        <v>0</v>
      </c>
      <c r="AL34" s="20"/>
      <c r="AM34" s="21"/>
      <c r="AN34" s="51"/>
      <c r="AO34" s="51" t="b">
        <v>0</v>
      </c>
      <c r="AP34" s="51" t="b">
        <v>0</v>
      </c>
      <c r="AQ34" s="51" t="b">
        <v>0</v>
      </c>
      <c r="AR34" s="51" t="b">
        <v>0</v>
      </c>
      <c r="AS34" s="103"/>
      <c r="AT34" s="102"/>
      <c r="AU34" s="51"/>
      <c r="AV34" s="51" t="b">
        <v>0</v>
      </c>
      <c r="AW34" s="51" t="b">
        <v>0</v>
      </c>
      <c r="AX34" s="51" t="b">
        <v>0</v>
      </c>
      <c r="AY34" s="51" t="b">
        <v>0</v>
      </c>
      <c r="AZ34" s="20"/>
      <c r="BA34" s="21"/>
      <c r="BB34" s="51"/>
      <c r="BC34" s="51" t="b">
        <v>0</v>
      </c>
      <c r="BD34" s="51" t="b">
        <v>0</v>
      </c>
      <c r="BE34" s="51" t="b">
        <v>0</v>
      </c>
      <c r="BF34" s="51" t="b">
        <v>0</v>
      </c>
      <c r="BG34" s="20"/>
      <c r="BH34" s="21"/>
      <c r="BI34" s="51"/>
      <c r="BJ34" s="51" t="b">
        <v>0</v>
      </c>
      <c r="BK34" s="51" t="b">
        <v>0</v>
      </c>
      <c r="BL34" s="51" t="b">
        <v>0</v>
      </c>
      <c r="BM34" s="51" t="b">
        <v>0</v>
      </c>
      <c r="BN34" s="103"/>
      <c r="BO34" s="102"/>
      <c r="BP34" s="51"/>
      <c r="BQ34" s="51" t="b">
        <v>0</v>
      </c>
      <c r="BR34" s="51" t="b">
        <v>0</v>
      </c>
      <c r="BS34" s="51" t="b">
        <v>0</v>
      </c>
      <c r="BT34" s="51" t="b">
        <v>0</v>
      </c>
      <c r="BU34" s="20"/>
      <c r="BV34" s="21"/>
      <c r="BW34" s="51"/>
      <c r="BX34" s="51" t="b">
        <v>0</v>
      </c>
      <c r="BY34" s="51" t="b">
        <v>0</v>
      </c>
      <c r="BZ34" s="51" t="b">
        <v>0</v>
      </c>
      <c r="CA34" s="51" t="b">
        <v>0</v>
      </c>
      <c r="CB34" s="20"/>
      <c r="CC34" s="21"/>
      <c r="CD34" s="51"/>
      <c r="CE34" s="51" t="b">
        <v>0</v>
      </c>
      <c r="CF34" s="51" t="b">
        <v>0</v>
      </c>
      <c r="CG34" s="51" t="b">
        <v>0</v>
      </c>
      <c r="CH34" s="51" t="b">
        <v>0</v>
      </c>
      <c r="CI34" s="103"/>
      <c r="CJ34" s="102"/>
      <c r="CK34" s="51"/>
      <c r="CL34" s="51" t="b">
        <v>0</v>
      </c>
      <c r="CM34" s="51" t="b">
        <v>0</v>
      </c>
      <c r="CN34" s="51" t="b">
        <v>0</v>
      </c>
      <c r="CO34" s="51" t="b">
        <v>0</v>
      </c>
      <c r="CP34" s="20"/>
      <c r="CQ34" s="21"/>
      <c r="CR34" s="51"/>
      <c r="CS34" s="51" t="b">
        <v>0</v>
      </c>
      <c r="CT34" s="51" t="b">
        <v>0</v>
      </c>
      <c r="CU34" s="51" t="b">
        <v>0</v>
      </c>
      <c r="CV34" s="51" t="b">
        <v>0</v>
      </c>
      <c r="CW34" s="20"/>
      <c r="CX34" s="21"/>
      <c r="CY34" s="51"/>
      <c r="CZ34" s="51" t="b">
        <v>0</v>
      </c>
      <c r="DA34" s="51" t="b">
        <v>0</v>
      </c>
      <c r="DB34" s="51" t="b">
        <v>0</v>
      </c>
      <c r="DC34" s="51" t="b">
        <v>0</v>
      </c>
      <c r="DD34" s="103"/>
      <c r="DE34" s="102"/>
      <c r="DF34" s="51"/>
      <c r="DG34" s="51" t="b">
        <v>0</v>
      </c>
      <c r="DH34" s="51" t="b">
        <v>0</v>
      </c>
      <c r="DI34" s="51" t="b">
        <v>0</v>
      </c>
      <c r="DJ34" s="51" t="b">
        <v>0</v>
      </c>
      <c r="DK34" s="20"/>
      <c r="DL34" s="21"/>
      <c r="DM34" s="51"/>
      <c r="DN34" s="51" t="b">
        <v>0</v>
      </c>
      <c r="DO34" s="51" t="b">
        <v>0</v>
      </c>
      <c r="DP34" s="51" t="b">
        <v>0</v>
      </c>
      <c r="DQ34" s="51" t="b">
        <v>0</v>
      </c>
      <c r="DR34" s="20"/>
      <c r="DS34" s="21"/>
      <c r="DT34" s="51"/>
      <c r="DU34" s="51" t="b">
        <v>0</v>
      </c>
      <c r="DV34" s="51" t="b">
        <v>0</v>
      </c>
      <c r="DW34" s="51" t="b">
        <v>0</v>
      </c>
      <c r="DX34" s="51" t="b">
        <v>0</v>
      </c>
      <c r="DY34" s="103"/>
      <c r="DZ34" s="102"/>
      <c r="EA34" s="51"/>
      <c r="EB34" s="51" t="b">
        <v>0</v>
      </c>
      <c r="EC34" s="51" t="b">
        <v>0</v>
      </c>
      <c r="ED34" s="51" t="b">
        <v>0</v>
      </c>
      <c r="EE34" s="51" t="b">
        <v>0</v>
      </c>
      <c r="EF34" s="20"/>
      <c r="EG34" s="21"/>
      <c r="EH34" s="51"/>
      <c r="EI34" s="51" t="b">
        <v>0</v>
      </c>
      <c r="EJ34" s="51" t="b">
        <v>0</v>
      </c>
      <c r="EK34" s="51" t="b">
        <v>0</v>
      </c>
      <c r="EL34" s="51" t="b">
        <v>0</v>
      </c>
      <c r="EM34" s="20"/>
      <c r="EN34" s="21"/>
      <c r="EO34" s="51"/>
      <c r="EP34" s="51" t="b">
        <v>0</v>
      </c>
      <c r="EQ34" s="51" t="b">
        <v>0</v>
      </c>
      <c r="ER34" s="51" t="b">
        <v>0</v>
      </c>
      <c r="ES34" s="51" t="b">
        <v>0</v>
      </c>
      <c r="ET34" s="103"/>
      <c r="EU34" s="102"/>
      <c r="EV34" s="51"/>
      <c r="EW34" s="51" t="b">
        <v>0</v>
      </c>
      <c r="EX34" s="51" t="b">
        <v>0</v>
      </c>
      <c r="EY34" s="51" t="b">
        <v>0</v>
      </c>
      <c r="EZ34" s="51" t="b">
        <v>0</v>
      </c>
      <c r="FA34" s="20"/>
      <c r="FB34" s="21"/>
      <c r="FC34" s="51"/>
      <c r="FD34" s="51" t="b">
        <v>0</v>
      </c>
      <c r="FE34" s="51" t="b">
        <v>0</v>
      </c>
      <c r="FF34" s="51" t="b">
        <v>0</v>
      </c>
      <c r="FG34" s="51" t="b">
        <v>0</v>
      </c>
      <c r="FH34" s="20"/>
      <c r="FI34" s="21"/>
      <c r="FJ34" s="51"/>
      <c r="FK34" s="51" t="b">
        <v>0</v>
      </c>
      <c r="FL34" s="51" t="b">
        <v>0</v>
      </c>
      <c r="FM34" s="51" t="b">
        <v>0</v>
      </c>
      <c r="FN34" s="51" t="b">
        <v>0</v>
      </c>
      <c r="FO34" s="103"/>
      <c r="FP34" s="102"/>
      <c r="FQ34" s="51"/>
      <c r="FR34" s="51" t="b">
        <v>0</v>
      </c>
      <c r="FS34" s="51" t="b">
        <v>0</v>
      </c>
      <c r="FT34" s="51" t="b">
        <v>0</v>
      </c>
      <c r="FU34" s="51" t="b">
        <v>0</v>
      </c>
      <c r="FV34" s="20"/>
      <c r="FW34" s="21"/>
      <c r="FX34" s="51"/>
      <c r="FY34" s="51" t="b">
        <v>0</v>
      </c>
      <c r="FZ34" s="51" t="b">
        <v>0</v>
      </c>
      <c r="GA34" s="51" t="b">
        <v>0</v>
      </c>
      <c r="GB34" s="51" t="b">
        <v>0</v>
      </c>
      <c r="GC34" s="20"/>
      <c r="GD34" s="21"/>
      <c r="GE34" s="51"/>
      <c r="GF34" s="51" t="b">
        <v>0</v>
      </c>
      <c r="GG34" s="51" t="b">
        <v>0</v>
      </c>
      <c r="GH34" s="51" t="b">
        <v>0</v>
      </c>
      <c r="GI34" s="51" t="b">
        <v>0</v>
      </c>
      <c r="GJ34" s="103"/>
      <c r="GK34" s="102"/>
      <c r="GL34" s="51"/>
      <c r="GM34" s="51" t="b">
        <v>0</v>
      </c>
      <c r="GN34" s="51" t="b">
        <v>0</v>
      </c>
      <c r="GO34" s="51" t="b">
        <v>0</v>
      </c>
      <c r="GP34" s="51" t="b">
        <v>0</v>
      </c>
      <c r="GQ34" s="20"/>
      <c r="GR34" s="21"/>
      <c r="GS34" s="51"/>
      <c r="GT34" s="51" t="b">
        <v>0</v>
      </c>
      <c r="GU34" s="51" t="b">
        <v>0</v>
      </c>
      <c r="GV34" s="51" t="b">
        <v>0</v>
      </c>
      <c r="GW34" s="51" t="b">
        <v>0</v>
      </c>
      <c r="GX34" s="20"/>
      <c r="GY34" s="21"/>
      <c r="GZ34" s="51"/>
      <c r="HA34" s="51" t="b">
        <v>0</v>
      </c>
      <c r="HB34" s="51" t="b">
        <v>0</v>
      </c>
      <c r="HC34" s="51" t="b">
        <v>0</v>
      </c>
      <c r="HD34" s="51" t="b">
        <v>0</v>
      </c>
      <c r="HE34" s="103"/>
      <c r="HF34" s="102"/>
      <c r="HG34" s="51"/>
      <c r="HH34" s="51" t="b">
        <v>0</v>
      </c>
      <c r="HI34" s="51" t="b">
        <v>0</v>
      </c>
      <c r="HJ34" s="51" t="b">
        <v>0</v>
      </c>
      <c r="HK34" s="51" t="b">
        <v>0</v>
      </c>
      <c r="HL34" s="20"/>
      <c r="HM34" s="21"/>
      <c r="HN34" s="51"/>
      <c r="HO34" s="51" t="b">
        <v>0</v>
      </c>
      <c r="HP34" s="51" t="b">
        <v>0</v>
      </c>
      <c r="HQ34" s="51" t="b">
        <v>0</v>
      </c>
      <c r="HR34" s="51" t="b">
        <v>0</v>
      </c>
      <c r="HS34" s="20"/>
      <c r="HT34" s="21"/>
      <c r="HU34" s="51"/>
      <c r="HV34" s="51" t="b">
        <v>0</v>
      </c>
      <c r="HW34" s="51" t="b">
        <v>0</v>
      </c>
      <c r="HX34" s="51" t="b">
        <v>0</v>
      </c>
      <c r="HY34" s="51" t="b">
        <v>0</v>
      </c>
      <c r="HZ34" s="103"/>
      <c r="IA34" s="102"/>
      <c r="IB34" s="51"/>
      <c r="IC34" s="51" t="b">
        <v>0</v>
      </c>
      <c r="ID34" s="51" t="b">
        <v>0</v>
      </c>
      <c r="IE34" s="51" t="b">
        <v>0</v>
      </c>
      <c r="IF34" s="51" t="b">
        <v>0</v>
      </c>
      <c r="IG34" s="20"/>
      <c r="IH34" s="21"/>
      <c r="II34" s="51"/>
      <c r="IJ34" s="51" t="b">
        <v>0</v>
      </c>
      <c r="IK34" s="51" t="b">
        <v>0</v>
      </c>
      <c r="IL34" s="51" t="b">
        <v>0</v>
      </c>
      <c r="IM34" s="51" t="b">
        <v>0</v>
      </c>
      <c r="IN34" s="20"/>
      <c r="IO34" s="21"/>
      <c r="IP34" s="51"/>
      <c r="IQ34" s="51" t="b">
        <v>0</v>
      </c>
      <c r="IR34" s="51" t="b">
        <v>0</v>
      </c>
      <c r="IS34" s="51" t="b">
        <v>0</v>
      </c>
      <c r="IT34" s="51" t="b">
        <v>0</v>
      </c>
      <c r="IU34" s="103"/>
      <c r="IV34" s="112"/>
    </row>
    <row r="35" spans="1:256" x14ac:dyDescent="0.2">
      <c r="C35">
        <v>26</v>
      </c>
      <c r="D35" s="102"/>
      <c r="E35" s="51"/>
      <c r="F35" s="51" t="b">
        <v>0</v>
      </c>
      <c r="G35" s="51" t="b">
        <v>0</v>
      </c>
      <c r="H35" s="51" t="b">
        <v>0</v>
      </c>
      <c r="I35" s="51" t="b">
        <v>0</v>
      </c>
      <c r="J35" s="20"/>
      <c r="K35" s="21"/>
      <c r="L35" s="51"/>
      <c r="M35" s="51" t="b">
        <v>0</v>
      </c>
      <c r="N35" s="51" t="b">
        <v>0</v>
      </c>
      <c r="O35" s="51" t="b">
        <v>0</v>
      </c>
      <c r="P35" s="51" t="b">
        <v>0</v>
      </c>
      <c r="Q35" s="20"/>
      <c r="R35" s="21"/>
      <c r="S35" s="51"/>
      <c r="T35" s="51" t="b">
        <v>0</v>
      </c>
      <c r="U35" s="51" t="b">
        <v>0</v>
      </c>
      <c r="V35" s="51" t="b">
        <v>0</v>
      </c>
      <c r="W35" s="51" t="b">
        <v>0</v>
      </c>
      <c r="X35" s="103"/>
      <c r="Y35" s="102"/>
      <c r="Z35" s="51"/>
      <c r="AA35" s="51" t="b">
        <v>0</v>
      </c>
      <c r="AB35" s="51" t="b">
        <v>0</v>
      </c>
      <c r="AC35" s="51" t="b">
        <v>0</v>
      </c>
      <c r="AD35" s="51" t="b">
        <v>0</v>
      </c>
      <c r="AE35" s="20"/>
      <c r="AF35" s="21"/>
      <c r="AG35" s="51"/>
      <c r="AH35" s="51" t="b">
        <v>0</v>
      </c>
      <c r="AI35" s="51" t="b">
        <v>0</v>
      </c>
      <c r="AJ35" s="51" t="b">
        <v>0</v>
      </c>
      <c r="AK35" s="51" t="b">
        <v>0</v>
      </c>
      <c r="AL35" s="20"/>
      <c r="AM35" s="21"/>
      <c r="AN35" s="51"/>
      <c r="AO35" s="51" t="b">
        <v>0</v>
      </c>
      <c r="AP35" s="51" t="b">
        <v>0</v>
      </c>
      <c r="AQ35" s="51" t="b">
        <v>0</v>
      </c>
      <c r="AR35" s="51" t="b">
        <v>0</v>
      </c>
      <c r="AS35" s="103"/>
      <c r="AT35" s="102"/>
      <c r="AU35" s="51"/>
      <c r="AV35" s="51" t="b">
        <v>0</v>
      </c>
      <c r="AW35" s="51" t="b">
        <v>0</v>
      </c>
      <c r="AX35" s="51" t="b">
        <v>0</v>
      </c>
      <c r="AY35" s="51" t="b">
        <v>0</v>
      </c>
      <c r="AZ35" s="20"/>
      <c r="BA35" s="21"/>
      <c r="BB35" s="51"/>
      <c r="BC35" s="51" t="b">
        <v>0</v>
      </c>
      <c r="BD35" s="51" t="b">
        <v>0</v>
      </c>
      <c r="BE35" s="51" t="b">
        <v>0</v>
      </c>
      <c r="BF35" s="51" t="b">
        <v>0</v>
      </c>
      <c r="BG35" s="20"/>
      <c r="BH35" s="21"/>
      <c r="BI35" s="51"/>
      <c r="BJ35" s="51" t="b">
        <v>0</v>
      </c>
      <c r="BK35" s="51" t="b">
        <v>0</v>
      </c>
      <c r="BL35" s="51" t="b">
        <v>0</v>
      </c>
      <c r="BM35" s="51" t="b">
        <v>0</v>
      </c>
      <c r="BN35" s="103"/>
      <c r="BO35" s="102"/>
      <c r="BP35" s="51"/>
      <c r="BQ35" s="51" t="b">
        <v>0</v>
      </c>
      <c r="BR35" s="51" t="b">
        <v>0</v>
      </c>
      <c r="BS35" s="51" t="b">
        <v>0</v>
      </c>
      <c r="BT35" s="51" t="b">
        <v>0</v>
      </c>
      <c r="BU35" s="20"/>
      <c r="BV35" s="21"/>
      <c r="BW35" s="51"/>
      <c r="BX35" s="51" t="b">
        <v>0</v>
      </c>
      <c r="BY35" s="51" t="b">
        <v>0</v>
      </c>
      <c r="BZ35" s="51" t="b">
        <v>0</v>
      </c>
      <c r="CA35" s="51" t="b">
        <v>0</v>
      </c>
      <c r="CB35" s="20"/>
      <c r="CC35" s="21"/>
      <c r="CD35" s="51"/>
      <c r="CE35" s="51" t="b">
        <v>0</v>
      </c>
      <c r="CF35" s="51" t="b">
        <v>0</v>
      </c>
      <c r="CG35" s="51" t="b">
        <v>0</v>
      </c>
      <c r="CH35" s="51" t="b">
        <v>0</v>
      </c>
      <c r="CI35" s="103"/>
      <c r="CJ35" s="102"/>
      <c r="CK35" s="51"/>
      <c r="CL35" s="51" t="b">
        <v>0</v>
      </c>
      <c r="CM35" s="51" t="b">
        <v>0</v>
      </c>
      <c r="CN35" s="51" t="b">
        <v>0</v>
      </c>
      <c r="CO35" s="51" t="b">
        <v>0</v>
      </c>
      <c r="CP35" s="20"/>
      <c r="CQ35" s="21"/>
      <c r="CR35" s="51"/>
      <c r="CS35" s="51" t="b">
        <v>0</v>
      </c>
      <c r="CT35" s="51" t="b">
        <v>0</v>
      </c>
      <c r="CU35" s="51" t="b">
        <v>0</v>
      </c>
      <c r="CV35" s="51" t="b">
        <v>0</v>
      </c>
      <c r="CW35" s="20"/>
      <c r="CX35" s="21"/>
      <c r="CY35" s="51"/>
      <c r="CZ35" s="51" t="b">
        <v>0</v>
      </c>
      <c r="DA35" s="51" t="b">
        <v>0</v>
      </c>
      <c r="DB35" s="51" t="b">
        <v>0</v>
      </c>
      <c r="DC35" s="51" t="b">
        <v>0</v>
      </c>
      <c r="DD35" s="103"/>
      <c r="DE35" s="102"/>
      <c r="DF35" s="51"/>
      <c r="DG35" s="51" t="b">
        <v>0</v>
      </c>
      <c r="DH35" s="51" t="b">
        <v>0</v>
      </c>
      <c r="DI35" s="51" t="b">
        <v>0</v>
      </c>
      <c r="DJ35" s="51" t="b">
        <v>0</v>
      </c>
      <c r="DK35" s="20"/>
      <c r="DL35" s="21"/>
      <c r="DM35" s="51"/>
      <c r="DN35" s="51" t="b">
        <v>0</v>
      </c>
      <c r="DO35" s="51" t="b">
        <v>0</v>
      </c>
      <c r="DP35" s="51" t="b">
        <v>0</v>
      </c>
      <c r="DQ35" s="51" t="b">
        <v>0</v>
      </c>
      <c r="DR35" s="20"/>
      <c r="DS35" s="21"/>
      <c r="DT35" s="51"/>
      <c r="DU35" s="51" t="b">
        <v>0</v>
      </c>
      <c r="DV35" s="51" t="b">
        <v>0</v>
      </c>
      <c r="DW35" s="51" t="b">
        <v>0</v>
      </c>
      <c r="DX35" s="51" t="b">
        <v>0</v>
      </c>
      <c r="DY35" s="103"/>
      <c r="DZ35" s="102"/>
      <c r="EA35" s="51"/>
      <c r="EB35" s="51" t="b">
        <v>0</v>
      </c>
      <c r="EC35" s="51" t="b">
        <v>0</v>
      </c>
      <c r="ED35" s="51" t="b">
        <v>0</v>
      </c>
      <c r="EE35" s="51" t="b">
        <v>0</v>
      </c>
      <c r="EF35" s="20"/>
      <c r="EG35" s="21"/>
      <c r="EH35" s="51"/>
      <c r="EI35" s="51" t="b">
        <v>0</v>
      </c>
      <c r="EJ35" s="51" t="b">
        <v>0</v>
      </c>
      <c r="EK35" s="51" t="b">
        <v>0</v>
      </c>
      <c r="EL35" s="51" t="b">
        <v>0</v>
      </c>
      <c r="EM35" s="20"/>
      <c r="EN35" s="21"/>
      <c r="EO35" s="51"/>
      <c r="EP35" s="51" t="b">
        <v>0</v>
      </c>
      <c r="EQ35" s="51" t="b">
        <v>0</v>
      </c>
      <c r="ER35" s="51" t="b">
        <v>0</v>
      </c>
      <c r="ES35" s="51" t="b">
        <v>0</v>
      </c>
      <c r="ET35" s="103"/>
      <c r="EU35" s="102"/>
      <c r="EV35" s="51"/>
      <c r="EW35" s="51" t="b">
        <v>0</v>
      </c>
      <c r="EX35" s="51" t="b">
        <v>0</v>
      </c>
      <c r="EY35" s="51" t="b">
        <v>0</v>
      </c>
      <c r="EZ35" s="51" t="b">
        <v>0</v>
      </c>
      <c r="FA35" s="20"/>
      <c r="FB35" s="21"/>
      <c r="FC35" s="51"/>
      <c r="FD35" s="51" t="b">
        <v>0</v>
      </c>
      <c r="FE35" s="51" t="b">
        <v>0</v>
      </c>
      <c r="FF35" s="51" t="b">
        <v>0</v>
      </c>
      <c r="FG35" s="51" t="b">
        <v>0</v>
      </c>
      <c r="FH35" s="20"/>
      <c r="FI35" s="21"/>
      <c r="FJ35" s="51"/>
      <c r="FK35" s="51" t="b">
        <v>0</v>
      </c>
      <c r="FL35" s="51" t="b">
        <v>0</v>
      </c>
      <c r="FM35" s="51" t="b">
        <v>0</v>
      </c>
      <c r="FN35" s="51" t="b">
        <v>0</v>
      </c>
      <c r="FO35" s="103"/>
      <c r="FP35" s="102"/>
      <c r="FQ35" s="51"/>
      <c r="FR35" s="51" t="b">
        <v>0</v>
      </c>
      <c r="FS35" s="51" t="b">
        <v>0</v>
      </c>
      <c r="FT35" s="51" t="b">
        <v>0</v>
      </c>
      <c r="FU35" s="51" t="b">
        <v>0</v>
      </c>
      <c r="FV35" s="20"/>
      <c r="FW35" s="21"/>
      <c r="FX35" s="51"/>
      <c r="FY35" s="51" t="b">
        <v>0</v>
      </c>
      <c r="FZ35" s="51" t="b">
        <v>0</v>
      </c>
      <c r="GA35" s="51" t="b">
        <v>0</v>
      </c>
      <c r="GB35" s="51" t="b">
        <v>0</v>
      </c>
      <c r="GC35" s="20"/>
      <c r="GD35" s="21"/>
      <c r="GE35" s="51"/>
      <c r="GF35" s="51" t="b">
        <v>0</v>
      </c>
      <c r="GG35" s="51" t="b">
        <v>0</v>
      </c>
      <c r="GH35" s="51" t="b">
        <v>0</v>
      </c>
      <c r="GI35" s="51" t="b">
        <v>0</v>
      </c>
      <c r="GJ35" s="103"/>
      <c r="GK35" s="102"/>
      <c r="GL35" s="51"/>
      <c r="GM35" s="51" t="b">
        <v>0</v>
      </c>
      <c r="GN35" s="51" t="b">
        <v>0</v>
      </c>
      <c r="GO35" s="51" t="b">
        <v>0</v>
      </c>
      <c r="GP35" s="51" t="b">
        <v>0</v>
      </c>
      <c r="GQ35" s="20"/>
      <c r="GR35" s="21"/>
      <c r="GS35" s="51"/>
      <c r="GT35" s="51" t="b">
        <v>0</v>
      </c>
      <c r="GU35" s="51" t="b">
        <v>0</v>
      </c>
      <c r="GV35" s="51" t="b">
        <v>0</v>
      </c>
      <c r="GW35" s="51" t="b">
        <v>0</v>
      </c>
      <c r="GX35" s="20"/>
      <c r="GY35" s="21"/>
      <c r="GZ35" s="51"/>
      <c r="HA35" s="51" t="b">
        <v>0</v>
      </c>
      <c r="HB35" s="51" t="b">
        <v>0</v>
      </c>
      <c r="HC35" s="51" t="b">
        <v>0</v>
      </c>
      <c r="HD35" s="51" t="b">
        <v>0</v>
      </c>
      <c r="HE35" s="103"/>
      <c r="HF35" s="102"/>
      <c r="HG35" s="51"/>
      <c r="HH35" s="51" t="b">
        <v>0</v>
      </c>
      <c r="HI35" s="51" t="b">
        <v>0</v>
      </c>
      <c r="HJ35" s="51" t="b">
        <v>0</v>
      </c>
      <c r="HK35" s="51" t="b">
        <v>0</v>
      </c>
      <c r="HL35" s="20"/>
      <c r="HM35" s="21"/>
      <c r="HN35" s="51"/>
      <c r="HO35" s="51" t="b">
        <v>0</v>
      </c>
      <c r="HP35" s="51" t="b">
        <v>0</v>
      </c>
      <c r="HQ35" s="51" t="b">
        <v>0</v>
      </c>
      <c r="HR35" s="51" t="b">
        <v>0</v>
      </c>
      <c r="HS35" s="20"/>
      <c r="HT35" s="21"/>
      <c r="HU35" s="51"/>
      <c r="HV35" s="51" t="b">
        <v>0</v>
      </c>
      <c r="HW35" s="51" t="b">
        <v>0</v>
      </c>
      <c r="HX35" s="51" t="b">
        <v>0</v>
      </c>
      <c r="HY35" s="51" t="b">
        <v>0</v>
      </c>
      <c r="HZ35" s="103"/>
      <c r="IA35" s="102"/>
      <c r="IB35" s="51"/>
      <c r="IC35" s="51" t="b">
        <v>0</v>
      </c>
      <c r="ID35" s="51" t="b">
        <v>0</v>
      </c>
      <c r="IE35" s="51" t="b">
        <v>0</v>
      </c>
      <c r="IF35" s="51" t="b">
        <v>0</v>
      </c>
      <c r="IG35" s="20"/>
      <c r="IH35" s="21"/>
      <c r="II35" s="51"/>
      <c r="IJ35" s="51" t="b">
        <v>0</v>
      </c>
      <c r="IK35" s="51" t="b">
        <v>0</v>
      </c>
      <c r="IL35" s="51" t="b">
        <v>0</v>
      </c>
      <c r="IM35" s="51" t="b">
        <v>0</v>
      </c>
      <c r="IN35" s="20"/>
      <c r="IO35" s="21"/>
      <c r="IP35" s="51"/>
      <c r="IQ35" s="51" t="b">
        <v>0</v>
      </c>
      <c r="IR35" s="51" t="b">
        <v>0</v>
      </c>
      <c r="IS35" s="51" t="b">
        <v>0</v>
      </c>
      <c r="IT35" s="51" t="b">
        <v>0</v>
      </c>
      <c r="IU35" s="103"/>
      <c r="IV35" s="112"/>
    </row>
    <row r="36" spans="1:256" x14ac:dyDescent="0.2">
      <c r="C36">
        <v>27</v>
      </c>
      <c r="D36" s="102"/>
      <c r="E36" s="51"/>
      <c r="F36" s="51" t="b">
        <v>0</v>
      </c>
      <c r="G36" s="51" t="b">
        <v>0</v>
      </c>
      <c r="H36" s="51" t="b">
        <v>0</v>
      </c>
      <c r="I36" s="51" t="b">
        <v>0</v>
      </c>
      <c r="J36" s="20"/>
      <c r="K36" s="21"/>
      <c r="L36" s="51"/>
      <c r="M36" s="51" t="b">
        <v>0</v>
      </c>
      <c r="N36" s="51" t="b">
        <v>0</v>
      </c>
      <c r="O36" s="51" t="b">
        <v>0</v>
      </c>
      <c r="P36" s="51" t="b">
        <v>0</v>
      </c>
      <c r="Q36" s="20"/>
      <c r="R36" s="21"/>
      <c r="S36" s="51"/>
      <c r="T36" s="51" t="b">
        <v>0</v>
      </c>
      <c r="U36" s="51" t="b">
        <v>0</v>
      </c>
      <c r="V36" s="51" t="b">
        <v>0</v>
      </c>
      <c r="W36" s="51" t="b">
        <v>0</v>
      </c>
      <c r="X36" s="103"/>
      <c r="Y36" s="102"/>
      <c r="Z36" s="51"/>
      <c r="AA36" s="51" t="b">
        <v>0</v>
      </c>
      <c r="AB36" s="51" t="b">
        <v>0</v>
      </c>
      <c r="AC36" s="51" t="b">
        <v>0</v>
      </c>
      <c r="AD36" s="51" t="b">
        <v>0</v>
      </c>
      <c r="AE36" s="20"/>
      <c r="AF36" s="21"/>
      <c r="AG36" s="51"/>
      <c r="AH36" s="51" t="b">
        <v>0</v>
      </c>
      <c r="AI36" s="51" t="b">
        <v>0</v>
      </c>
      <c r="AJ36" s="51" t="b">
        <v>0</v>
      </c>
      <c r="AK36" s="51" t="b">
        <v>0</v>
      </c>
      <c r="AL36" s="20"/>
      <c r="AM36" s="21"/>
      <c r="AN36" s="51"/>
      <c r="AO36" s="51" t="b">
        <v>0</v>
      </c>
      <c r="AP36" s="51" t="b">
        <v>0</v>
      </c>
      <c r="AQ36" s="51" t="b">
        <v>0</v>
      </c>
      <c r="AR36" s="51" t="b">
        <v>0</v>
      </c>
      <c r="AS36" s="103"/>
      <c r="AT36" s="102"/>
      <c r="AU36" s="51"/>
      <c r="AV36" s="51" t="b">
        <v>0</v>
      </c>
      <c r="AW36" s="51" t="b">
        <v>0</v>
      </c>
      <c r="AX36" s="51" t="b">
        <v>0</v>
      </c>
      <c r="AY36" s="51" t="b">
        <v>0</v>
      </c>
      <c r="AZ36" s="20"/>
      <c r="BA36" s="21"/>
      <c r="BB36" s="51"/>
      <c r="BC36" s="51" t="b">
        <v>0</v>
      </c>
      <c r="BD36" s="51" t="b">
        <v>0</v>
      </c>
      <c r="BE36" s="51" t="b">
        <v>0</v>
      </c>
      <c r="BF36" s="51" t="b">
        <v>0</v>
      </c>
      <c r="BG36" s="20"/>
      <c r="BH36" s="21"/>
      <c r="BI36" s="51"/>
      <c r="BJ36" s="51" t="b">
        <v>0</v>
      </c>
      <c r="BK36" s="51" t="b">
        <v>0</v>
      </c>
      <c r="BL36" s="51" t="b">
        <v>0</v>
      </c>
      <c r="BM36" s="51" t="b">
        <v>0</v>
      </c>
      <c r="BN36" s="103"/>
      <c r="BO36" s="102"/>
      <c r="BP36" s="51"/>
      <c r="BQ36" s="51" t="b">
        <v>0</v>
      </c>
      <c r="BR36" s="51" t="b">
        <v>0</v>
      </c>
      <c r="BS36" s="51" t="b">
        <v>0</v>
      </c>
      <c r="BT36" s="51" t="b">
        <v>0</v>
      </c>
      <c r="BU36" s="20"/>
      <c r="BV36" s="21"/>
      <c r="BW36" s="51"/>
      <c r="BX36" s="51" t="b">
        <v>0</v>
      </c>
      <c r="BY36" s="51" t="b">
        <v>0</v>
      </c>
      <c r="BZ36" s="51" t="b">
        <v>0</v>
      </c>
      <c r="CA36" s="51" t="b">
        <v>0</v>
      </c>
      <c r="CB36" s="20"/>
      <c r="CC36" s="21"/>
      <c r="CD36" s="51"/>
      <c r="CE36" s="51" t="b">
        <v>0</v>
      </c>
      <c r="CF36" s="51" t="b">
        <v>0</v>
      </c>
      <c r="CG36" s="51" t="b">
        <v>0</v>
      </c>
      <c r="CH36" s="51" t="b">
        <v>0</v>
      </c>
      <c r="CI36" s="103"/>
      <c r="CJ36" s="102"/>
      <c r="CK36" s="51"/>
      <c r="CL36" s="51" t="b">
        <v>0</v>
      </c>
      <c r="CM36" s="51" t="b">
        <v>0</v>
      </c>
      <c r="CN36" s="51" t="b">
        <v>0</v>
      </c>
      <c r="CO36" s="51" t="b">
        <v>0</v>
      </c>
      <c r="CP36" s="20"/>
      <c r="CQ36" s="21"/>
      <c r="CR36" s="51"/>
      <c r="CS36" s="51" t="b">
        <v>0</v>
      </c>
      <c r="CT36" s="51" t="b">
        <v>0</v>
      </c>
      <c r="CU36" s="51" t="b">
        <v>0</v>
      </c>
      <c r="CV36" s="51" t="b">
        <v>0</v>
      </c>
      <c r="CW36" s="20"/>
      <c r="CX36" s="21"/>
      <c r="CY36" s="51"/>
      <c r="CZ36" s="51" t="b">
        <v>0</v>
      </c>
      <c r="DA36" s="51" t="b">
        <v>0</v>
      </c>
      <c r="DB36" s="51" t="b">
        <v>0</v>
      </c>
      <c r="DC36" s="51" t="b">
        <v>0</v>
      </c>
      <c r="DD36" s="103"/>
      <c r="DE36" s="102"/>
      <c r="DF36" s="51"/>
      <c r="DG36" s="51" t="b">
        <v>0</v>
      </c>
      <c r="DH36" s="51" t="b">
        <v>0</v>
      </c>
      <c r="DI36" s="51" t="b">
        <v>0</v>
      </c>
      <c r="DJ36" s="51" t="b">
        <v>0</v>
      </c>
      <c r="DK36" s="20"/>
      <c r="DL36" s="21"/>
      <c r="DM36" s="51"/>
      <c r="DN36" s="51" t="b">
        <v>0</v>
      </c>
      <c r="DO36" s="51" t="b">
        <v>0</v>
      </c>
      <c r="DP36" s="51" t="b">
        <v>0</v>
      </c>
      <c r="DQ36" s="51" t="b">
        <v>0</v>
      </c>
      <c r="DR36" s="20"/>
      <c r="DS36" s="21"/>
      <c r="DT36" s="51"/>
      <c r="DU36" s="51" t="b">
        <v>0</v>
      </c>
      <c r="DV36" s="51" t="b">
        <v>0</v>
      </c>
      <c r="DW36" s="51" t="b">
        <v>0</v>
      </c>
      <c r="DX36" s="51" t="b">
        <v>0</v>
      </c>
      <c r="DY36" s="103"/>
      <c r="DZ36" s="102"/>
      <c r="EA36" s="51"/>
      <c r="EB36" s="51" t="b">
        <v>0</v>
      </c>
      <c r="EC36" s="51" t="b">
        <v>0</v>
      </c>
      <c r="ED36" s="51" t="b">
        <v>0</v>
      </c>
      <c r="EE36" s="51" t="b">
        <v>0</v>
      </c>
      <c r="EF36" s="20"/>
      <c r="EG36" s="21"/>
      <c r="EH36" s="51"/>
      <c r="EI36" s="51" t="b">
        <v>0</v>
      </c>
      <c r="EJ36" s="51" t="b">
        <v>0</v>
      </c>
      <c r="EK36" s="51" t="b">
        <v>0</v>
      </c>
      <c r="EL36" s="51" t="b">
        <v>0</v>
      </c>
      <c r="EM36" s="20"/>
      <c r="EN36" s="21"/>
      <c r="EO36" s="51"/>
      <c r="EP36" s="51" t="b">
        <v>0</v>
      </c>
      <c r="EQ36" s="51" t="b">
        <v>0</v>
      </c>
      <c r="ER36" s="51" t="b">
        <v>0</v>
      </c>
      <c r="ES36" s="51" t="b">
        <v>0</v>
      </c>
      <c r="ET36" s="103"/>
      <c r="EU36" s="102"/>
      <c r="EV36" s="51"/>
      <c r="EW36" s="51" t="b">
        <v>0</v>
      </c>
      <c r="EX36" s="51" t="b">
        <v>0</v>
      </c>
      <c r="EY36" s="51" t="b">
        <v>0</v>
      </c>
      <c r="EZ36" s="51" t="b">
        <v>0</v>
      </c>
      <c r="FA36" s="20"/>
      <c r="FB36" s="21"/>
      <c r="FC36" s="51"/>
      <c r="FD36" s="51" t="b">
        <v>0</v>
      </c>
      <c r="FE36" s="51" t="b">
        <v>0</v>
      </c>
      <c r="FF36" s="51" t="b">
        <v>0</v>
      </c>
      <c r="FG36" s="51" t="b">
        <v>0</v>
      </c>
      <c r="FH36" s="20"/>
      <c r="FI36" s="21"/>
      <c r="FJ36" s="51"/>
      <c r="FK36" s="51" t="b">
        <v>0</v>
      </c>
      <c r="FL36" s="51" t="b">
        <v>0</v>
      </c>
      <c r="FM36" s="51" t="b">
        <v>0</v>
      </c>
      <c r="FN36" s="51" t="b">
        <v>0</v>
      </c>
      <c r="FO36" s="103"/>
      <c r="FP36" s="102"/>
      <c r="FQ36" s="51"/>
      <c r="FR36" s="51" t="b">
        <v>0</v>
      </c>
      <c r="FS36" s="51" t="b">
        <v>0</v>
      </c>
      <c r="FT36" s="51" t="b">
        <v>0</v>
      </c>
      <c r="FU36" s="51" t="b">
        <v>0</v>
      </c>
      <c r="FV36" s="20"/>
      <c r="FW36" s="21"/>
      <c r="FX36" s="51"/>
      <c r="FY36" s="51" t="b">
        <v>0</v>
      </c>
      <c r="FZ36" s="51" t="b">
        <v>0</v>
      </c>
      <c r="GA36" s="51" t="b">
        <v>0</v>
      </c>
      <c r="GB36" s="51" t="b">
        <v>0</v>
      </c>
      <c r="GC36" s="20"/>
      <c r="GD36" s="21"/>
      <c r="GE36" s="51"/>
      <c r="GF36" s="51" t="b">
        <v>0</v>
      </c>
      <c r="GG36" s="51" t="b">
        <v>0</v>
      </c>
      <c r="GH36" s="51" t="b">
        <v>0</v>
      </c>
      <c r="GI36" s="51" t="b">
        <v>0</v>
      </c>
      <c r="GJ36" s="103"/>
      <c r="GK36" s="102"/>
      <c r="GL36" s="51"/>
      <c r="GM36" s="51" t="b">
        <v>0</v>
      </c>
      <c r="GN36" s="51" t="b">
        <v>0</v>
      </c>
      <c r="GO36" s="51" t="b">
        <v>0</v>
      </c>
      <c r="GP36" s="51" t="b">
        <v>0</v>
      </c>
      <c r="GQ36" s="20"/>
      <c r="GR36" s="21"/>
      <c r="GS36" s="51"/>
      <c r="GT36" s="51" t="b">
        <v>0</v>
      </c>
      <c r="GU36" s="51" t="b">
        <v>0</v>
      </c>
      <c r="GV36" s="51" t="b">
        <v>0</v>
      </c>
      <c r="GW36" s="51" t="b">
        <v>0</v>
      </c>
      <c r="GX36" s="20"/>
      <c r="GY36" s="21"/>
      <c r="GZ36" s="51"/>
      <c r="HA36" s="51" t="b">
        <v>0</v>
      </c>
      <c r="HB36" s="51" t="b">
        <v>0</v>
      </c>
      <c r="HC36" s="51" t="b">
        <v>0</v>
      </c>
      <c r="HD36" s="51" t="b">
        <v>0</v>
      </c>
      <c r="HE36" s="103"/>
      <c r="HF36" s="102"/>
      <c r="HG36" s="51"/>
      <c r="HH36" s="51" t="b">
        <v>0</v>
      </c>
      <c r="HI36" s="51" t="b">
        <v>0</v>
      </c>
      <c r="HJ36" s="51" t="b">
        <v>0</v>
      </c>
      <c r="HK36" s="51" t="b">
        <v>0</v>
      </c>
      <c r="HL36" s="20"/>
      <c r="HM36" s="21"/>
      <c r="HN36" s="51"/>
      <c r="HO36" s="51" t="b">
        <v>0</v>
      </c>
      <c r="HP36" s="51" t="b">
        <v>0</v>
      </c>
      <c r="HQ36" s="51" t="b">
        <v>0</v>
      </c>
      <c r="HR36" s="51" t="b">
        <v>0</v>
      </c>
      <c r="HS36" s="20"/>
      <c r="HT36" s="21"/>
      <c r="HU36" s="51"/>
      <c r="HV36" s="51" t="b">
        <v>0</v>
      </c>
      <c r="HW36" s="51" t="b">
        <v>0</v>
      </c>
      <c r="HX36" s="51" t="b">
        <v>0</v>
      </c>
      <c r="HY36" s="51" t="b">
        <v>0</v>
      </c>
      <c r="HZ36" s="103"/>
      <c r="IA36" s="102"/>
      <c r="IB36" s="51"/>
      <c r="IC36" s="51" t="b">
        <v>0</v>
      </c>
      <c r="ID36" s="51" t="b">
        <v>0</v>
      </c>
      <c r="IE36" s="51" t="b">
        <v>0</v>
      </c>
      <c r="IF36" s="51" t="b">
        <v>0</v>
      </c>
      <c r="IG36" s="20"/>
      <c r="IH36" s="21"/>
      <c r="II36" s="51"/>
      <c r="IJ36" s="51" t="b">
        <v>0</v>
      </c>
      <c r="IK36" s="51" t="b">
        <v>0</v>
      </c>
      <c r="IL36" s="51" t="b">
        <v>0</v>
      </c>
      <c r="IM36" s="51" t="b">
        <v>0</v>
      </c>
      <c r="IN36" s="20"/>
      <c r="IO36" s="21"/>
      <c r="IP36" s="51"/>
      <c r="IQ36" s="51" t="b">
        <v>0</v>
      </c>
      <c r="IR36" s="51" t="b">
        <v>0</v>
      </c>
      <c r="IS36" s="51" t="b">
        <v>0</v>
      </c>
      <c r="IT36" s="51" t="b">
        <v>0</v>
      </c>
      <c r="IU36" s="103"/>
      <c r="IV36" s="112"/>
    </row>
    <row r="37" spans="1:256" x14ac:dyDescent="0.2">
      <c r="C37">
        <v>28</v>
      </c>
      <c r="D37" s="102"/>
      <c r="E37" s="51"/>
      <c r="F37" s="51" t="b">
        <v>0</v>
      </c>
      <c r="G37" s="51" t="b">
        <v>0</v>
      </c>
      <c r="H37" s="51" t="b">
        <v>0</v>
      </c>
      <c r="I37" s="51" t="b">
        <v>0</v>
      </c>
      <c r="J37" s="20"/>
      <c r="K37" s="21"/>
      <c r="L37" s="51"/>
      <c r="M37" s="51" t="b">
        <v>0</v>
      </c>
      <c r="N37" s="51" t="b">
        <v>0</v>
      </c>
      <c r="O37" s="51" t="b">
        <v>0</v>
      </c>
      <c r="P37" s="51" t="b">
        <v>0</v>
      </c>
      <c r="Q37" s="20"/>
      <c r="R37" s="21"/>
      <c r="S37" s="51"/>
      <c r="T37" s="51" t="b">
        <v>0</v>
      </c>
      <c r="U37" s="51" t="b">
        <v>0</v>
      </c>
      <c r="V37" s="51" t="b">
        <v>0</v>
      </c>
      <c r="W37" s="51" t="b">
        <v>0</v>
      </c>
      <c r="X37" s="103"/>
      <c r="Y37" s="102"/>
      <c r="Z37" s="51"/>
      <c r="AA37" s="51" t="b">
        <v>0</v>
      </c>
      <c r="AB37" s="51" t="b">
        <v>0</v>
      </c>
      <c r="AC37" s="51" t="b">
        <v>0</v>
      </c>
      <c r="AD37" s="51" t="b">
        <v>0</v>
      </c>
      <c r="AE37" s="20"/>
      <c r="AF37" s="21"/>
      <c r="AG37" s="51"/>
      <c r="AH37" s="51" t="b">
        <v>0</v>
      </c>
      <c r="AI37" s="51" t="b">
        <v>0</v>
      </c>
      <c r="AJ37" s="51" t="b">
        <v>0</v>
      </c>
      <c r="AK37" s="51" t="b">
        <v>0</v>
      </c>
      <c r="AL37" s="20"/>
      <c r="AM37" s="21"/>
      <c r="AN37" s="51"/>
      <c r="AO37" s="51" t="b">
        <v>0</v>
      </c>
      <c r="AP37" s="51" t="b">
        <v>0</v>
      </c>
      <c r="AQ37" s="51" t="b">
        <v>0</v>
      </c>
      <c r="AR37" s="51" t="b">
        <v>0</v>
      </c>
      <c r="AS37" s="103"/>
      <c r="AT37" s="102"/>
      <c r="AU37" s="51"/>
      <c r="AV37" s="51" t="b">
        <v>0</v>
      </c>
      <c r="AW37" s="51" t="b">
        <v>0</v>
      </c>
      <c r="AX37" s="51" t="b">
        <v>0</v>
      </c>
      <c r="AY37" s="51" t="b">
        <v>0</v>
      </c>
      <c r="AZ37" s="20"/>
      <c r="BA37" s="21"/>
      <c r="BB37" s="51"/>
      <c r="BC37" s="51" t="b">
        <v>0</v>
      </c>
      <c r="BD37" s="51" t="b">
        <v>0</v>
      </c>
      <c r="BE37" s="51" t="b">
        <v>0</v>
      </c>
      <c r="BF37" s="51" t="b">
        <v>0</v>
      </c>
      <c r="BG37" s="20"/>
      <c r="BH37" s="21"/>
      <c r="BI37" s="51"/>
      <c r="BJ37" s="51" t="b">
        <v>0</v>
      </c>
      <c r="BK37" s="51" t="b">
        <v>0</v>
      </c>
      <c r="BL37" s="51" t="b">
        <v>0</v>
      </c>
      <c r="BM37" s="51" t="b">
        <v>0</v>
      </c>
      <c r="BN37" s="103"/>
      <c r="BO37" s="102"/>
      <c r="BP37" s="51"/>
      <c r="BQ37" s="51" t="b">
        <v>0</v>
      </c>
      <c r="BR37" s="51" t="b">
        <v>0</v>
      </c>
      <c r="BS37" s="51" t="b">
        <v>0</v>
      </c>
      <c r="BT37" s="51" t="b">
        <v>0</v>
      </c>
      <c r="BU37" s="20"/>
      <c r="BV37" s="21"/>
      <c r="BW37" s="51"/>
      <c r="BX37" s="51" t="b">
        <v>0</v>
      </c>
      <c r="BY37" s="51" t="b">
        <v>0</v>
      </c>
      <c r="BZ37" s="51" t="b">
        <v>0</v>
      </c>
      <c r="CA37" s="51" t="b">
        <v>0</v>
      </c>
      <c r="CB37" s="20"/>
      <c r="CC37" s="21"/>
      <c r="CD37" s="51"/>
      <c r="CE37" s="51" t="b">
        <v>0</v>
      </c>
      <c r="CF37" s="51" t="b">
        <v>0</v>
      </c>
      <c r="CG37" s="51" t="b">
        <v>0</v>
      </c>
      <c r="CH37" s="51" t="b">
        <v>0</v>
      </c>
      <c r="CI37" s="103"/>
      <c r="CJ37" s="102"/>
      <c r="CK37" s="51"/>
      <c r="CL37" s="51" t="b">
        <v>0</v>
      </c>
      <c r="CM37" s="51" t="b">
        <v>0</v>
      </c>
      <c r="CN37" s="51" t="b">
        <v>0</v>
      </c>
      <c r="CO37" s="51" t="b">
        <v>0</v>
      </c>
      <c r="CP37" s="20"/>
      <c r="CQ37" s="21"/>
      <c r="CR37" s="51"/>
      <c r="CS37" s="51" t="b">
        <v>0</v>
      </c>
      <c r="CT37" s="51" t="b">
        <v>0</v>
      </c>
      <c r="CU37" s="51" t="b">
        <v>0</v>
      </c>
      <c r="CV37" s="51" t="b">
        <v>0</v>
      </c>
      <c r="CW37" s="20"/>
      <c r="CX37" s="21"/>
      <c r="CY37" s="51"/>
      <c r="CZ37" s="51" t="b">
        <v>0</v>
      </c>
      <c r="DA37" s="51" t="b">
        <v>0</v>
      </c>
      <c r="DB37" s="51" t="b">
        <v>0</v>
      </c>
      <c r="DC37" s="51" t="b">
        <v>0</v>
      </c>
      <c r="DD37" s="103"/>
      <c r="DE37" s="102"/>
      <c r="DF37" s="51"/>
      <c r="DG37" s="51" t="b">
        <v>0</v>
      </c>
      <c r="DH37" s="51" t="b">
        <v>0</v>
      </c>
      <c r="DI37" s="51" t="b">
        <v>0</v>
      </c>
      <c r="DJ37" s="51" t="b">
        <v>0</v>
      </c>
      <c r="DK37" s="20"/>
      <c r="DL37" s="21"/>
      <c r="DM37" s="51"/>
      <c r="DN37" s="51" t="b">
        <v>0</v>
      </c>
      <c r="DO37" s="51" t="b">
        <v>0</v>
      </c>
      <c r="DP37" s="51" t="b">
        <v>0</v>
      </c>
      <c r="DQ37" s="51" t="b">
        <v>0</v>
      </c>
      <c r="DR37" s="20"/>
      <c r="DS37" s="21"/>
      <c r="DT37" s="51"/>
      <c r="DU37" s="51" t="b">
        <v>0</v>
      </c>
      <c r="DV37" s="51" t="b">
        <v>0</v>
      </c>
      <c r="DW37" s="51" t="b">
        <v>0</v>
      </c>
      <c r="DX37" s="51" t="b">
        <v>0</v>
      </c>
      <c r="DY37" s="103"/>
      <c r="DZ37" s="102"/>
      <c r="EA37" s="51"/>
      <c r="EB37" s="51" t="b">
        <v>0</v>
      </c>
      <c r="EC37" s="51" t="b">
        <v>0</v>
      </c>
      <c r="ED37" s="51" t="b">
        <v>0</v>
      </c>
      <c r="EE37" s="51" t="b">
        <v>0</v>
      </c>
      <c r="EF37" s="20"/>
      <c r="EG37" s="21"/>
      <c r="EH37" s="51"/>
      <c r="EI37" s="51" t="b">
        <v>0</v>
      </c>
      <c r="EJ37" s="51" t="b">
        <v>0</v>
      </c>
      <c r="EK37" s="51" t="b">
        <v>0</v>
      </c>
      <c r="EL37" s="51" t="b">
        <v>0</v>
      </c>
      <c r="EM37" s="20"/>
      <c r="EN37" s="21"/>
      <c r="EO37" s="51"/>
      <c r="EP37" s="51" t="b">
        <v>0</v>
      </c>
      <c r="EQ37" s="51" t="b">
        <v>0</v>
      </c>
      <c r="ER37" s="51" t="b">
        <v>0</v>
      </c>
      <c r="ES37" s="51" t="b">
        <v>0</v>
      </c>
      <c r="ET37" s="103"/>
      <c r="EU37" s="102"/>
      <c r="EV37" s="51"/>
      <c r="EW37" s="51" t="b">
        <v>0</v>
      </c>
      <c r="EX37" s="51" t="b">
        <v>0</v>
      </c>
      <c r="EY37" s="51" t="b">
        <v>0</v>
      </c>
      <c r="EZ37" s="51" t="b">
        <v>0</v>
      </c>
      <c r="FA37" s="20"/>
      <c r="FB37" s="21"/>
      <c r="FC37" s="51"/>
      <c r="FD37" s="51" t="b">
        <v>0</v>
      </c>
      <c r="FE37" s="51" t="b">
        <v>0</v>
      </c>
      <c r="FF37" s="51" t="b">
        <v>0</v>
      </c>
      <c r="FG37" s="51" t="b">
        <v>0</v>
      </c>
      <c r="FH37" s="20"/>
      <c r="FI37" s="21"/>
      <c r="FJ37" s="51"/>
      <c r="FK37" s="51" t="b">
        <v>0</v>
      </c>
      <c r="FL37" s="51" t="b">
        <v>0</v>
      </c>
      <c r="FM37" s="51" t="b">
        <v>0</v>
      </c>
      <c r="FN37" s="51" t="b">
        <v>0</v>
      </c>
      <c r="FO37" s="103"/>
      <c r="FP37" s="102"/>
      <c r="FQ37" s="51"/>
      <c r="FR37" s="51" t="b">
        <v>0</v>
      </c>
      <c r="FS37" s="51" t="b">
        <v>0</v>
      </c>
      <c r="FT37" s="51" t="b">
        <v>0</v>
      </c>
      <c r="FU37" s="51" t="b">
        <v>0</v>
      </c>
      <c r="FV37" s="20"/>
      <c r="FW37" s="21"/>
      <c r="FX37" s="51"/>
      <c r="FY37" s="51" t="b">
        <v>0</v>
      </c>
      <c r="FZ37" s="51" t="b">
        <v>0</v>
      </c>
      <c r="GA37" s="51" t="b">
        <v>0</v>
      </c>
      <c r="GB37" s="51" t="b">
        <v>0</v>
      </c>
      <c r="GC37" s="20"/>
      <c r="GD37" s="21"/>
      <c r="GE37" s="51"/>
      <c r="GF37" s="51" t="b">
        <v>0</v>
      </c>
      <c r="GG37" s="51" t="b">
        <v>0</v>
      </c>
      <c r="GH37" s="51" t="b">
        <v>0</v>
      </c>
      <c r="GI37" s="51" t="b">
        <v>0</v>
      </c>
      <c r="GJ37" s="103"/>
      <c r="GK37" s="102"/>
      <c r="GL37" s="51"/>
      <c r="GM37" s="51" t="b">
        <v>0</v>
      </c>
      <c r="GN37" s="51" t="b">
        <v>0</v>
      </c>
      <c r="GO37" s="51" t="b">
        <v>0</v>
      </c>
      <c r="GP37" s="51" t="b">
        <v>0</v>
      </c>
      <c r="GQ37" s="20"/>
      <c r="GR37" s="21"/>
      <c r="GS37" s="51"/>
      <c r="GT37" s="51" t="b">
        <v>0</v>
      </c>
      <c r="GU37" s="51" t="b">
        <v>0</v>
      </c>
      <c r="GV37" s="51" t="b">
        <v>0</v>
      </c>
      <c r="GW37" s="51" t="b">
        <v>0</v>
      </c>
      <c r="GX37" s="20"/>
      <c r="GY37" s="21"/>
      <c r="GZ37" s="51"/>
      <c r="HA37" s="51" t="b">
        <v>0</v>
      </c>
      <c r="HB37" s="51" t="b">
        <v>0</v>
      </c>
      <c r="HC37" s="51" t="b">
        <v>0</v>
      </c>
      <c r="HD37" s="51" t="b">
        <v>0</v>
      </c>
      <c r="HE37" s="103"/>
      <c r="HF37" s="102"/>
      <c r="HG37" s="51"/>
      <c r="HH37" s="51" t="b">
        <v>0</v>
      </c>
      <c r="HI37" s="51" t="b">
        <v>0</v>
      </c>
      <c r="HJ37" s="51" t="b">
        <v>0</v>
      </c>
      <c r="HK37" s="51" t="b">
        <v>0</v>
      </c>
      <c r="HL37" s="20"/>
      <c r="HM37" s="21"/>
      <c r="HN37" s="51"/>
      <c r="HO37" s="51" t="b">
        <v>0</v>
      </c>
      <c r="HP37" s="51" t="b">
        <v>0</v>
      </c>
      <c r="HQ37" s="51" t="b">
        <v>0</v>
      </c>
      <c r="HR37" s="51" t="b">
        <v>0</v>
      </c>
      <c r="HS37" s="20"/>
      <c r="HT37" s="21"/>
      <c r="HU37" s="51"/>
      <c r="HV37" s="51" t="b">
        <v>0</v>
      </c>
      <c r="HW37" s="51" t="b">
        <v>0</v>
      </c>
      <c r="HX37" s="51" t="b">
        <v>0</v>
      </c>
      <c r="HY37" s="51" t="b">
        <v>0</v>
      </c>
      <c r="HZ37" s="103"/>
      <c r="IA37" s="102"/>
      <c r="IB37" s="51"/>
      <c r="IC37" s="51" t="b">
        <v>0</v>
      </c>
      <c r="ID37" s="51" t="b">
        <v>0</v>
      </c>
      <c r="IE37" s="51" t="b">
        <v>0</v>
      </c>
      <c r="IF37" s="51" t="b">
        <v>0</v>
      </c>
      <c r="IG37" s="20"/>
      <c r="IH37" s="21"/>
      <c r="II37" s="51"/>
      <c r="IJ37" s="51" t="b">
        <v>0</v>
      </c>
      <c r="IK37" s="51" t="b">
        <v>0</v>
      </c>
      <c r="IL37" s="51" t="b">
        <v>0</v>
      </c>
      <c r="IM37" s="51" t="b">
        <v>0</v>
      </c>
      <c r="IN37" s="20"/>
      <c r="IO37" s="21"/>
      <c r="IP37" s="51"/>
      <c r="IQ37" s="51" t="b">
        <v>0</v>
      </c>
      <c r="IR37" s="51" t="b">
        <v>0</v>
      </c>
      <c r="IS37" s="51" t="b">
        <v>0</v>
      </c>
      <c r="IT37" s="51" t="b">
        <v>0</v>
      </c>
      <c r="IU37" s="103"/>
      <c r="IV37" s="112"/>
    </row>
    <row r="38" spans="1:256" x14ac:dyDescent="0.2">
      <c r="C38">
        <v>29</v>
      </c>
      <c r="D38" s="102"/>
      <c r="E38" s="51"/>
      <c r="F38" s="51" t="b">
        <v>0</v>
      </c>
      <c r="G38" s="51" t="b">
        <v>0</v>
      </c>
      <c r="H38" s="51" t="b">
        <v>0</v>
      </c>
      <c r="I38" s="51" t="b">
        <v>0</v>
      </c>
      <c r="J38" s="20"/>
      <c r="K38" s="21"/>
      <c r="L38" s="51"/>
      <c r="M38" s="51" t="b">
        <v>0</v>
      </c>
      <c r="N38" s="51" t="b">
        <v>0</v>
      </c>
      <c r="O38" s="51" t="b">
        <v>0</v>
      </c>
      <c r="P38" s="51" t="b">
        <v>0</v>
      </c>
      <c r="Q38" s="20"/>
      <c r="R38" s="21"/>
      <c r="S38" s="51"/>
      <c r="T38" s="51" t="b">
        <v>0</v>
      </c>
      <c r="U38" s="51" t="b">
        <v>0</v>
      </c>
      <c r="V38" s="51" t="b">
        <v>0</v>
      </c>
      <c r="W38" s="51" t="b">
        <v>0</v>
      </c>
      <c r="X38" s="103"/>
      <c r="Y38" s="102"/>
      <c r="Z38" s="51"/>
      <c r="AA38" s="51" t="b">
        <v>0</v>
      </c>
      <c r="AB38" s="51" t="b">
        <v>0</v>
      </c>
      <c r="AC38" s="51" t="b">
        <v>0</v>
      </c>
      <c r="AD38" s="51" t="b">
        <v>0</v>
      </c>
      <c r="AE38" s="20"/>
      <c r="AF38" s="21"/>
      <c r="AG38" s="51"/>
      <c r="AH38" s="51" t="b">
        <v>0</v>
      </c>
      <c r="AI38" s="51" t="b">
        <v>0</v>
      </c>
      <c r="AJ38" s="51" t="b">
        <v>0</v>
      </c>
      <c r="AK38" s="51" t="b">
        <v>0</v>
      </c>
      <c r="AL38" s="20"/>
      <c r="AM38" s="21"/>
      <c r="AN38" s="51"/>
      <c r="AO38" s="51" t="b">
        <v>0</v>
      </c>
      <c r="AP38" s="51" t="b">
        <v>0</v>
      </c>
      <c r="AQ38" s="51" t="b">
        <v>0</v>
      </c>
      <c r="AR38" s="51" t="b">
        <v>0</v>
      </c>
      <c r="AS38" s="103"/>
      <c r="AT38" s="102"/>
      <c r="AU38" s="51"/>
      <c r="AV38" s="51" t="b">
        <v>0</v>
      </c>
      <c r="AW38" s="51" t="b">
        <v>0</v>
      </c>
      <c r="AX38" s="51" t="b">
        <v>0</v>
      </c>
      <c r="AY38" s="51" t="b">
        <v>0</v>
      </c>
      <c r="AZ38" s="20"/>
      <c r="BA38" s="21"/>
      <c r="BB38" s="51"/>
      <c r="BC38" s="51" t="b">
        <v>0</v>
      </c>
      <c r="BD38" s="51" t="b">
        <v>0</v>
      </c>
      <c r="BE38" s="51" t="b">
        <v>0</v>
      </c>
      <c r="BF38" s="51" t="b">
        <v>0</v>
      </c>
      <c r="BG38" s="20"/>
      <c r="BH38" s="21"/>
      <c r="BI38" s="51"/>
      <c r="BJ38" s="51" t="b">
        <v>0</v>
      </c>
      <c r="BK38" s="51" t="b">
        <v>0</v>
      </c>
      <c r="BL38" s="51" t="b">
        <v>0</v>
      </c>
      <c r="BM38" s="51" t="b">
        <v>0</v>
      </c>
      <c r="BN38" s="103"/>
      <c r="BO38" s="102"/>
      <c r="BP38" s="51"/>
      <c r="BQ38" s="51" t="b">
        <v>0</v>
      </c>
      <c r="BR38" s="51" t="b">
        <v>0</v>
      </c>
      <c r="BS38" s="51" t="b">
        <v>0</v>
      </c>
      <c r="BT38" s="51" t="b">
        <v>0</v>
      </c>
      <c r="BU38" s="20"/>
      <c r="BV38" s="21"/>
      <c r="BW38" s="51"/>
      <c r="BX38" s="51" t="b">
        <v>0</v>
      </c>
      <c r="BY38" s="51" t="b">
        <v>0</v>
      </c>
      <c r="BZ38" s="51" t="b">
        <v>0</v>
      </c>
      <c r="CA38" s="51" t="b">
        <v>0</v>
      </c>
      <c r="CB38" s="20"/>
      <c r="CC38" s="21"/>
      <c r="CD38" s="51"/>
      <c r="CE38" s="51" t="b">
        <v>0</v>
      </c>
      <c r="CF38" s="51" t="b">
        <v>0</v>
      </c>
      <c r="CG38" s="51" t="b">
        <v>0</v>
      </c>
      <c r="CH38" s="51" t="b">
        <v>0</v>
      </c>
      <c r="CI38" s="103"/>
      <c r="CJ38" s="102"/>
      <c r="CK38" s="51"/>
      <c r="CL38" s="51" t="b">
        <v>0</v>
      </c>
      <c r="CM38" s="51" t="b">
        <v>0</v>
      </c>
      <c r="CN38" s="51" t="b">
        <v>0</v>
      </c>
      <c r="CO38" s="51" t="b">
        <v>0</v>
      </c>
      <c r="CP38" s="20"/>
      <c r="CQ38" s="21"/>
      <c r="CR38" s="51"/>
      <c r="CS38" s="51" t="b">
        <v>0</v>
      </c>
      <c r="CT38" s="51" t="b">
        <v>0</v>
      </c>
      <c r="CU38" s="51" t="b">
        <v>0</v>
      </c>
      <c r="CV38" s="51" t="b">
        <v>0</v>
      </c>
      <c r="CW38" s="20"/>
      <c r="CX38" s="21"/>
      <c r="CY38" s="51"/>
      <c r="CZ38" s="51" t="b">
        <v>0</v>
      </c>
      <c r="DA38" s="51" t="b">
        <v>0</v>
      </c>
      <c r="DB38" s="51" t="b">
        <v>0</v>
      </c>
      <c r="DC38" s="51" t="b">
        <v>0</v>
      </c>
      <c r="DD38" s="103"/>
      <c r="DE38" s="102"/>
      <c r="DF38" s="51"/>
      <c r="DG38" s="51" t="b">
        <v>0</v>
      </c>
      <c r="DH38" s="51" t="b">
        <v>0</v>
      </c>
      <c r="DI38" s="51" t="b">
        <v>0</v>
      </c>
      <c r="DJ38" s="51" t="b">
        <v>0</v>
      </c>
      <c r="DK38" s="20"/>
      <c r="DL38" s="21"/>
      <c r="DM38" s="51"/>
      <c r="DN38" s="51" t="b">
        <v>0</v>
      </c>
      <c r="DO38" s="51" t="b">
        <v>0</v>
      </c>
      <c r="DP38" s="51" t="b">
        <v>0</v>
      </c>
      <c r="DQ38" s="51" t="b">
        <v>0</v>
      </c>
      <c r="DR38" s="20"/>
      <c r="DS38" s="21"/>
      <c r="DT38" s="51"/>
      <c r="DU38" s="51" t="b">
        <v>0</v>
      </c>
      <c r="DV38" s="51" t="b">
        <v>0</v>
      </c>
      <c r="DW38" s="51" t="b">
        <v>0</v>
      </c>
      <c r="DX38" s="51" t="b">
        <v>0</v>
      </c>
      <c r="DY38" s="103"/>
      <c r="DZ38" s="102"/>
      <c r="EA38" s="51"/>
      <c r="EB38" s="51" t="b">
        <v>0</v>
      </c>
      <c r="EC38" s="51" t="b">
        <v>0</v>
      </c>
      <c r="ED38" s="51" t="b">
        <v>0</v>
      </c>
      <c r="EE38" s="51" t="b">
        <v>0</v>
      </c>
      <c r="EF38" s="20"/>
      <c r="EG38" s="21"/>
      <c r="EH38" s="51"/>
      <c r="EI38" s="51" t="b">
        <v>0</v>
      </c>
      <c r="EJ38" s="51" t="b">
        <v>0</v>
      </c>
      <c r="EK38" s="51" t="b">
        <v>0</v>
      </c>
      <c r="EL38" s="51" t="b">
        <v>0</v>
      </c>
      <c r="EM38" s="20"/>
      <c r="EN38" s="21"/>
      <c r="EO38" s="51"/>
      <c r="EP38" s="51" t="b">
        <v>0</v>
      </c>
      <c r="EQ38" s="51" t="b">
        <v>0</v>
      </c>
      <c r="ER38" s="51" t="b">
        <v>0</v>
      </c>
      <c r="ES38" s="51" t="b">
        <v>0</v>
      </c>
      <c r="ET38" s="103"/>
      <c r="EU38" s="102"/>
      <c r="EV38" s="51"/>
      <c r="EW38" s="51" t="b">
        <v>0</v>
      </c>
      <c r="EX38" s="51" t="b">
        <v>0</v>
      </c>
      <c r="EY38" s="51" t="b">
        <v>0</v>
      </c>
      <c r="EZ38" s="51" t="b">
        <v>0</v>
      </c>
      <c r="FA38" s="20"/>
      <c r="FB38" s="21"/>
      <c r="FC38" s="51"/>
      <c r="FD38" s="51" t="b">
        <v>0</v>
      </c>
      <c r="FE38" s="51" t="b">
        <v>0</v>
      </c>
      <c r="FF38" s="51" t="b">
        <v>0</v>
      </c>
      <c r="FG38" s="51" t="b">
        <v>0</v>
      </c>
      <c r="FH38" s="20"/>
      <c r="FI38" s="21"/>
      <c r="FJ38" s="51"/>
      <c r="FK38" s="51" t="b">
        <v>0</v>
      </c>
      <c r="FL38" s="51" t="b">
        <v>0</v>
      </c>
      <c r="FM38" s="51" t="b">
        <v>0</v>
      </c>
      <c r="FN38" s="51" t="b">
        <v>0</v>
      </c>
      <c r="FO38" s="103"/>
      <c r="FP38" s="102"/>
      <c r="FQ38" s="51"/>
      <c r="FR38" s="51" t="b">
        <v>0</v>
      </c>
      <c r="FS38" s="51" t="b">
        <v>0</v>
      </c>
      <c r="FT38" s="51" t="b">
        <v>0</v>
      </c>
      <c r="FU38" s="51" t="b">
        <v>0</v>
      </c>
      <c r="FV38" s="20"/>
      <c r="FW38" s="21"/>
      <c r="FX38" s="51"/>
      <c r="FY38" s="51" t="b">
        <v>0</v>
      </c>
      <c r="FZ38" s="51" t="b">
        <v>0</v>
      </c>
      <c r="GA38" s="51" t="b">
        <v>0</v>
      </c>
      <c r="GB38" s="51" t="b">
        <v>0</v>
      </c>
      <c r="GC38" s="20"/>
      <c r="GD38" s="21"/>
      <c r="GE38" s="51"/>
      <c r="GF38" s="51" t="b">
        <v>0</v>
      </c>
      <c r="GG38" s="51" t="b">
        <v>0</v>
      </c>
      <c r="GH38" s="51" t="b">
        <v>0</v>
      </c>
      <c r="GI38" s="51" t="b">
        <v>0</v>
      </c>
      <c r="GJ38" s="103"/>
      <c r="GK38" s="102"/>
      <c r="GL38" s="51"/>
      <c r="GM38" s="51" t="b">
        <v>0</v>
      </c>
      <c r="GN38" s="51" t="b">
        <v>0</v>
      </c>
      <c r="GO38" s="51" t="b">
        <v>0</v>
      </c>
      <c r="GP38" s="51" t="b">
        <v>0</v>
      </c>
      <c r="GQ38" s="20"/>
      <c r="GR38" s="21"/>
      <c r="GS38" s="51"/>
      <c r="GT38" s="51" t="b">
        <v>0</v>
      </c>
      <c r="GU38" s="51" t="b">
        <v>0</v>
      </c>
      <c r="GV38" s="51" t="b">
        <v>0</v>
      </c>
      <c r="GW38" s="51" t="b">
        <v>0</v>
      </c>
      <c r="GX38" s="20"/>
      <c r="GY38" s="21"/>
      <c r="GZ38" s="51"/>
      <c r="HA38" s="51" t="b">
        <v>0</v>
      </c>
      <c r="HB38" s="51" t="b">
        <v>0</v>
      </c>
      <c r="HC38" s="51" t="b">
        <v>0</v>
      </c>
      <c r="HD38" s="51" t="b">
        <v>0</v>
      </c>
      <c r="HE38" s="103"/>
      <c r="HF38" s="102"/>
      <c r="HG38" s="51"/>
      <c r="HH38" s="51" t="b">
        <v>0</v>
      </c>
      <c r="HI38" s="51" t="b">
        <v>0</v>
      </c>
      <c r="HJ38" s="51" t="b">
        <v>0</v>
      </c>
      <c r="HK38" s="51" t="b">
        <v>0</v>
      </c>
      <c r="HL38" s="20"/>
      <c r="HM38" s="21"/>
      <c r="HN38" s="51"/>
      <c r="HO38" s="51" t="b">
        <v>0</v>
      </c>
      <c r="HP38" s="51" t="b">
        <v>0</v>
      </c>
      <c r="HQ38" s="51" t="b">
        <v>0</v>
      </c>
      <c r="HR38" s="51" t="b">
        <v>0</v>
      </c>
      <c r="HS38" s="20"/>
      <c r="HT38" s="21"/>
      <c r="HU38" s="51"/>
      <c r="HV38" s="51" t="b">
        <v>0</v>
      </c>
      <c r="HW38" s="51" t="b">
        <v>0</v>
      </c>
      <c r="HX38" s="51" t="b">
        <v>0</v>
      </c>
      <c r="HY38" s="51" t="b">
        <v>0</v>
      </c>
      <c r="HZ38" s="103"/>
      <c r="IA38" s="102"/>
      <c r="IB38" s="51"/>
      <c r="IC38" s="51" t="b">
        <v>0</v>
      </c>
      <c r="ID38" s="51" t="b">
        <v>0</v>
      </c>
      <c r="IE38" s="51" t="b">
        <v>0</v>
      </c>
      <c r="IF38" s="51" t="b">
        <v>0</v>
      </c>
      <c r="IG38" s="20"/>
      <c r="IH38" s="21"/>
      <c r="II38" s="51"/>
      <c r="IJ38" s="51" t="b">
        <v>0</v>
      </c>
      <c r="IK38" s="51" t="b">
        <v>0</v>
      </c>
      <c r="IL38" s="51" t="b">
        <v>0</v>
      </c>
      <c r="IM38" s="51" t="b">
        <v>0</v>
      </c>
      <c r="IN38" s="20"/>
      <c r="IO38" s="21"/>
      <c r="IP38" s="51"/>
      <c r="IQ38" s="51" t="b">
        <v>0</v>
      </c>
      <c r="IR38" s="51" t="b">
        <v>0</v>
      </c>
      <c r="IS38" s="51" t="b">
        <v>0</v>
      </c>
      <c r="IT38" s="51" t="b">
        <v>0</v>
      </c>
      <c r="IU38" s="103"/>
      <c r="IV38" s="112"/>
    </row>
    <row r="39" spans="1:256" ht="13.5" thickBot="1" x14ac:dyDescent="0.25">
      <c r="C39">
        <v>30</v>
      </c>
      <c r="D39" s="104"/>
      <c r="E39" s="105"/>
      <c r="F39" s="105" t="b">
        <v>0</v>
      </c>
      <c r="G39" s="105" t="b">
        <v>0</v>
      </c>
      <c r="H39" s="105" t="b">
        <v>0</v>
      </c>
      <c r="I39" s="105" t="b">
        <v>0</v>
      </c>
      <c r="J39" s="106"/>
      <c r="K39" s="107"/>
      <c r="L39" s="105"/>
      <c r="M39" s="105" t="b">
        <v>0</v>
      </c>
      <c r="N39" s="105" t="b">
        <v>0</v>
      </c>
      <c r="O39" s="105" t="b">
        <v>0</v>
      </c>
      <c r="P39" s="105" t="b">
        <v>0</v>
      </c>
      <c r="Q39" s="106"/>
      <c r="R39" s="107"/>
      <c r="S39" s="105"/>
      <c r="T39" s="105" t="b">
        <v>0</v>
      </c>
      <c r="U39" s="105" t="b">
        <v>0</v>
      </c>
      <c r="V39" s="105" t="b">
        <v>0</v>
      </c>
      <c r="W39" s="105" t="b">
        <v>0</v>
      </c>
      <c r="X39" s="108"/>
      <c r="Y39" s="104"/>
      <c r="Z39" s="105"/>
      <c r="AA39" s="105" t="b">
        <v>0</v>
      </c>
      <c r="AB39" s="105" t="b">
        <v>0</v>
      </c>
      <c r="AC39" s="105" t="b">
        <v>0</v>
      </c>
      <c r="AD39" s="105" t="b">
        <v>0</v>
      </c>
      <c r="AE39" s="106"/>
      <c r="AF39" s="107"/>
      <c r="AG39" s="105"/>
      <c r="AH39" s="105" t="b">
        <v>0</v>
      </c>
      <c r="AI39" s="105" t="b">
        <v>0</v>
      </c>
      <c r="AJ39" s="105" t="b">
        <v>0</v>
      </c>
      <c r="AK39" s="105" t="b">
        <v>0</v>
      </c>
      <c r="AL39" s="106"/>
      <c r="AM39" s="107"/>
      <c r="AN39" s="105"/>
      <c r="AO39" s="105" t="b">
        <v>0</v>
      </c>
      <c r="AP39" s="105" t="b">
        <v>0</v>
      </c>
      <c r="AQ39" s="105" t="b">
        <v>0</v>
      </c>
      <c r="AR39" s="105" t="b">
        <v>0</v>
      </c>
      <c r="AS39" s="108"/>
      <c r="AT39" s="104"/>
      <c r="AU39" s="105"/>
      <c r="AV39" s="105" t="b">
        <v>0</v>
      </c>
      <c r="AW39" s="105" t="b">
        <v>0</v>
      </c>
      <c r="AX39" s="105" t="b">
        <v>0</v>
      </c>
      <c r="AY39" s="105" t="b">
        <v>0</v>
      </c>
      <c r="AZ39" s="106"/>
      <c r="BA39" s="107"/>
      <c r="BB39" s="105"/>
      <c r="BC39" s="105" t="b">
        <v>0</v>
      </c>
      <c r="BD39" s="105" t="b">
        <v>0</v>
      </c>
      <c r="BE39" s="105" t="b">
        <v>0</v>
      </c>
      <c r="BF39" s="105" t="b">
        <v>0</v>
      </c>
      <c r="BG39" s="106"/>
      <c r="BH39" s="107"/>
      <c r="BI39" s="105"/>
      <c r="BJ39" s="105" t="b">
        <v>0</v>
      </c>
      <c r="BK39" s="105" t="b">
        <v>0</v>
      </c>
      <c r="BL39" s="105" t="b">
        <v>0</v>
      </c>
      <c r="BM39" s="105" t="b">
        <v>0</v>
      </c>
      <c r="BN39" s="108"/>
      <c r="BO39" s="104"/>
      <c r="BP39" s="105"/>
      <c r="BQ39" s="105" t="b">
        <v>0</v>
      </c>
      <c r="BR39" s="105" t="b">
        <v>0</v>
      </c>
      <c r="BS39" s="105" t="b">
        <v>0</v>
      </c>
      <c r="BT39" s="105" t="b">
        <v>0</v>
      </c>
      <c r="BU39" s="106"/>
      <c r="BV39" s="107"/>
      <c r="BW39" s="105"/>
      <c r="BX39" s="105" t="b">
        <v>0</v>
      </c>
      <c r="BY39" s="105" t="b">
        <v>0</v>
      </c>
      <c r="BZ39" s="105" t="b">
        <v>0</v>
      </c>
      <c r="CA39" s="105" t="b">
        <v>0</v>
      </c>
      <c r="CB39" s="106"/>
      <c r="CC39" s="107"/>
      <c r="CD39" s="105"/>
      <c r="CE39" s="105" t="b">
        <v>0</v>
      </c>
      <c r="CF39" s="105" t="b">
        <v>0</v>
      </c>
      <c r="CG39" s="105" t="b">
        <v>0</v>
      </c>
      <c r="CH39" s="105" t="b">
        <v>0</v>
      </c>
      <c r="CI39" s="108"/>
      <c r="CJ39" s="104"/>
      <c r="CK39" s="105"/>
      <c r="CL39" s="105" t="b">
        <v>0</v>
      </c>
      <c r="CM39" s="105" t="b">
        <v>0</v>
      </c>
      <c r="CN39" s="105" t="b">
        <v>0</v>
      </c>
      <c r="CO39" s="105" t="b">
        <v>0</v>
      </c>
      <c r="CP39" s="106"/>
      <c r="CQ39" s="107"/>
      <c r="CR39" s="105"/>
      <c r="CS39" s="105" t="b">
        <v>0</v>
      </c>
      <c r="CT39" s="105" t="b">
        <v>0</v>
      </c>
      <c r="CU39" s="105" t="b">
        <v>0</v>
      </c>
      <c r="CV39" s="105" t="b">
        <v>0</v>
      </c>
      <c r="CW39" s="106"/>
      <c r="CX39" s="107"/>
      <c r="CY39" s="105"/>
      <c r="CZ39" s="105" t="b">
        <v>0</v>
      </c>
      <c r="DA39" s="105" t="b">
        <v>0</v>
      </c>
      <c r="DB39" s="105" t="b">
        <v>0</v>
      </c>
      <c r="DC39" s="105" t="b">
        <v>0</v>
      </c>
      <c r="DD39" s="108"/>
      <c r="DE39" s="104"/>
      <c r="DF39" s="105"/>
      <c r="DG39" s="105" t="b">
        <v>0</v>
      </c>
      <c r="DH39" s="105" t="b">
        <v>0</v>
      </c>
      <c r="DI39" s="105" t="b">
        <v>0</v>
      </c>
      <c r="DJ39" s="105" t="b">
        <v>0</v>
      </c>
      <c r="DK39" s="106"/>
      <c r="DL39" s="107"/>
      <c r="DM39" s="105"/>
      <c r="DN39" s="105" t="b">
        <v>0</v>
      </c>
      <c r="DO39" s="105" t="b">
        <v>0</v>
      </c>
      <c r="DP39" s="105" t="b">
        <v>0</v>
      </c>
      <c r="DQ39" s="105" t="b">
        <v>0</v>
      </c>
      <c r="DR39" s="106"/>
      <c r="DS39" s="107"/>
      <c r="DT39" s="105"/>
      <c r="DU39" s="105" t="b">
        <v>0</v>
      </c>
      <c r="DV39" s="105" t="b">
        <v>0</v>
      </c>
      <c r="DW39" s="105" t="b">
        <v>0</v>
      </c>
      <c r="DX39" s="105" t="b">
        <v>0</v>
      </c>
      <c r="DY39" s="108"/>
      <c r="DZ39" s="104"/>
      <c r="EA39" s="105"/>
      <c r="EB39" s="105" t="b">
        <v>0</v>
      </c>
      <c r="EC39" s="105" t="b">
        <v>0</v>
      </c>
      <c r="ED39" s="105" t="b">
        <v>0</v>
      </c>
      <c r="EE39" s="105" t="b">
        <v>0</v>
      </c>
      <c r="EF39" s="106"/>
      <c r="EG39" s="107"/>
      <c r="EH39" s="105"/>
      <c r="EI39" s="105" t="b">
        <v>0</v>
      </c>
      <c r="EJ39" s="105" t="b">
        <v>0</v>
      </c>
      <c r="EK39" s="105" t="b">
        <v>0</v>
      </c>
      <c r="EL39" s="105" t="b">
        <v>0</v>
      </c>
      <c r="EM39" s="106"/>
      <c r="EN39" s="107"/>
      <c r="EO39" s="105"/>
      <c r="EP39" s="105" t="b">
        <v>0</v>
      </c>
      <c r="EQ39" s="105" t="b">
        <v>0</v>
      </c>
      <c r="ER39" s="105" t="b">
        <v>0</v>
      </c>
      <c r="ES39" s="105" t="b">
        <v>0</v>
      </c>
      <c r="ET39" s="108"/>
      <c r="EU39" s="104"/>
      <c r="EV39" s="105"/>
      <c r="EW39" s="105" t="b">
        <v>0</v>
      </c>
      <c r="EX39" s="105" t="b">
        <v>0</v>
      </c>
      <c r="EY39" s="105" t="b">
        <v>0</v>
      </c>
      <c r="EZ39" s="105" t="b">
        <v>0</v>
      </c>
      <c r="FA39" s="106"/>
      <c r="FB39" s="107"/>
      <c r="FC39" s="105"/>
      <c r="FD39" s="105" t="b">
        <v>0</v>
      </c>
      <c r="FE39" s="105" t="b">
        <v>0</v>
      </c>
      <c r="FF39" s="105" t="b">
        <v>0</v>
      </c>
      <c r="FG39" s="105" t="b">
        <v>0</v>
      </c>
      <c r="FH39" s="106"/>
      <c r="FI39" s="107"/>
      <c r="FJ39" s="105"/>
      <c r="FK39" s="105" t="b">
        <v>0</v>
      </c>
      <c r="FL39" s="105" t="b">
        <v>0</v>
      </c>
      <c r="FM39" s="105" t="b">
        <v>0</v>
      </c>
      <c r="FN39" s="105" t="b">
        <v>0</v>
      </c>
      <c r="FO39" s="108"/>
      <c r="FP39" s="104"/>
      <c r="FQ39" s="105"/>
      <c r="FR39" s="105" t="b">
        <v>0</v>
      </c>
      <c r="FS39" s="105" t="b">
        <v>0</v>
      </c>
      <c r="FT39" s="105" t="b">
        <v>0</v>
      </c>
      <c r="FU39" s="105" t="b">
        <v>0</v>
      </c>
      <c r="FV39" s="106"/>
      <c r="FW39" s="107"/>
      <c r="FX39" s="105"/>
      <c r="FY39" s="105" t="b">
        <v>0</v>
      </c>
      <c r="FZ39" s="105" t="b">
        <v>0</v>
      </c>
      <c r="GA39" s="105" t="b">
        <v>0</v>
      </c>
      <c r="GB39" s="105" t="b">
        <v>0</v>
      </c>
      <c r="GC39" s="106"/>
      <c r="GD39" s="107"/>
      <c r="GE39" s="105"/>
      <c r="GF39" s="105" t="b">
        <v>0</v>
      </c>
      <c r="GG39" s="105" t="b">
        <v>0</v>
      </c>
      <c r="GH39" s="105" t="b">
        <v>0</v>
      </c>
      <c r="GI39" s="105" t="b">
        <v>0</v>
      </c>
      <c r="GJ39" s="108"/>
      <c r="GK39" s="104"/>
      <c r="GL39" s="105"/>
      <c r="GM39" s="105" t="b">
        <v>0</v>
      </c>
      <c r="GN39" s="105" t="b">
        <v>0</v>
      </c>
      <c r="GO39" s="105" t="b">
        <v>0</v>
      </c>
      <c r="GP39" s="105" t="b">
        <v>0</v>
      </c>
      <c r="GQ39" s="106"/>
      <c r="GR39" s="107"/>
      <c r="GS39" s="105"/>
      <c r="GT39" s="105" t="b">
        <v>0</v>
      </c>
      <c r="GU39" s="105" t="b">
        <v>0</v>
      </c>
      <c r="GV39" s="105" t="b">
        <v>0</v>
      </c>
      <c r="GW39" s="105" t="b">
        <v>0</v>
      </c>
      <c r="GX39" s="106"/>
      <c r="GY39" s="107"/>
      <c r="GZ39" s="105"/>
      <c r="HA39" s="105" t="b">
        <v>0</v>
      </c>
      <c r="HB39" s="105" t="b">
        <v>0</v>
      </c>
      <c r="HC39" s="105" t="b">
        <v>0</v>
      </c>
      <c r="HD39" s="105" t="b">
        <v>0</v>
      </c>
      <c r="HE39" s="108"/>
      <c r="HF39" s="104"/>
      <c r="HG39" s="105"/>
      <c r="HH39" s="105" t="b">
        <v>0</v>
      </c>
      <c r="HI39" s="105" t="b">
        <v>0</v>
      </c>
      <c r="HJ39" s="105" t="b">
        <v>0</v>
      </c>
      <c r="HK39" s="105" t="b">
        <v>0</v>
      </c>
      <c r="HL39" s="106"/>
      <c r="HM39" s="107"/>
      <c r="HN39" s="105"/>
      <c r="HO39" s="105" t="b">
        <v>0</v>
      </c>
      <c r="HP39" s="105" t="b">
        <v>0</v>
      </c>
      <c r="HQ39" s="105" t="b">
        <v>0</v>
      </c>
      <c r="HR39" s="105" t="b">
        <v>0</v>
      </c>
      <c r="HS39" s="106"/>
      <c r="HT39" s="107"/>
      <c r="HU39" s="105"/>
      <c r="HV39" s="105" t="b">
        <v>0</v>
      </c>
      <c r="HW39" s="105" t="b">
        <v>0</v>
      </c>
      <c r="HX39" s="105" t="b">
        <v>0</v>
      </c>
      <c r="HY39" s="105" t="b">
        <v>0</v>
      </c>
      <c r="HZ39" s="108"/>
      <c r="IA39" s="104"/>
      <c r="IB39" s="105"/>
      <c r="IC39" s="105" t="b">
        <v>0</v>
      </c>
      <c r="ID39" s="105" t="b">
        <v>0</v>
      </c>
      <c r="IE39" s="105" t="b">
        <v>0</v>
      </c>
      <c r="IF39" s="105" t="b">
        <v>0</v>
      </c>
      <c r="IG39" s="106"/>
      <c r="IH39" s="107"/>
      <c r="II39" s="105"/>
      <c r="IJ39" s="105" t="b">
        <v>0</v>
      </c>
      <c r="IK39" s="105" t="b">
        <v>0</v>
      </c>
      <c r="IL39" s="105" t="b">
        <v>0</v>
      </c>
      <c r="IM39" s="105" t="b">
        <v>0</v>
      </c>
      <c r="IN39" s="106"/>
      <c r="IO39" s="107"/>
      <c r="IP39" s="105"/>
      <c r="IQ39" s="105" t="b">
        <v>0</v>
      </c>
      <c r="IR39" s="105" t="b">
        <v>0</v>
      </c>
      <c r="IS39" s="105" t="b">
        <v>0</v>
      </c>
      <c r="IT39" s="105" t="b">
        <v>0</v>
      </c>
      <c r="IU39" s="108"/>
      <c r="IV39" s="112"/>
    </row>
    <row r="40" spans="1:256" ht="13.5" thickTop="1" x14ac:dyDescent="0.2"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ED40" s="51"/>
      <c r="EE40" s="51"/>
      <c r="EF40" s="51"/>
      <c r="EG40" s="51"/>
      <c r="EH40" s="51"/>
      <c r="EI40" s="51"/>
      <c r="EJ40" s="51"/>
      <c r="EK40" s="51"/>
      <c r="EL40" s="51"/>
      <c r="EM40" s="51"/>
      <c r="EN40" s="51"/>
      <c r="EO40" s="51"/>
      <c r="EP40" s="51"/>
      <c r="EQ40" s="51"/>
      <c r="ER40" s="51"/>
      <c r="ES40" s="51"/>
      <c r="ET40" s="51"/>
      <c r="EU40" s="51"/>
      <c r="EV40" s="51"/>
      <c r="EW40" s="51"/>
      <c r="EX40" s="51"/>
      <c r="EY40" s="51"/>
      <c r="EZ40" s="51"/>
      <c r="FA40" s="51"/>
      <c r="FB40" s="51"/>
      <c r="FC40" s="51"/>
      <c r="FD40" s="51"/>
      <c r="FE40" s="51"/>
      <c r="FF40" s="51"/>
      <c r="FG40" s="51"/>
      <c r="FH40" s="51"/>
      <c r="FI40" s="51"/>
      <c r="FJ40" s="51"/>
      <c r="FK40" s="51"/>
      <c r="FL40" s="51"/>
      <c r="FM40" s="51"/>
      <c r="FN40" s="51"/>
      <c r="FO40" s="51"/>
      <c r="FP40" s="51"/>
      <c r="FQ40" s="51"/>
      <c r="FR40" s="51"/>
      <c r="FS40" s="51"/>
      <c r="FT40" s="51"/>
      <c r="FU40" s="51"/>
      <c r="FV40" s="51"/>
      <c r="FW40" s="51"/>
      <c r="FX40" s="51"/>
      <c r="FY40" s="51"/>
      <c r="FZ40" s="51"/>
      <c r="GA40" s="51"/>
      <c r="GB40" s="51"/>
      <c r="GC40" s="51"/>
      <c r="GD40" s="51"/>
      <c r="GE40" s="51"/>
      <c r="GF40" s="51"/>
      <c r="GG40" s="51"/>
      <c r="GH40" s="51"/>
      <c r="GI40" s="51"/>
      <c r="GJ40" s="51"/>
      <c r="GK40" s="51"/>
      <c r="GL40" s="51"/>
      <c r="GM40" s="51"/>
      <c r="GN40" s="51"/>
      <c r="GO40" s="51"/>
      <c r="GP40" s="51"/>
      <c r="GQ40" s="51"/>
      <c r="GR40" s="51"/>
      <c r="GS40" s="51"/>
      <c r="GT40" s="51"/>
      <c r="GU40" s="51"/>
      <c r="GV40" s="51"/>
      <c r="GW40" s="51"/>
      <c r="GX40" s="51"/>
      <c r="GY40" s="51"/>
      <c r="GZ40" s="51"/>
      <c r="HA40" s="51"/>
      <c r="HB40" s="51"/>
      <c r="HC40" s="51"/>
      <c r="HD40" s="51"/>
      <c r="HE40" s="51"/>
      <c r="HF40" s="51"/>
      <c r="HG40" s="51"/>
      <c r="HH40" s="51"/>
      <c r="HI40" s="51"/>
      <c r="HJ40" s="51"/>
      <c r="HK40" s="51"/>
      <c r="HL40" s="51"/>
      <c r="HM40" s="51"/>
      <c r="HN40" s="51"/>
      <c r="HO40" s="51"/>
      <c r="HP40" s="51"/>
      <c r="HQ40" s="51"/>
      <c r="HR40" s="51"/>
      <c r="HS40" s="51"/>
      <c r="HT40" s="51"/>
      <c r="HU40" s="51"/>
      <c r="HV40" s="51"/>
      <c r="HW40" s="51"/>
      <c r="HX40" s="51"/>
      <c r="HY40" s="51"/>
      <c r="HZ40" s="51"/>
      <c r="IA40" s="51"/>
      <c r="IB40" s="51"/>
      <c r="IC40" s="51"/>
      <c r="ID40" s="51"/>
      <c r="IE40" s="51"/>
      <c r="IF40" s="51"/>
      <c r="IG40" s="51"/>
      <c r="IH40" s="51"/>
      <c r="II40" s="51"/>
      <c r="IJ40" s="51"/>
      <c r="IK40" s="51"/>
      <c r="IL40" s="51"/>
      <c r="IM40" s="51"/>
      <c r="IN40" s="51"/>
      <c r="IO40" s="51"/>
      <c r="IP40" s="51"/>
      <c r="IQ40" s="51"/>
      <c r="IR40" s="51"/>
      <c r="IS40" s="51"/>
      <c r="IT40" s="51"/>
      <c r="IU40" s="51"/>
    </row>
    <row r="41" spans="1:256" x14ac:dyDescent="0.2"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ED41" s="51"/>
      <c r="EE41" s="51"/>
      <c r="EF41" s="51"/>
      <c r="EG41" s="51"/>
      <c r="EH41" s="51"/>
      <c r="EI41" s="51"/>
      <c r="EJ41" s="51"/>
      <c r="EK41" s="51"/>
      <c r="EL41" s="51"/>
      <c r="EM41" s="51"/>
      <c r="EN41" s="51"/>
      <c r="EO41" s="51"/>
      <c r="EP41" s="51"/>
      <c r="EQ41" s="51"/>
      <c r="ER41" s="51"/>
      <c r="ES41" s="51"/>
      <c r="ET41" s="51"/>
      <c r="EU41" s="51"/>
      <c r="EV41" s="51"/>
      <c r="EW41" s="51"/>
      <c r="EX41" s="51"/>
      <c r="EY41" s="51"/>
      <c r="EZ41" s="51"/>
      <c r="FA41" s="51"/>
      <c r="FB41" s="51"/>
      <c r="FC41" s="51"/>
      <c r="FD41" s="51"/>
      <c r="FE41" s="51"/>
      <c r="FF41" s="51"/>
      <c r="FG41" s="51"/>
      <c r="FH41" s="51"/>
      <c r="FI41" s="51"/>
      <c r="FJ41" s="51"/>
      <c r="FK41" s="51"/>
      <c r="FL41" s="51"/>
      <c r="FM41" s="51"/>
      <c r="FN41" s="51"/>
      <c r="FO41" s="51"/>
      <c r="FP41" s="51"/>
      <c r="FQ41" s="51"/>
      <c r="FR41" s="51"/>
      <c r="FS41" s="51"/>
      <c r="FT41" s="51"/>
      <c r="FU41" s="51"/>
      <c r="FV41" s="51"/>
      <c r="FW41" s="51"/>
      <c r="FX41" s="51"/>
      <c r="FY41" s="51"/>
      <c r="FZ41" s="51"/>
      <c r="GA41" s="51"/>
      <c r="GB41" s="51"/>
      <c r="GC41" s="51"/>
      <c r="GD41" s="51"/>
      <c r="GE41" s="51"/>
      <c r="GF41" s="51"/>
      <c r="GG41" s="51"/>
      <c r="GH41" s="51"/>
      <c r="GI41" s="51"/>
      <c r="GJ41" s="51"/>
      <c r="GK41" s="51"/>
      <c r="GL41" s="51"/>
      <c r="GM41" s="51"/>
      <c r="GN41" s="51"/>
      <c r="GO41" s="51"/>
      <c r="GP41" s="51"/>
      <c r="GQ41" s="51"/>
      <c r="GR41" s="51"/>
      <c r="GS41" s="51"/>
      <c r="GT41" s="51"/>
      <c r="GU41" s="51"/>
      <c r="GV41" s="51"/>
      <c r="GW41" s="51"/>
      <c r="GX41" s="51"/>
      <c r="GY41" s="51"/>
      <c r="GZ41" s="51"/>
      <c r="HA41" s="51"/>
      <c r="HB41" s="51"/>
      <c r="HC41" s="51"/>
      <c r="HD41" s="51"/>
      <c r="HE41" s="51"/>
      <c r="HF41" s="51"/>
      <c r="HG41" s="51"/>
      <c r="HH41" s="51"/>
      <c r="HI41" s="51"/>
      <c r="HJ41" s="51"/>
      <c r="HK41" s="51"/>
      <c r="HL41" s="51"/>
      <c r="HM41" s="51"/>
      <c r="HN41" s="51"/>
      <c r="HO41" s="51"/>
      <c r="HP41" s="51"/>
      <c r="HQ41" s="51"/>
      <c r="HR41" s="51"/>
      <c r="HS41" s="51"/>
      <c r="HT41" s="51"/>
      <c r="HU41" s="51"/>
      <c r="HV41" s="51"/>
      <c r="HW41" s="51"/>
      <c r="HX41" s="51"/>
      <c r="HY41" s="51"/>
      <c r="HZ41" s="51"/>
      <c r="IA41" s="51"/>
      <c r="IB41" s="51"/>
      <c r="IC41" s="51"/>
      <c r="ID41" s="51"/>
      <c r="IE41" s="51"/>
      <c r="IF41" s="51"/>
      <c r="IG41" s="51"/>
      <c r="IH41" s="51"/>
      <c r="II41" s="51"/>
      <c r="IJ41" s="51"/>
      <c r="IK41" s="51"/>
      <c r="IL41" s="51"/>
      <c r="IM41" s="51"/>
      <c r="IN41" s="51"/>
      <c r="IO41" s="51"/>
      <c r="IP41" s="51"/>
      <c r="IQ41" s="51"/>
      <c r="IR41" s="51"/>
      <c r="IS41" s="51"/>
      <c r="IT41" s="51"/>
      <c r="IU41" s="51"/>
    </row>
    <row r="44" spans="1:256" s="50" customFormat="1" ht="18" x14ac:dyDescent="0.25">
      <c r="A44" s="50" t="s">
        <v>47</v>
      </c>
    </row>
    <row r="46" spans="1:256" x14ac:dyDescent="0.2">
      <c r="C46" t="s">
        <v>21</v>
      </c>
      <c r="E46" t="s">
        <v>17</v>
      </c>
    </row>
    <row r="47" spans="1:256" x14ac:dyDescent="0.2">
      <c r="A47" s="6" t="s">
        <v>11</v>
      </c>
      <c r="B47" s="4" t="s">
        <v>15</v>
      </c>
      <c r="C47" t="s">
        <v>18</v>
      </c>
      <c r="E47">
        <f>IF(B1="USgpm",IF(B47="USgpm",1,IF(B47="m3/h",1/C47)),IF(B1="m3/h",IF(B47="m3/h",1,IF(B47="USgpm",C47))))</f>
        <v>0.22712470183002373</v>
      </c>
    </row>
    <row r="48" spans="1:256" x14ac:dyDescent="0.2">
      <c r="A48" s="7" t="s">
        <v>12</v>
      </c>
      <c r="B48" s="5" t="s">
        <v>16</v>
      </c>
      <c r="C48" t="s">
        <v>19</v>
      </c>
      <c r="E48">
        <f>IF(B2="ft",IF(B48="ft",1,IF(B48="m",1/C48)),IF(B2="m",IF(B48="m",1,IF(B48="ft",C48))))</f>
        <v>0.30480000000000035</v>
      </c>
    </row>
    <row r="49" spans="1:256" x14ac:dyDescent="0.2">
      <c r="A49" s="7" t="s">
        <v>13</v>
      </c>
      <c r="B49" s="5" t="s">
        <v>14</v>
      </c>
      <c r="C49" s="27">
        <v>3.9370078740157501E-2</v>
      </c>
      <c r="E49">
        <f>IF(B3="inch",IF(B49="inch",1,IF(B49="mm",1/C49)),IF(B3="mm",IF(B49="mm",1,IF(B49="inch",C49))))</f>
        <v>25.399999999999988</v>
      </c>
    </row>
    <row r="50" spans="1:256" x14ac:dyDescent="0.2">
      <c r="A50" s="7" t="s">
        <v>25</v>
      </c>
      <c r="B50" s="5" t="s">
        <v>28</v>
      </c>
      <c r="C50" t="s">
        <v>27</v>
      </c>
      <c r="E50">
        <f>IF(B4="hp",IF(B50="hp",1,IF(B50="kW",1/C50)),IF(B4="kW",IF(B50="kW",1,IF(B50="hp",C50))))</f>
        <v>0.74569999999999781</v>
      </c>
    </row>
    <row r="51" spans="1:256" x14ac:dyDescent="0.2">
      <c r="A51" s="52" t="s">
        <v>24</v>
      </c>
      <c r="B51" s="53" t="str">
        <f>B5</f>
        <v>Power</v>
      </c>
      <c r="C51" s="27"/>
    </row>
    <row r="52" spans="1:256" ht="13.5" thickBot="1" x14ac:dyDescent="0.25"/>
    <row r="53" spans="1:256" s="3" customFormat="1" ht="13.5" thickBot="1" x14ac:dyDescent="0.25">
      <c r="D53" s="89" t="str">
        <f>$A$56</f>
        <v/>
      </c>
      <c r="E53" s="63">
        <f t="shared" ref="E53:M53" si="0">IF(E$7="","",E$7*$E$47)</f>
        <v>0</v>
      </c>
      <c r="F53" s="63"/>
      <c r="G53" s="63"/>
      <c r="H53" s="63" t="str">
        <f>H7</f>
        <v>FALSE</v>
      </c>
      <c r="I53" s="63"/>
      <c r="J53" s="63"/>
      <c r="K53" s="63">
        <f t="shared" si="0"/>
        <v>0</v>
      </c>
      <c r="L53" s="63">
        <f t="shared" si="0"/>
        <v>0</v>
      </c>
      <c r="M53" s="63">
        <f t="shared" si="0"/>
        <v>0</v>
      </c>
      <c r="N53" s="63">
        <f>IF(N$7="","",N$7)</f>
        <v>0</v>
      </c>
      <c r="O53" s="63" t="str">
        <f>O7</f>
        <v>FALSE</v>
      </c>
      <c r="P53" s="63"/>
      <c r="Q53" s="63"/>
      <c r="R53" s="63">
        <f t="shared" ref="R53" si="1">IF(R$7="","",R$7*$E$47)</f>
        <v>0</v>
      </c>
      <c r="S53" s="63" t="str">
        <f>IF(S$7="","",S$7*$E$50)</f>
        <v/>
      </c>
      <c r="T53" s="63"/>
      <c r="U53" s="63"/>
      <c r="V53" s="63" t="str">
        <f>V7</f>
        <v>FALSE</v>
      </c>
      <c r="W53" s="63"/>
      <c r="X53" s="78"/>
      <c r="Y53" s="26" t="str">
        <f>$A$57</f>
        <v/>
      </c>
      <c r="Z53" s="63">
        <f t="shared" ref="Z53:AH53" si="2">IF(Z$7="","",Z$7*$E$47)</f>
        <v>0</v>
      </c>
      <c r="AA53" s="63"/>
      <c r="AB53" s="63"/>
      <c r="AC53" s="63"/>
      <c r="AD53" s="63"/>
      <c r="AE53" s="63"/>
      <c r="AF53" s="63">
        <f t="shared" si="2"/>
        <v>0</v>
      </c>
      <c r="AG53" s="63">
        <f t="shared" si="2"/>
        <v>0</v>
      </c>
      <c r="AH53" s="63">
        <f t="shared" si="2"/>
        <v>0</v>
      </c>
      <c r="AI53" s="63">
        <f>IF(AI$7="","",AI$7)</f>
        <v>0</v>
      </c>
      <c r="AJ53" s="63"/>
      <c r="AK53" s="63"/>
      <c r="AL53" s="63"/>
      <c r="AM53" s="63">
        <f t="shared" ref="AM53" si="3">IF(AM$7="","",AM$7*$E$47)</f>
        <v>0</v>
      </c>
      <c r="AN53" s="63" t="str">
        <f>IF(AN$7="","",AN$7*$E$50)</f>
        <v/>
      </c>
      <c r="AO53" s="63" t="str">
        <f t="shared" ref="AO53:AS53" si="4">IF(AO$7="","",AO$7*$E$47)</f>
        <v/>
      </c>
      <c r="AP53" s="63" t="str">
        <f t="shared" si="4"/>
        <v/>
      </c>
      <c r="AQ53" s="63" t="e">
        <f t="shared" si="4"/>
        <v>#VALUE!</v>
      </c>
      <c r="AR53" s="63" t="str">
        <f t="shared" si="4"/>
        <v/>
      </c>
      <c r="AS53" s="63" t="str">
        <f t="shared" si="4"/>
        <v/>
      </c>
      <c r="AT53" s="26" t="str">
        <f>$A$58</f>
        <v/>
      </c>
      <c r="AU53" s="63">
        <f t="shared" ref="AU53:BC53" si="5">IF(AU$7="","",AU$7*$E$47)</f>
        <v>0</v>
      </c>
      <c r="AV53" s="63"/>
      <c r="AW53" s="63"/>
      <c r="AX53" s="63"/>
      <c r="AY53" s="63"/>
      <c r="AZ53" s="63"/>
      <c r="BA53" s="63">
        <f t="shared" si="5"/>
        <v>0</v>
      </c>
      <c r="BB53" s="63">
        <f t="shared" si="5"/>
        <v>0</v>
      </c>
      <c r="BC53" s="63">
        <f t="shared" si="5"/>
        <v>0</v>
      </c>
      <c r="BD53" s="63">
        <f>IF(BD$7="","",BD$7)</f>
        <v>0</v>
      </c>
      <c r="BE53" s="63"/>
      <c r="BF53" s="63"/>
      <c r="BG53" s="63"/>
      <c r="BH53" s="63">
        <f t="shared" ref="BH53" si="6">IF(BH$7="","",BH$7*$E$47)</f>
        <v>0</v>
      </c>
      <c r="BI53" s="63" t="str">
        <f>IF(BI$7="","",BI$7*$E$50)</f>
        <v/>
      </c>
      <c r="BJ53" s="63" t="str">
        <f t="shared" ref="BJ53:BN53" si="7">IF(BJ$7="","",BJ$7*$E$47)</f>
        <v/>
      </c>
      <c r="BK53" s="63" t="str">
        <f t="shared" si="7"/>
        <v/>
      </c>
      <c r="BL53" s="63" t="e">
        <f t="shared" si="7"/>
        <v>#VALUE!</v>
      </c>
      <c r="BM53" s="63" t="str">
        <f t="shared" si="7"/>
        <v/>
      </c>
      <c r="BN53" s="63" t="str">
        <f t="shared" si="7"/>
        <v/>
      </c>
      <c r="BO53" s="26" t="str">
        <f>$A$59</f>
        <v/>
      </c>
      <c r="BP53" s="63" t="str">
        <f t="shared" ref="BP53:BX53" si="8">IF(BP$7="","",BP$7*$E$47)</f>
        <v/>
      </c>
      <c r="BQ53" s="63"/>
      <c r="BR53" s="63"/>
      <c r="BS53" s="63"/>
      <c r="BT53" s="63"/>
      <c r="BU53" s="63"/>
      <c r="BV53" s="63" t="str">
        <f t="shared" si="8"/>
        <v/>
      </c>
      <c r="BW53" s="63" t="str">
        <f t="shared" si="8"/>
        <v/>
      </c>
      <c r="BX53" s="63" t="str">
        <f t="shared" si="8"/>
        <v/>
      </c>
      <c r="BY53" s="63" t="str">
        <f>IF(BY$7="","",BY$7)</f>
        <v/>
      </c>
      <c r="BZ53" s="63"/>
      <c r="CA53" s="63"/>
      <c r="CB53" s="63"/>
      <c r="CC53" s="63" t="str">
        <f t="shared" ref="CC53" si="9">IF(CC$7="","",CC$7*$E$47)</f>
        <v/>
      </c>
      <c r="CD53" s="63" t="str">
        <f>IF(CD$7="","",CD$7*$E$50)</f>
        <v/>
      </c>
      <c r="CE53" s="63" t="str">
        <f t="shared" ref="CE53:CI53" si="10">IF(CE$7="","",CE$7*$E$47)</f>
        <v/>
      </c>
      <c r="CF53" s="63" t="str">
        <f t="shared" si="10"/>
        <v/>
      </c>
      <c r="CG53" s="63" t="str">
        <f t="shared" si="10"/>
        <v/>
      </c>
      <c r="CH53" s="63" t="str">
        <f t="shared" si="10"/>
        <v/>
      </c>
      <c r="CI53" s="63" t="str">
        <f t="shared" si="10"/>
        <v/>
      </c>
      <c r="CJ53" s="26" t="str">
        <f>$A$60</f>
        <v/>
      </c>
      <c r="CK53" s="63" t="str">
        <f t="shared" ref="CK53:CS53" si="11">IF(CK$7="","",CK$7*$E$47)</f>
        <v/>
      </c>
      <c r="CL53" s="63"/>
      <c r="CM53" s="63"/>
      <c r="CN53" s="63"/>
      <c r="CO53" s="63"/>
      <c r="CP53" s="63"/>
      <c r="CQ53" s="63" t="str">
        <f t="shared" si="11"/>
        <v/>
      </c>
      <c r="CR53" s="63" t="str">
        <f t="shared" si="11"/>
        <v/>
      </c>
      <c r="CS53" s="63" t="str">
        <f t="shared" si="11"/>
        <v/>
      </c>
      <c r="CT53" s="63" t="str">
        <f>IF(CT$7="","",CT$7)</f>
        <v/>
      </c>
      <c r="CU53" s="63"/>
      <c r="CV53" s="63"/>
      <c r="CW53" s="63"/>
      <c r="CX53" s="63" t="str">
        <f t="shared" ref="CX53" si="12">IF(CX$7="","",CX$7*$E$47)</f>
        <v/>
      </c>
      <c r="CY53" s="63" t="str">
        <f>IF(CY$7="","",CY$7*$E$50)</f>
        <v/>
      </c>
      <c r="CZ53" s="63" t="str">
        <f t="shared" ref="CZ53:DD53" si="13">IF(CZ$7="","",CZ$7*$E$47)</f>
        <v/>
      </c>
      <c r="DA53" s="63" t="str">
        <f t="shared" si="13"/>
        <v/>
      </c>
      <c r="DB53" s="63" t="str">
        <f t="shared" si="13"/>
        <v/>
      </c>
      <c r="DC53" s="63" t="str">
        <f t="shared" si="13"/>
        <v/>
      </c>
      <c r="DD53" s="63" t="str">
        <f t="shared" si="13"/>
        <v/>
      </c>
      <c r="DE53" s="26" t="str">
        <f>$A$61</f>
        <v/>
      </c>
      <c r="DF53" s="63" t="str">
        <f t="shared" ref="DF53:DN53" si="14">IF(DF$7="","",DF$7*$E$47)</f>
        <v/>
      </c>
      <c r="DG53" s="63"/>
      <c r="DH53" s="63"/>
      <c r="DI53" s="63"/>
      <c r="DJ53" s="63"/>
      <c r="DK53" s="63"/>
      <c r="DL53" s="63" t="str">
        <f t="shared" si="14"/>
        <v/>
      </c>
      <c r="DM53" s="63" t="str">
        <f t="shared" si="14"/>
        <v/>
      </c>
      <c r="DN53" s="63" t="str">
        <f t="shared" si="14"/>
        <v/>
      </c>
      <c r="DO53" s="63" t="str">
        <f>IF(DO$7="","",DO$7)</f>
        <v/>
      </c>
      <c r="DP53" s="63"/>
      <c r="DQ53" s="63"/>
      <c r="DR53" s="63"/>
      <c r="DS53" s="63" t="str">
        <f t="shared" ref="DS53" si="15">IF(DS$7="","",DS$7*$E$47)</f>
        <v/>
      </c>
      <c r="DT53" s="63" t="str">
        <f>IF(DT$7="","",DT$7*$E$50)</f>
        <v/>
      </c>
      <c r="DU53" s="63" t="str">
        <f t="shared" ref="DU53:DY53" si="16">IF(DU$7="","",DU$7*$E$47)</f>
        <v/>
      </c>
      <c r="DV53" s="63" t="str">
        <f t="shared" si="16"/>
        <v/>
      </c>
      <c r="DW53" s="63" t="str">
        <f t="shared" si="16"/>
        <v/>
      </c>
      <c r="DX53" s="63" t="str">
        <f t="shared" si="16"/>
        <v/>
      </c>
      <c r="DY53" s="63" t="str">
        <f t="shared" si="16"/>
        <v/>
      </c>
      <c r="DZ53" s="26" t="str">
        <f>$A$62</f>
        <v/>
      </c>
      <c r="EA53" s="63" t="str">
        <f t="shared" ref="EA53:EI53" si="17">IF(EA$7="","",EA$7*$E$47)</f>
        <v/>
      </c>
      <c r="EB53" s="63"/>
      <c r="EC53" s="63"/>
      <c r="ED53" s="63"/>
      <c r="EE53" s="63"/>
      <c r="EF53" s="63"/>
      <c r="EG53" s="63" t="str">
        <f t="shared" si="17"/>
        <v/>
      </c>
      <c r="EH53" s="63" t="str">
        <f t="shared" si="17"/>
        <v/>
      </c>
      <c r="EI53" s="63" t="str">
        <f t="shared" si="17"/>
        <v/>
      </c>
      <c r="EJ53" s="63" t="str">
        <f>IF(EJ$7="","",EJ$7)</f>
        <v/>
      </c>
      <c r="EK53" s="63"/>
      <c r="EL53" s="63"/>
      <c r="EM53" s="63"/>
      <c r="EN53" s="63" t="str">
        <f t="shared" ref="EN53" si="18">IF(EN$7="","",EN$7*$E$47)</f>
        <v/>
      </c>
      <c r="EO53" s="63" t="str">
        <f>IF(EO$7="","",EO$7*$E$50)</f>
        <v/>
      </c>
      <c r="EP53" s="63" t="str">
        <f t="shared" ref="EP53:ET53" si="19">IF(EP$7="","",EP$7*$E$47)</f>
        <v/>
      </c>
      <c r="EQ53" s="63" t="str">
        <f t="shared" si="19"/>
        <v/>
      </c>
      <c r="ER53" s="63" t="str">
        <f t="shared" si="19"/>
        <v/>
      </c>
      <c r="ES53" s="63" t="str">
        <f t="shared" si="19"/>
        <v/>
      </c>
      <c r="ET53" s="63" t="str">
        <f t="shared" si="19"/>
        <v/>
      </c>
      <c r="EU53" s="26" t="str">
        <f>$A$63</f>
        <v/>
      </c>
      <c r="EV53" s="63" t="str">
        <f t="shared" ref="EV53:FD53" si="20">IF(EV$7="","",EV$7*$E$47)</f>
        <v/>
      </c>
      <c r="EW53" s="63"/>
      <c r="EX53" s="63"/>
      <c r="EY53" s="63"/>
      <c r="EZ53" s="63"/>
      <c r="FA53" s="63"/>
      <c r="FB53" s="63" t="str">
        <f t="shared" si="20"/>
        <v/>
      </c>
      <c r="FC53" s="63" t="str">
        <f t="shared" si="20"/>
        <v/>
      </c>
      <c r="FD53" s="63" t="str">
        <f t="shared" si="20"/>
        <v/>
      </c>
      <c r="FE53" s="63" t="str">
        <f>IF(FE$7="","",FE$7)</f>
        <v/>
      </c>
      <c r="FF53" s="63"/>
      <c r="FG53" s="63"/>
      <c r="FH53" s="63"/>
      <c r="FI53" s="63" t="str">
        <f t="shared" ref="FI53" si="21">IF(FI$7="","",FI$7*$E$47)</f>
        <v/>
      </c>
      <c r="FJ53" s="63" t="str">
        <f>IF(FJ$7="","",FJ$7*$E$50)</f>
        <v/>
      </c>
      <c r="FK53" s="63" t="str">
        <f t="shared" ref="FK53:FO53" si="22">IF(FK$7="","",FK$7*$E$47)</f>
        <v/>
      </c>
      <c r="FL53" s="63" t="str">
        <f t="shared" si="22"/>
        <v/>
      </c>
      <c r="FM53" s="63" t="str">
        <f t="shared" si="22"/>
        <v/>
      </c>
      <c r="FN53" s="63" t="str">
        <f t="shared" si="22"/>
        <v/>
      </c>
      <c r="FO53" s="63" t="str">
        <f t="shared" si="22"/>
        <v/>
      </c>
      <c r="FP53" s="26" t="str">
        <f>$A$64</f>
        <v/>
      </c>
      <c r="FQ53" s="63" t="str">
        <f t="shared" ref="FQ53:FY53" si="23">IF(FQ$7="","",FQ$7*$E$47)</f>
        <v/>
      </c>
      <c r="FR53" s="63"/>
      <c r="FS53" s="63"/>
      <c r="FT53" s="63"/>
      <c r="FU53" s="63"/>
      <c r="FV53" s="63"/>
      <c r="FW53" s="63" t="str">
        <f t="shared" si="23"/>
        <v/>
      </c>
      <c r="FX53" s="63" t="str">
        <f t="shared" si="23"/>
        <v/>
      </c>
      <c r="FY53" s="63" t="str">
        <f t="shared" si="23"/>
        <v/>
      </c>
      <c r="FZ53" s="63" t="str">
        <f>IF(FZ$7="","",FZ$7)</f>
        <v/>
      </c>
      <c r="GA53" s="63"/>
      <c r="GB53" s="63"/>
      <c r="GC53" s="63"/>
      <c r="GD53" s="63" t="str">
        <f t="shared" ref="GD53" si="24">IF(GD$7="","",GD$7*$E$47)</f>
        <v/>
      </c>
      <c r="GE53" s="63" t="str">
        <f>IF(GE$7="","",GE$7*$E$50)</f>
        <v/>
      </c>
      <c r="GF53" s="63" t="str">
        <f t="shared" ref="GF53:GJ53" si="25">IF(GF$7="","",GF$7*$E$47)</f>
        <v/>
      </c>
      <c r="GG53" s="63" t="str">
        <f t="shared" si="25"/>
        <v/>
      </c>
      <c r="GH53" s="63" t="str">
        <f t="shared" si="25"/>
        <v/>
      </c>
      <c r="GI53" s="63" t="str">
        <f t="shared" si="25"/>
        <v/>
      </c>
      <c r="GJ53" s="63" t="str">
        <f t="shared" si="25"/>
        <v/>
      </c>
      <c r="GK53" s="26" t="str">
        <f>$A$65</f>
        <v/>
      </c>
      <c r="GL53" s="63" t="str">
        <f t="shared" ref="GL53:GT53" si="26">IF(GL$7="","",GL$7*$E$47)</f>
        <v/>
      </c>
      <c r="GM53" s="63"/>
      <c r="GN53" s="63"/>
      <c r="GO53" s="63"/>
      <c r="GP53" s="63"/>
      <c r="GQ53" s="63"/>
      <c r="GR53" s="63" t="str">
        <f t="shared" si="26"/>
        <v/>
      </c>
      <c r="GS53" s="63" t="str">
        <f t="shared" si="26"/>
        <v/>
      </c>
      <c r="GT53" s="63" t="str">
        <f t="shared" si="26"/>
        <v/>
      </c>
      <c r="GU53" s="63" t="str">
        <f>IF(GU$7="","",GU$7)</f>
        <v/>
      </c>
      <c r="GV53" s="63"/>
      <c r="GW53" s="63"/>
      <c r="GX53" s="63"/>
      <c r="GY53" s="63" t="str">
        <f t="shared" ref="GY53" si="27">IF(GY$7="","",GY$7*$E$47)</f>
        <v/>
      </c>
      <c r="GZ53" s="63" t="str">
        <f>IF(GZ$7="","",GZ$7*$E$50)</f>
        <v/>
      </c>
      <c r="HA53" s="63" t="str">
        <f t="shared" ref="HA53:HE53" si="28">IF(HA$7="","",HA$7*$E$47)</f>
        <v/>
      </c>
      <c r="HB53" s="63" t="str">
        <f t="shared" si="28"/>
        <v/>
      </c>
      <c r="HC53" s="63" t="str">
        <f t="shared" si="28"/>
        <v/>
      </c>
      <c r="HD53" s="63" t="str">
        <f t="shared" si="28"/>
        <v/>
      </c>
      <c r="HE53" s="63" t="str">
        <f t="shared" si="28"/>
        <v/>
      </c>
      <c r="HF53" s="26" t="str">
        <f>$A$66</f>
        <v/>
      </c>
      <c r="HG53" s="63" t="str">
        <f t="shared" ref="HG53:HO53" si="29">IF(HG$7="","",HG$7*$E$47)</f>
        <v/>
      </c>
      <c r="HH53" s="63"/>
      <c r="HI53" s="63"/>
      <c r="HJ53" s="63"/>
      <c r="HK53" s="63"/>
      <c r="HL53" s="63"/>
      <c r="HM53" s="63" t="str">
        <f t="shared" si="29"/>
        <v/>
      </c>
      <c r="HN53" s="63" t="str">
        <f t="shared" si="29"/>
        <v/>
      </c>
      <c r="HO53" s="63" t="str">
        <f t="shared" si="29"/>
        <v/>
      </c>
      <c r="HP53" s="63" t="str">
        <f>IF(HP$7="","",HP$7)</f>
        <v/>
      </c>
      <c r="HQ53" s="63"/>
      <c r="HR53" s="63"/>
      <c r="HS53" s="63"/>
      <c r="HT53" s="63" t="str">
        <f t="shared" ref="HT53" si="30">IF(HT$7="","",HT$7*$E$47)</f>
        <v/>
      </c>
      <c r="HU53" s="63" t="str">
        <f>IF(HU$7="","",HU$7*$E$50)</f>
        <v/>
      </c>
      <c r="HV53" s="63" t="str">
        <f t="shared" ref="HV53:HZ53" si="31">IF(HV$7="","",HV$7*$E$47)</f>
        <v/>
      </c>
      <c r="HW53" s="63" t="str">
        <f t="shared" si="31"/>
        <v/>
      </c>
      <c r="HX53" s="63" t="str">
        <f t="shared" si="31"/>
        <v/>
      </c>
      <c r="HY53" s="63" t="str">
        <f t="shared" si="31"/>
        <v/>
      </c>
      <c r="HZ53" s="63" t="str">
        <f t="shared" si="31"/>
        <v/>
      </c>
      <c r="IA53" s="26" t="str">
        <f>$A$67</f>
        <v/>
      </c>
      <c r="IB53" s="63" t="str">
        <f t="shared" ref="IB53:IJ53" si="32">IF(IB$7="","",IB$7*$E$47)</f>
        <v/>
      </c>
      <c r="IC53" s="63"/>
      <c r="ID53" s="63"/>
      <c r="IE53" s="63"/>
      <c r="IF53" s="63"/>
      <c r="IG53" s="63"/>
      <c r="IH53" s="63" t="str">
        <f t="shared" si="32"/>
        <v/>
      </c>
      <c r="II53" s="63" t="str">
        <f t="shared" si="32"/>
        <v/>
      </c>
      <c r="IJ53" s="63" t="str">
        <f t="shared" si="32"/>
        <v/>
      </c>
      <c r="IK53" s="63" t="str">
        <f>IF(IK$7="","",IK$7)</f>
        <v/>
      </c>
      <c r="IL53" s="63"/>
      <c r="IM53" s="63"/>
      <c r="IN53" s="63"/>
      <c r="IO53" s="63" t="str">
        <f t="shared" ref="IO53" si="33">IF(IO$7="","",IO$7*$E$47)</f>
        <v/>
      </c>
      <c r="IP53" s="63" t="str">
        <f>IF(IP$7="","",IP$7*$E$50)</f>
        <v/>
      </c>
      <c r="IQ53" s="63" t="str">
        <f t="shared" ref="IQ53:IU53" si="34">IF(IQ$7="","",IQ$7*$E$47)</f>
        <v/>
      </c>
      <c r="IR53" s="63" t="str">
        <f t="shared" si="34"/>
        <v/>
      </c>
      <c r="IS53" s="63" t="str">
        <f t="shared" si="34"/>
        <v/>
      </c>
      <c r="IT53" s="63" t="str">
        <f t="shared" si="34"/>
        <v/>
      </c>
      <c r="IU53" s="63" t="str">
        <f t="shared" si="34"/>
        <v/>
      </c>
      <c r="IV53" s="114"/>
    </row>
    <row r="54" spans="1:256" s="56" customFormat="1" ht="25.5" x14ac:dyDescent="0.2">
      <c r="A54" s="9" t="s">
        <v>2</v>
      </c>
      <c r="B54" s="9" t="s">
        <v>63</v>
      </c>
      <c r="D54" s="79" t="str">
        <f>D8</f>
        <v>Flow</v>
      </c>
      <c r="E54" s="77" t="str">
        <f t="shared" ref="E54:X54" si="35">E8</f>
        <v>Head</v>
      </c>
      <c r="F54" s="74" t="str">
        <f t="shared" si="35"/>
        <v>Disabled</v>
      </c>
      <c r="G54" s="74" t="str">
        <f t="shared" si="35"/>
        <v>On Curve</v>
      </c>
      <c r="H54" s="74" t="str">
        <f t="shared" si="35"/>
        <v>Division Point</v>
      </c>
      <c r="I54" s="74" t="str">
        <f t="shared" si="35"/>
        <v>Slope Enabled</v>
      </c>
      <c r="J54" s="77" t="str">
        <f t="shared" si="35"/>
        <v>Slope Value</v>
      </c>
      <c r="K54" s="74" t="str">
        <f t="shared" si="35"/>
        <v>Flow</v>
      </c>
      <c r="L54" s="77" t="str">
        <f t="shared" si="35"/>
        <v>Power</v>
      </c>
      <c r="M54" s="74" t="str">
        <f t="shared" si="35"/>
        <v>Disabled</v>
      </c>
      <c r="N54" s="74" t="str">
        <f t="shared" si="35"/>
        <v>On Curve</v>
      </c>
      <c r="O54" s="74" t="str">
        <f t="shared" si="35"/>
        <v>Division Point</v>
      </c>
      <c r="P54" s="74" t="str">
        <f t="shared" si="35"/>
        <v>Slope Enabled</v>
      </c>
      <c r="Q54" s="77" t="str">
        <f t="shared" si="35"/>
        <v>Slope Value</v>
      </c>
      <c r="R54" s="74" t="str">
        <f t="shared" si="35"/>
        <v>Flow</v>
      </c>
      <c r="S54" s="74" t="str">
        <f t="shared" si="35"/>
        <v>NPSH</v>
      </c>
      <c r="T54" s="74" t="str">
        <f t="shared" si="35"/>
        <v>Disabled</v>
      </c>
      <c r="U54" s="74" t="str">
        <f t="shared" si="35"/>
        <v>On Curve</v>
      </c>
      <c r="V54" s="74" t="str">
        <f t="shared" si="35"/>
        <v>Division Point</v>
      </c>
      <c r="W54" s="74" t="str">
        <f t="shared" si="35"/>
        <v>Slope Enabled</v>
      </c>
      <c r="X54" s="80" t="str">
        <f t="shared" si="35"/>
        <v>Slope Value</v>
      </c>
      <c r="Y54" s="79" t="str">
        <f>Y8</f>
        <v>Flow</v>
      </c>
      <c r="Z54" s="77" t="str">
        <f t="shared" ref="Z54:AS54" si="36">Z8</f>
        <v>Head</v>
      </c>
      <c r="AA54" s="74" t="str">
        <f t="shared" si="36"/>
        <v>Disabled</v>
      </c>
      <c r="AB54" s="74" t="str">
        <f t="shared" si="36"/>
        <v>On Curve</v>
      </c>
      <c r="AC54" s="74" t="str">
        <f t="shared" si="36"/>
        <v>Division Point</v>
      </c>
      <c r="AD54" s="74" t="str">
        <f t="shared" si="36"/>
        <v>Slope Enabled</v>
      </c>
      <c r="AE54" s="77" t="str">
        <f t="shared" si="36"/>
        <v>Slope Value</v>
      </c>
      <c r="AF54" s="74" t="str">
        <f t="shared" si="36"/>
        <v>Flow</v>
      </c>
      <c r="AG54" s="77" t="str">
        <f t="shared" si="36"/>
        <v>Power</v>
      </c>
      <c r="AH54" s="74" t="str">
        <f t="shared" si="36"/>
        <v>Disabled</v>
      </c>
      <c r="AI54" s="74" t="str">
        <f t="shared" si="36"/>
        <v>On Curve</v>
      </c>
      <c r="AJ54" s="74" t="str">
        <f t="shared" si="36"/>
        <v>Division Point</v>
      </c>
      <c r="AK54" s="74" t="str">
        <f t="shared" si="36"/>
        <v>Slope Enabled</v>
      </c>
      <c r="AL54" s="77" t="str">
        <f t="shared" si="36"/>
        <v>Slope Value</v>
      </c>
      <c r="AM54" s="74" t="str">
        <f t="shared" si="36"/>
        <v>Flow</v>
      </c>
      <c r="AN54" s="77" t="str">
        <f t="shared" si="36"/>
        <v>NPSH</v>
      </c>
      <c r="AO54" s="74" t="str">
        <f t="shared" si="36"/>
        <v>Disabled</v>
      </c>
      <c r="AP54" s="74" t="str">
        <f t="shared" si="36"/>
        <v>On Curve</v>
      </c>
      <c r="AQ54" s="74" t="str">
        <f t="shared" si="36"/>
        <v>Division Point</v>
      </c>
      <c r="AR54" s="74" t="str">
        <f t="shared" si="36"/>
        <v>Slope Enabled</v>
      </c>
      <c r="AS54" s="80" t="str">
        <f t="shared" si="36"/>
        <v>Slope Value</v>
      </c>
      <c r="AT54" s="79" t="str">
        <f>AT8</f>
        <v>Flow</v>
      </c>
      <c r="AU54" s="77" t="str">
        <f t="shared" ref="AU54:BN54" si="37">AU8</f>
        <v>Head</v>
      </c>
      <c r="AV54" s="74" t="str">
        <f t="shared" si="37"/>
        <v>Disabled</v>
      </c>
      <c r="AW54" s="74" t="str">
        <f t="shared" si="37"/>
        <v>On Curve</v>
      </c>
      <c r="AX54" s="74" t="str">
        <f t="shared" si="37"/>
        <v>Division Point</v>
      </c>
      <c r="AY54" s="74" t="str">
        <f t="shared" si="37"/>
        <v>Slope Enabled</v>
      </c>
      <c r="AZ54" s="77" t="str">
        <f t="shared" si="37"/>
        <v>Slope Value</v>
      </c>
      <c r="BA54" s="74" t="str">
        <f t="shared" si="37"/>
        <v>Flow</v>
      </c>
      <c r="BB54" s="77" t="str">
        <f t="shared" si="37"/>
        <v>Power</v>
      </c>
      <c r="BC54" s="74" t="str">
        <f t="shared" si="37"/>
        <v>Disabled</v>
      </c>
      <c r="BD54" s="74" t="str">
        <f t="shared" si="37"/>
        <v>On Curve</v>
      </c>
      <c r="BE54" s="74" t="str">
        <f t="shared" si="37"/>
        <v>Division Point</v>
      </c>
      <c r="BF54" s="74" t="str">
        <f t="shared" si="37"/>
        <v>Slope Enabled</v>
      </c>
      <c r="BG54" s="77" t="str">
        <f t="shared" si="37"/>
        <v>Slope Value</v>
      </c>
      <c r="BH54" s="74" t="str">
        <f t="shared" si="37"/>
        <v>Flow</v>
      </c>
      <c r="BI54" s="77" t="str">
        <f t="shared" si="37"/>
        <v>NPSH</v>
      </c>
      <c r="BJ54" s="74" t="str">
        <f t="shared" si="37"/>
        <v>Disabled</v>
      </c>
      <c r="BK54" s="74" t="str">
        <f t="shared" si="37"/>
        <v>On Curve</v>
      </c>
      <c r="BL54" s="74" t="str">
        <f t="shared" si="37"/>
        <v>Division Point</v>
      </c>
      <c r="BM54" s="74" t="str">
        <f t="shared" si="37"/>
        <v>Slope Enabled</v>
      </c>
      <c r="BN54" s="80" t="str">
        <f t="shared" si="37"/>
        <v>Slope Value</v>
      </c>
      <c r="BO54" s="79" t="str">
        <f>BO8</f>
        <v>Flow</v>
      </c>
      <c r="BP54" s="77" t="str">
        <f t="shared" ref="BP54:CI54" si="38">BP8</f>
        <v>Head</v>
      </c>
      <c r="BQ54" s="74" t="str">
        <f t="shared" si="38"/>
        <v>Disabled</v>
      </c>
      <c r="BR54" s="74" t="str">
        <f t="shared" si="38"/>
        <v>On Curve</v>
      </c>
      <c r="BS54" s="74" t="str">
        <f t="shared" si="38"/>
        <v>Division Point</v>
      </c>
      <c r="BT54" s="74" t="str">
        <f t="shared" si="38"/>
        <v>Slope Enabled</v>
      </c>
      <c r="BU54" s="77" t="str">
        <f t="shared" si="38"/>
        <v>Slope Value</v>
      </c>
      <c r="BV54" s="74" t="str">
        <f t="shared" si="38"/>
        <v>Flow</v>
      </c>
      <c r="BW54" s="77" t="str">
        <f t="shared" si="38"/>
        <v>Power</v>
      </c>
      <c r="BX54" s="74" t="str">
        <f t="shared" si="38"/>
        <v>Disabled</v>
      </c>
      <c r="BY54" s="74" t="str">
        <f t="shared" si="38"/>
        <v>On Curve</v>
      </c>
      <c r="BZ54" s="74" t="str">
        <f t="shared" si="38"/>
        <v>Division Point</v>
      </c>
      <c r="CA54" s="74" t="str">
        <f t="shared" si="38"/>
        <v>Slope Enabled</v>
      </c>
      <c r="CB54" s="77" t="str">
        <f t="shared" si="38"/>
        <v>Slope Value</v>
      </c>
      <c r="CC54" s="74" t="str">
        <f t="shared" si="38"/>
        <v>Flow</v>
      </c>
      <c r="CD54" s="77" t="str">
        <f t="shared" si="38"/>
        <v>NPSH</v>
      </c>
      <c r="CE54" s="74" t="str">
        <f t="shared" si="38"/>
        <v>Disabled</v>
      </c>
      <c r="CF54" s="74" t="str">
        <f t="shared" si="38"/>
        <v>On Curve</v>
      </c>
      <c r="CG54" s="74" t="str">
        <f t="shared" si="38"/>
        <v>Division Point</v>
      </c>
      <c r="CH54" s="74" t="str">
        <f t="shared" si="38"/>
        <v>Slope Enabled</v>
      </c>
      <c r="CI54" s="80" t="str">
        <f t="shared" si="38"/>
        <v>Slope Value</v>
      </c>
      <c r="CJ54" s="79" t="str">
        <f>CJ8</f>
        <v>Flow</v>
      </c>
      <c r="CK54" s="77" t="str">
        <f t="shared" ref="CK54:DD54" si="39">CK8</f>
        <v>Head</v>
      </c>
      <c r="CL54" s="74" t="str">
        <f t="shared" si="39"/>
        <v>Disabled</v>
      </c>
      <c r="CM54" s="74" t="str">
        <f t="shared" si="39"/>
        <v>On Curve</v>
      </c>
      <c r="CN54" s="74" t="str">
        <f t="shared" si="39"/>
        <v>Division Point</v>
      </c>
      <c r="CO54" s="74" t="str">
        <f t="shared" si="39"/>
        <v>Slope Enabled</v>
      </c>
      <c r="CP54" s="77" t="str">
        <f t="shared" si="39"/>
        <v>Slope Value</v>
      </c>
      <c r="CQ54" s="74" t="str">
        <f t="shared" si="39"/>
        <v>Flow</v>
      </c>
      <c r="CR54" s="77" t="str">
        <f t="shared" si="39"/>
        <v>Power</v>
      </c>
      <c r="CS54" s="74" t="str">
        <f t="shared" si="39"/>
        <v>Disabled</v>
      </c>
      <c r="CT54" s="74" t="str">
        <f t="shared" si="39"/>
        <v>On Curve</v>
      </c>
      <c r="CU54" s="74" t="str">
        <f t="shared" si="39"/>
        <v>Division Point</v>
      </c>
      <c r="CV54" s="74" t="str">
        <f t="shared" si="39"/>
        <v>Slope Enabled</v>
      </c>
      <c r="CW54" s="77" t="str">
        <f t="shared" si="39"/>
        <v>Slope Value</v>
      </c>
      <c r="CX54" s="74" t="str">
        <f t="shared" si="39"/>
        <v>Flow</v>
      </c>
      <c r="CY54" s="77" t="str">
        <f t="shared" si="39"/>
        <v>NPSH</v>
      </c>
      <c r="CZ54" s="74" t="str">
        <f t="shared" si="39"/>
        <v>Disabled</v>
      </c>
      <c r="DA54" s="74" t="str">
        <f t="shared" si="39"/>
        <v>On Curve</v>
      </c>
      <c r="DB54" s="74" t="str">
        <f t="shared" si="39"/>
        <v>Division Point</v>
      </c>
      <c r="DC54" s="74" t="str">
        <f t="shared" si="39"/>
        <v>Slope Enabled</v>
      </c>
      <c r="DD54" s="80" t="str">
        <f t="shared" si="39"/>
        <v>Slope Value</v>
      </c>
      <c r="DE54" s="79" t="str">
        <f>DE8</f>
        <v>Flow</v>
      </c>
      <c r="DF54" s="77" t="str">
        <f t="shared" ref="DF54:DY54" si="40">DF8</f>
        <v>Head</v>
      </c>
      <c r="DG54" s="74" t="str">
        <f t="shared" si="40"/>
        <v>Disabled</v>
      </c>
      <c r="DH54" s="74" t="str">
        <f t="shared" si="40"/>
        <v>On Curve</v>
      </c>
      <c r="DI54" s="74" t="str">
        <f t="shared" si="40"/>
        <v>Division Point</v>
      </c>
      <c r="DJ54" s="74" t="str">
        <f t="shared" si="40"/>
        <v>Slope Enabled</v>
      </c>
      <c r="DK54" s="77" t="str">
        <f t="shared" si="40"/>
        <v>Slope Value</v>
      </c>
      <c r="DL54" s="74" t="str">
        <f t="shared" si="40"/>
        <v>Flow</v>
      </c>
      <c r="DM54" s="77" t="str">
        <f t="shared" si="40"/>
        <v>Power</v>
      </c>
      <c r="DN54" s="74" t="str">
        <f t="shared" si="40"/>
        <v>Disabled</v>
      </c>
      <c r="DO54" s="74" t="str">
        <f t="shared" si="40"/>
        <v>On Curve</v>
      </c>
      <c r="DP54" s="74" t="str">
        <f t="shared" si="40"/>
        <v>Division Point</v>
      </c>
      <c r="DQ54" s="74" t="str">
        <f t="shared" si="40"/>
        <v>Slope Enabled</v>
      </c>
      <c r="DR54" s="77" t="str">
        <f t="shared" si="40"/>
        <v>Slope Value</v>
      </c>
      <c r="DS54" s="74" t="str">
        <f t="shared" si="40"/>
        <v>Flow</v>
      </c>
      <c r="DT54" s="77" t="str">
        <f t="shared" si="40"/>
        <v>NPSH</v>
      </c>
      <c r="DU54" s="74" t="str">
        <f t="shared" si="40"/>
        <v>Disabled</v>
      </c>
      <c r="DV54" s="74" t="str">
        <f t="shared" si="40"/>
        <v>On Curve</v>
      </c>
      <c r="DW54" s="74" t="str">
        <f t="shared" si="40"/>
        <v>Division Point</v>
      </c>
      <c r="DX54" s="74" t="str">
        <f t="shared" si="40"/>
        <v>Slope Enabled</v>
      </c>
      <c r="DY54" s="80" t="str">
        <f t="shared" si="40"/>
        <v>Slope Value</v>
      </c>
      <c r="DZ54" s="79" t="str">
        <f>DZ8</f>
        <v>Flow</v>
      </c>
      <c r="EA54" s="77" t="str">
        <f t="shared" ref="EA54:ET54" si="41">EA8</f>
        <v>Head</v>
      </c>
      <c r="EB54" s="74" t="str">
        <f t="shared" si="41"/>
        <v>Disabled</v>
      </c>
      <c r="EC54" s="74" t="str">
        <f t="shared" si="41"/>
        <v>On Curve</v>
      </c>
      <c r="ED54" s="74" t="str">
        <f t="shared" si="41"/>
        <v>Division Point</v>
      </c>
      <c r="EE54" s="74" t="str">
        <f t="shared" si="41"/>
        <v>Slope Enabled</v>
      </c>
      <c r="EF54" s="77" t="str">
        <f t="shared" si="41"/>
        <v>Slope Value</v>
      </c>
      <c r="EG54" s="74" t="str">
        <f t="shared" si="41"/>
        <v>Flow</v>
      </c>
      <c r="EH54" s="77" t="str">
        <f t="shared" si="41"/>
        <v>Power</v>
      </c>
      <c r="EI54" s="74" t="str">
        <f t="shared" si="41"/>
        <v>Disabled</v>
      </c>
      <c r="EJ54" s="74" t="str">
        <f t="shared" si="41"/>
        <v>On Curve</v>
      </c>
      <c r="EK54" s="74" t="str">
        <f t="shared" si="41"/>
        <v>Division Point</v>
      </c>
      <c r="EL54" s="74" t="str">
        <f t="shared" si="41"/>
        <v>Slope Enabled</v>
      </c>
      <c r="EM54" s="77" t="str">
        <f t="shared" si="41"/>
        <v>Slope Value</v>
      </c>
      <c r="EN54" s="74" t="str">
        <f t="shared" si="41"/>
        <v>Flow</v>
      </c>
      <c r="EO54" s="77" t="str">
        <f t="shared" si="41"/>
        <v>NPSH</v>
      </c>
      <c r="EP54" s="74" t="str">
        <f t="shared" si="41"/>
        <v>Disabled</v>
      </c>
      <c r="EQ54" s="74" t="str">
        <f t="shared" si="41"/>
        <v>On Curve</v>
      </c>
      <c r="ER54" s="74" t="str">
        <f t="shared" si="41"/>
        <v>Division Point</v>
      </c>
      <c r="ES54" s="74" t="str">
        <f t="shared" si="41"/>
        <v>Slope Enabled</v>
      </c>
      <c r="ET54" s="80" t="str">
        <f t="shared" si="41"/>
        <v>Slope Value</v>
      </c>
      <c r="EU54" s="79" t="str">
        <f>EU8</f>
        <v>Flow</v>
      </c>
      <c r="EV54" s="77" t="str">
        <f t="shared" ref="EV54:FO54" si="42">EV8</f>
        <v>Head</v>
      </c>
      <c r="EW54" s="74" t="str">
        <f t="shared" si="42"/>
        <v>Disabled</v>
      </c>
      <c r="EX54" s="74" t="str">
        <f t="shared" si="42"/>
        <v>On Curve</v>
      </c>
      <c r="EY54" s="74" t="str">
        <f t="shared" si="42"/>
        <v>Division Point</v>
      </c>
      <c r="EZ54" s="74" t="str">
        <f t="shared" si="42"/>
        <v>Slope Enabled</v>
      </c>
      <c r="FA54" s="77" t="str">
        <f t="shared" si="42"/>
        <v>Slope Value</v>
      </c>
      <c r="FB54" s="74" t="str">
        <f t="shared" si="42"/>
        <v>Flow</v>
      </c>
      <c r="FC54" s="77" t="str">
        <f t="shared" si="42"/>
        <v>Power</v>
      </c>
      <c r="FD54" s="74" t="str">
        <f t="shared" si="42"/>
        <v>Disabled</v>
      </c>
      <c r="FE54" s="74" t="str">
        <f t="shared" si="42"/>
        <v>On Curve</v>
      </c>
      <c r="FF54" s="74" t="str">
        <f t="shared" si="42"/>
        <v>Division Point</v>
      </c>
      <c r="FG54" s="74" t="str">
        <f t="shared" si="42"/>
        <v>Slope Enabled</v>
      </c>
      <c r="FH54" s="77" t="str">
        <f t="shared" si="42"/>
        <v>Slope Value</v>
      </c>
      <c r="FI54" s="74" t="str">
        <f t="shared" si="42"/>
        <v>Flow</v>
      </c>
      <c r="FJ54" s="77" t="str">
        <f t="shared" si="42"/>
        <v>NPSH</v>
      </c>
      <c r="FK54" s="74" t="str">
        <f t="shared" si="42"/>
        <v>Disabled</v>
      </c>
      <c r="FL54" s="74" t="str">
        <f t="shared" si="42"/>
        <v>On Curve</v>
      </c>
      <c r="FM54" s="74" t="str">
        <f t="shared" si="42"/>
        <v>Division Point</v>
      </c>
      <c r="FN54" s="74" t="str">
        <f t="shared" si="42"/>
        <v>Slope Enabled</v>
      </c>
      <c r="FO54" s="80" t="str">
        <f t="shared" si="42"/>
        <v>Slope Value</v>
      </c>
      <c r="FP54" s="79" t="str">
        <f>FP8</f>
        <v>Flow</v>
      </c>
      <c r="FQ54" s="77" t="str">
        <f t="shared" ref="FQ54:GJ54" si="43">FQ8</f>
        <v>Head</v>
      </c>
      <c r="FR54" s="74" t="str">
        <f t="shared" si="43"/>
        <v>Disabled</v>
      </c>
      <c r="FS54" s="74" t="str">
        <f t="shared" si="43"/>
        <v>On Curve</v>
      </c>
      <c r="FT54" s="74" t="str">
        <f t="shared" si="43"/>
        <v>Division Point</v>
      </c>
      <c r="FU54" s="74" t="str">
        <f t="shared" si="43"/>
        <v>Slope Enabled</v>
      </c>
      <c r="FV54" s="77" t="str">
        <f t="shared" si="43"/>
        <v>Slope Value</v>
      </c>
      <c r="FW54" s="74" t="str">
        <f t="shared" si="43"/>
        <v>Flow</v>
      </c>
      <c r="FX54" s="77" t="str">
        <f t="shared" si="43"/>
        <v>Power</v>
      </c>
      <c r="FY54" s="74" t="str">
        <f t="shared" si="43"/>
        <v>Disabled</v>
      </c>
      <c r="FZ54" s="74" t="str">
        <f t="shared" si="43"/>
        <v>On Curve</v>
      </c>
      <c r="GA54" s="74" t="str">
        <f t="shared" si="43"/>
        <v>Division Point</v>
      </c>
      <c r="GB54" s="74" t="str">
        <f t="shared" si="43"/>
        <v>Slope Enabled</v>
      </c>
      <c r="GC54" s="77" t="str">
        <f t="shared" si="43"/>
        <v>Slope Value</v>
      </c>
      <c r="GD54" s="74" t="str">
        <f t="shared" si="43"/>
        <v>Flow</v>
      </c>
      <c r="GE54" s="77" t="str">
        <f t="shared" si="43"/>
        <v>NPSH</v>
      </c>
      <c r="GF54" s="74" t="str">
        <f t="shared" si="43"/>
        <v>Disabled</v>
      </c>
      <c r="GG54" s="74" t="str">
        <f t="shared" si="43"/>
        <v>On Curve</v>
      </c>
      <c r="GH54" s="74" t="str">
        <f t="shared" si="43"/>
        <v>Division Point</v>
      </c>
      <c r="GI54" s="74" t="str">
        <f t="shared" si="43"/>
        <v>Slope Enabled</v>
      </c>
      <c r="GJ54" s="80" t="str">
        <f t="shared" si="43"/>
        <v>Slope Value</v>
      </c>
      <c r="GK54" s="79" t="str">
        <f>GK8</f>
        <v>Flow</v>
      </c>
      <c r="GL54" s="77" t="str">
        <f t="shared" ref="GL54:HE54" si="44">GL8</f>
        <v>Head</v>
      </c>
      <c r="GM54" s="74" t="str">
        <f t="shared" si="44"/>
        <v>Disabled</v>
      </c>
      <c r="GN54" s="74" t="str">
        <f t="shared" si="44"/>
        <v>On Curve</v>
      </c>
      <c r="GO54" s="74" t="str">
        <f t="shared" si="44"/>
        <v>Division Point</v>
      </c>
      <c r="GP54" s="74" t="str">
        <f t="shared" si="44"/>
        <v>Slope Enabled</v>
      </c>
      <c r="GQ54" s="77" t="str">
        <f t="shared" si="44"/>
        <v>Slope Value</v>
      </c>
      <c r="GR54" s="74" t="str">
        <f t="shared" si="44"/>
        <v>Flow</v>
      </c>
      <c r="GS54" s="77" t="str">
        <f t="shared" si="44"/>
        <v>Power</v>
      </c>
      <c r="GT54" s="74" t="str">
        <f t="shared" si="44"/>
        <v>Disabled</v>
      </c>
      <c r="GU54" s="74" t="str">
        <f t="shared" si="44"/>
        <v>On Curve</v>
      </c>
      <c r="GV54" s="74" t="str">
        <f t="shared" si="44"/>
        <v>Division Point</v>
      </c>
      <c r="GW54" s="74" t="str">
        <f t="shared" si="44"/>
        <v>Slope Enabled</v>
      </c>
      <c r="GX54" s="77" t="str">
        <f t="shared" si="44"/>
        <v>Slope Value</v>
      </c>
      <c r="GY54" s="74" t="str">
        <f t="shared" si="44"/>
        <v>Flow</v>
      </c>
      <c r="GZ54" s="77" t="str">
        <f t="shared" si="44"/>
        <v>NPSH</v>
      </c>
      <c r="HA54" s="74" t="str">
        <f t="shared" si="44"/>
        <v>Disabled</v>
      </c>
      <c r="HB54" s="74" t="str">
        <f t="shared" si="44"/>
        <v>On Curve</v>
      </c>
      <c r="HC54" s="74" t="str">
        <f t="shared" si="44"/>
        <v>Division Point</v>
      </c>
      <c r="HD54" s="74" t="str">
        <f t="shared" si="44"/>
        <v>Slope Enabled</v>
      </c>
      <c r="HE54" s="80" t="str">
        <f t="shared" si="44"/>
        <v>Slope Value</v>
      </c>
      <c r="HF54" s="79" t="str">
        <f>HF8</f>
        <v>Flow</v>
      </c>
      <c r="HG54" s="77" t="str">
        <f t="shared" ref="HG54:HZ54" si="45">HG8</f>
        <v>Head</v>
      </c>
      <c r="HH54" s="74" t="str">
        <f t="shared" si="45"/>
        <v>Disabled</v>
      </c>
      <c r="HI54" s="74" t="str">
        <f t="shared" si="45"/>
        <v>On Curve</v>
      </c>
      <c r="HJ54" s="74" t="str">
        <f t="shared" si="45"/>
        <v>Division Point</v>
      </c>
      <c r="HK54" s="74" t="str">
        <f t="shared" si="45"/>
        <v>Slope Enabled</v>
      </c>
      <c r="HL54" s="77" t="str">
        <f t="shared" si="45"/>
        <v>Slope Value</v>
      </c>
      <c r="HM54" s="74" t="str">
        <f t="shared" si="45"/>
        <v>Flow</v>
      </c>
      <c r="HN54" s="77" t="str">
        <f t="shared" si="45"/>
        <v>Power</v>
      </c>
      <c r="HO54" s="74" t="str">
        <f t="shared" si="45"/>
        <v>Disabled</v>
      </c>
      <c r="HP54" s="74" t="str">
        <f t="shared" si="45"/>
        <v>On Curve</v>
      </c>
      <c r="HQ54" s="74" t="str">
        <f t="shared" si="45"/>
        <v>Division Point</v>
      </c>
      <c r="HR54" s="74" t="str">
        <f t="shared" si="45"/>
        <v>Slope Enabled</v>
      </c>
      <c r="HS54" s="77" t="str">
        <f t="shared" si="45"/>
        <v>Slope Value</v>
      </c>
      <c r="HT54" s="74" t="str">
        <f t="shared" si="45"/>
        <v>Flow</v>
      </c>
      <c r="HU54" s="77" t="str">
        <f t="shared" si="45"/>
        <v>NPSH</v>
      </c>
      <c r="HV54" s="74" t="str">
        <f t="shared" si="45"/>
        <v>Disabled</v>
      </c>
      <c r="HW54" s="74" t="str">
        <f t="shared" si="45"/>
        <v>On Curve</v>
      </c>
      <c r="HX54" s="74" t="str">
        <f t="shared" si="45"/>
        <v>Division Point</v>
      </c>
      <c r="HY54" s="74" t="str">
        <f t="shared" si="45"/>
        <v>Slope Enabled</v>
      </c>
      <c r="HZ54" s="80" t="str">
        <f t="shared" si="45"/>
        <v>Slope Value</v>
      </c>
      <c r="IA54" s="79" t="str">
        <f>IA8</f>
        <v>Flow</v>
      </c>
      <c r="IB54" s="77" t="str">
        <f t="shared" ref="IB54:IU54" si="46">IB8</f>
        <v>Head</v>
      </c>
      <c r="IC54" s="74" t="str">
        <f t="shared" si="46"/>
        <v>Disabled</v>
      </c>
      <c r="ID54" s="74" t="str">
        <f t="shared" si="46"/>
        <v>On Curve</v>
      </c>
      <c r="IE54" s="74" t="str">
        <f t="shared" si="46"/>
        <v>Division Point</v>
      </c>
      <c r="IF54" s="74" t="str">
        <f t="shared" si="46"/>
        <v>Slope Enabled</v>
      </c>
      <c r="IG54" s="77" t="str">
        <f t="shared" si="46"/>
        <v>Slope Value</v>
      </c>
      <c r="IH54" s="74" t="str">
        <f t="shared" si="46"/>
        <v>Flow</v>
      </c>
      <c r="II54" s="77" t="str">
        <f t="shared" si="46"/>
        <v>Power</v>
      </c>
      <c r="IJ54" s="74" t="str">
        <f t="shared" si="46"/>
        <v>Disabled</v>
      </c>
      <c r="IK54" s="74" t="str">
        <f t="shared" si="46"/>
        <v>On Curve</v>
      </c>
      <c r="IL54" s="74" t="str">
        <f t="shared" si="46"/>
        <v>Division Point</v>
      </c>
      <c r="IM54" s="74" t="str">
        <f t="shared" si="46"/>
        <v>Slope Enabled</v>
      </c>
      <c r="IN54" s="77" t="str">
        <f t="shared" si="46"/>
        <v>Slope Value</v>
      </c>
      <c r="IO54" s="74" t="str">
        <f t="shared" si="46"/>
        <v>Flow</v>
      </c>
      <c r="IP54" s="77" t="str">
        <f t="shared" si="46"/>
        <v>NPSH</v>
      </c>
      <c r="IQ54" s="74" t="str">
        <f t="shared" si="46"/>
        <v>Disabled</v>
      </c>
      <c r="IR54" s="74" t="str">
        <f t="shared" si="46"/>
        <v>On Curve</v>
      </c>
      <c r="IS54" s="74" t="str">
        <f t="shared" si="46"/>
        <v>Division Point</v>
      </c>
      <c r="IT54" s="74" t="str">
        <f t="shared" si="46"/>
        <v>Slope Enabled</v>
      </c>
      <c r="IU54" s="74" t="str">
        <f t="shared" si="46"/>
        <v>Slope Value</v>
      </c>
      <c r="IV54" s="115"/>
    </row>
    <row r="55" spans="1:256" x14ac:dyDescent="0.2">
      <c r="A55" s="10" t="str">
        <f>B49</f>
        <v>mm</v>
      </c>
      <c r="B55" s="10" t="str">
        <f>B49</f>
        <v>mm</v>
      </c>
      <c r="D55" s="17" t="str">
        <f>$B$47</f>
        <v>m3/h</v>
      </c>
      <c r="E55" s="81" t="str">
        <f>$B$48</f>
        <v>m</v>
      </c>
      <c r="F55" s="18"/>
      <c r="G55" s="18"/>
      <c r="H55" s="18"/>
      <c r="I55" s="18"/>
      <c r="J55" s="81"/>
      <c r="K55" s="18" t="str">
        <f>$B$47</f>
        <v>m3/h</v>
      </c>
      <c r="L55" s="81" t="str">
        <f>IF(L54="Eta","%",$B$50)</f>
        <v>kW</v>
      </c>
      <c r="M55" s="18"/>
      <c r="N55" s="18"/>
      <c r="O55" s="18"/>
      <c r="P55" s="18"/>
      <c r="Q55" s="81"/>
      <c r="R55" s="18" t="str">
        <f>$B$47</f>
        <v>m3/h</v>
      </c>
      <c r="S55" s="18" t="str">
        <f>$B$48</f>
        <v>m</v>
      </c>
      <c r="T55" s="18"/>
      <c r="U55" s="18"/>
      <c r="V55" s="18"/>
      <c r="W55" s="18"/>
      <c r="X55" s="85"/>
      <c r="Y55" s="17" t="str">
        <f>$B$47</f>
        <v>m3/h</v>
      </c>
      <c r="Z55" s="81" t="str">
        <f>$B$48</f>
        <v>m</v>
      </c>
      <c r="AA55" s="18"/>
      <c r="AB55" s="18"/>
      <c r="AC55" s="18"/>
      <c r="AD55" s="18"/>
      <c r="AE55" s="81"/>
      <c r="AF55" s="18" t="str">
        <f>$B$47</f>
        <v>m3/h</v>
      </c>
      <c r="AG55" s="81" t="str">
        <f>IF(AG54="Eta","%",$B$50)</f>
        <v>kW</v>
      </c>
      <c r="AH55" s="18"/>
      <c r="AI55" s="18"/>
      <c r="AJ55" s="18"/>
      <c r="AK55" s="18"/>
      <c r="AL55" s="81"/>
      <c r="AM55" s="18" t="str">
        <f>$B$47</f>
        <v>m3/h</v>
      </c>
      <c r="AN55" s="81" t="str">
        <f>$B$48</f>
        <v>m</v>
      </c>
      <c r="AO55" s="18"/>
      <c r="AP55" s="18"/>
      <c r="AQ55" s="18"/>
      <c r="AR55" s="18"/>
      <c r="AS55" s="18"/>
      <c r="AT55" s="17" t="str">
        <f>$B$47</f>
        <v>m3/h</v>
      </c>
      <c r="AU55" s="81" t="str">
        <f>$B$48</f>
        <v>m</v>
      </c>
      <c r="AV55" s="18"/>
      <c r="AW55" s="18"/>
      <c r="AX55" s="18"/>
      <c r="AY55" s="18"/>
      <c r="AZ55" s="81"/>
      <c r="BA55" s="18" t="str">
        <f>$B$47</f>
        <v>m3/h</v>
      </c>
      <c r="BB55" s="81" t="str">
        <f>IF(BB54="Eta","%",$B$50)</f>
        <v>kW</v>
      </c>
      <c r="BC55" s="18"/>
      <c r="BD55" s="18"/>
      <c r="BE55" s="18"/>
      <c r="BF55" s="18"/>
      <c r="BG55" s="81"/>
      <c r="BH55" s="18" t="str">
        <f>$B$47</f>
        <v>m3/h</v>
      </c>
      <c r="BI55" s="81" t="str">
        <f>$B$48</f>
        <v>m</v>
      </c>
      <c r="BJ55" s="18"/>
      <c r="BK55" s="18"/>
      <c r="BL55" s="18"/>
      <c r="BM55" s="18"/>
      <c r="BN55" s="18"/>
      <c r="BO55" s="17" t="str">
        <f>$B$47</f>
        <v>m3/h</v>
      </c>
      <c r="BP55" s="81" t="str">
        <f>$B$48</f>
        <v>m</v>
      </c>
      <c r="BQ55" s="18"/>
      <c r="BR55" s="18"/>
      <c r="BS55" s="18"/>
      <c r="BT55" s="18"/>
      <c r="BU55" s="81"/>
      <c r="BV55" s="18" t="str">
        <f>$B$47</f>
        <v>m3/h</v>
      </c>
      <c r="BW55" s="81" t="str">
        <f>IF(BW54="Eta","%",$B$50)</f>
        <v>kW</v>
      </c>
      <c r="BX55" s="18"/>
      <c r="BY55" s="18"/>
      <c r="BZ55" s="18"/>
      <c r="CA55" s="18"/>
      <c r="CB55" s="81"/>
      <c r="CC55" s="18" t="str">
        <f>$B$47</f>
        <v>m3/h</v>
      </c>
      <c r="CD55" s="81" t="str">
        <f>$B$48</f>
        <v>m</v>
      </c>
      <c r="CE55" s="18"/>
      <c r="CF55" s="18"/>
      <c r="CG55" s="18"/>
      <c r="CH55" s="18"/>
      <c r="CI55" s="18"/>
      <c r="CJ55" s="17" t="str">
        <f>$B$47</f>
        <v>m3/h</v>
      </c>
      <c r="CK55" s="81" t="str">
        <f>$B$48</f>
        <v>m</v>
      </c>
      <c r="CL55" s="18"/>
      <c r="CM55" s="18"/>
      <c r="CN55" s="18"/>
      <c r="CO55" s="18"/>
      <c r="CP55" s="81"/>
      <c r="CQ55" s="18" t="str">
        <f>$B$47</f>
        <v>m3/h</v>
      </c>
      <c r="CR55" s="81" t="str">
        <f>IF(CR54="Eta","%",$B$50)</f>
        <v>kW</v>
      </c>
      <c r="CS55" s="18"/>
      <c r="CT55" s="18"/>
      <c r="CU55" s="18"/>
      <c r="CV55" s="18"/>
      <c r="CW55" s="81"/>
      <c r="CX55" s="18" t="str">
        <f>$B$47</f>
        <v>m3/h</v>
      </c>
      <c r="CY55" s="81" t="str">
        <f>$B$48</f>
        <v>m</v>
      </c>
      <c r="CZ55" s="18"/>
      <c r="DA55" s="18"/>
      <c r="DB55" s="18"/>
      <c r="DC55" s="18"/>
      <c r="DD55" s="18"/>
      <c r="DE55" s="17" t="str">
        <f>$B$47</f>
        <v>m3/h</v>
      </c>
      <c r="DF55" s="81" t="str">
        <f>$B$48</f>
        <v>m</v>
      </c>
      <c r="DG55" s="18"/>
      <c r="DH55" s="18"/>
      <c r="DI55" s="18"/>
      <c r="DJ55" s="18"/>
      <c r="DK55" s="81"/>
      <c r="DL55" s="18" t="str">
        <f>$B$47</f>
        <v>m3/h</v>
      </c>
      <c r="DM55" s="81" t="str">
        <f>IF(DM54="Eta","%",$B$50)</f>
        <v>kW</v>
      </c>
      <c r="DN55" s="18"/>
      <c r="DO55" s="18"/>
      <c r="DP55" s="18"/>
      <c r="DQ55" s="18"/>
      <c r="DR55" s="81"/>
      <c r="DS55" s="18" t="str">
        <f>$B$47</f>
        <v>m3/h</v>
      </c>
      <c r="DT55" s="81" t="str">
        <f>$B$48</f>
        <v>m</v>
      </c>
      <c r="DU55" s="18"/>
      <c r="DV55" s="18"/>
      <c r="DW55" s="18"/>
      <c r="DX55" s="18"/>
      <c r="DY55" s="18"/>
      <c r="DZ55" s="17" t="str">
        <f>$B$47</f>
        <v>m3/h</v>
      </c>
      <c r="EA55" s="81" t="str">
        <f>$B$48</f>
        <v>m</v>
      </c>
      <c r="EB55" s="18"/>
      <c r="EC55" s="18"/>
      <c r="ED55" s="18"/>
      <c r="EE55" s="18"/>
      <c r="EF55" s="81"/>
      <c r="EG55" s="18" t="str">
        <f>$B$47</f>
        <v>m3/h</v>
      </c>
      <c r="EH55" s="81" t="str">
        <f>IF(EH54="Eta","%",$B$50)</f>
        <v>kW</v>
      </c>
      <c r="EI55" s="18"/>
      <c r="EJ55" s="18"/>
      <c r="EK55" s="18"/>
      <c r="EL55" s="18"/>
      <c r="EM55" s="81"/>
      <c r="EN55" s="18" t="str">
        <f>$B$47</f>
        <v>m3/h</v>
      </c>
      <c r="EO55" s="81" t="str">
        <f>$B$48</f>
        <v>m</v>
      </c>
      <c r="EP55" s="18"/>
      <c r="EQ55" s="18"/>
      <c r="ER55" s="18"/>
      <c r="ES55" s="18"/>
      <c r="ET55" s="18"/>
      <c r="EU55" s="17" t="str">
        <f>$B$47</f>
        <v>m3/h</v>
      </c>
      <c r="EV55" s="81" t="str">
        <f>$B$48</f>
        <v>m</v>
      </c>
      <c r="EW55" s="18"/>
      <c r="EX55" s="18"/>
      <c r="EY55" s="18"/>
      <c r="EZ55" s="18"/>
      <c r="FA55" s="81"/>
      <c r="FB55" s="18" t="str">
        <f>$B$47</f>
        <v>m3/h</v>
      </c>
      <c r="FC55" s="81" t="str">
        <f>IF(FC54="Eta","%",$B$50)</f>
        <v>kW</v>
      </c>
      <c r="FD55" s="18"/>
      <c r="FE55" s="18"/>
      <c r="FF55" s="18"/>
      <c r="FG55" s="18"/>
      <c r="FH55" s="81"/>
      <c r="FI55" s="18" t="str">
        <f>$B$47</f>
        <v>m3/h</v>
      </c>
      <c r="FJ55" s="81" t="str">
        <f>$B$48</f>
        <v>m</v>
      </c>
      <c r="FK55" s="18"/>
      <c r="FL55" s="18"/>
      <c r="FM55" s="18"/>
      <c r="FN55" s="18"/>
      <c r="FO55" s="18"/>
      <c r="FP55" s="17" t="str">
        <f>$B$47</f>
        <v>m3/h</v>
      </c>
      <c r="FQ55" s="81" t="str">
        <f>$B$48</f>
        <v>m</v>
      </c>
      <c r="FR55" s="18"/>
      <c r="FS55" s="18"/>
      <c r="FT55" s="18"/>
      <c r="FU55" s="18"/>
      <c r="FV55" s="81"/>
      <c r="FW55" s="18" t="str">
        <f>$B$47</f>
        <v>m3/h</v>
      </c>
      <c r="FX55" s="81" t="str">
        <f>IF(FX54="Eta","%",$B$50)</f>
        <v>kW</v>
      </c>
      <c r="FY55" s="18"/>
      <c r="FZ55" s="18"/>
      <c r="GA55" s="18"/>
      <c r="GB55" s="18"/>
      <c r="GC55" s="81"/>
      <c r="GD55" s="18" t="str">
        <f>$B$47</f>
        <v>m3/h</v>
      </c>
      <c r="GE55" s="81" t="str">
        <f>$B$48</f>
        <v>m</v>
      </c>
      <c r="GF55" s="18"/>
      <c r="GG55" s="18"/>
      <c r="GH55" s="18"/>
      <c r="GI55" s="18"/>
      <c r="GJ55" s="18"/>
      <c r="GK55" s="17" t="str">
        <f>$B$47</f>
        <v>m3/h</v>
      </c>
      <c r="GL55" s="81" t="str">
        <f>$B$48</f>
        <v>m</v>
      </c>
      <c r="GM55" s="18"/>
      <c r="GN55" s="18"/>
      <c r="GO55" s="18"/>
      <c r="GP55" s="18"/>
      <c r="GQ55" s="81"/>
      <c r="GR55" s="18" t="str">
        <f>$B$47</f>
        <v>m3/h</v>
      </c>
      <c r="GS55" s="81" t="str">
        <f>IF(GS54="Eta","%",$B$50)</f>
        <v>kW</v>
      </c>
      <c r="GT55" s="18"/>
      <c r="GU55" s="18"/>
      <c r="GV55" s="18"/>
      <c r="GW55" s="18"/>
      <c r="GX55" s="81"/>
      <c r="GY55" s="18" t="str">
        <f>$B$47</f>
        <v>m3/h</v>
      </c>
      <c r="GZ55" s="81" t="str">
        <f>$B$48</f>
        <v>m</v>
      </c>
      <c r="HA55" s="18"/>
      <c r="HB55" s="18"/>
      <c r="HC55" s="18"/>
      <c r="HD55" s="18"/>
      <c r="HE55" s="18"/>
      <c r="HF55" s="17" t="str">
        <f>$B$47</f>
        <v>m3/h</v>
      </c>
      <c r="HG55" s="81" t="str">
        <f>$B$48</f>
        <v>m</v>
      </c>
      <c r="HH55" s="18"/>
      <c r="HI55" s="18"/>
      <c r="HJ55" s="18"/>
      <c r="HK55" s="18"/>
      <c r="HL55" s="81"/>
      <c r="HM55" s="18" t="str">
        <f>$B$47</f>
        <v>m3/h</v>
      </c>
      <c r="HN55" s="81" t="str">
        <f>IF(HN54="Eta","%",$B$50)</f>
        <v>kW</v>
      </c>
      <c r="HO55" s="18"/>
      <c r="HP55" s="18"/>
      <c r="HQ55" s="18"/>
      <c r="HR55" s="18"/>
      <c r="HS55" s="81"/>
      <c r="HT55" s="18" t="str">
        <f>$B$47</f>
        <v>m3/h</v>
      </c>
      <c r="HU55" s="81" t="str">
        <f>$B$48</f>
        <v>m</v>
      </c>
      <c r="HV55" s="18"/>
      <c r="HW55" s="18"/>
      <c r="HX55" s="18"/>
      <c r="HY55" s="18"/>
      <c r="HZ55" s="18"/>
      <c r="IA55" s="17" t="str">
        <f>$B$47</f>
        <v>m3/h</v>
      </c>
      <c r="IB55" s="81" t="str">
        <f>$B$48</f>
        <v>m</v>
      </c>
      <c r="IC55" s="18"/>
      <c r="ID55" s="18"/>
      <c r="IE55" s="18"/>
      <c r="IF55" s="18"/>
      <c r="IG55" s="81"/>
      <c r="IH55" s="18" t="str">
        <f>$B$47</f>
        <v>m3/h</v>
      </c>
      <c r="II55" s="81" t="str">
        <f>IF(II54="Eta","%",$B$50)</f>
        <v>kW</v>
      </c>
      <c r="IJ55" s="18"/>
      <c r="IK55" s="18"/>
      <c r="IL55" s="18"/>
      <c r="IM55" s="18"/>
      <c r="IN55" s="81"/>
      <c r="IO55" s="18" t="str">
        <f>$B$47</f>
        <v>m3/h</v>
      </c>
      <c r="IP55" s="81" t="str">
        <f>$B$48</f>
        <v>m</v>
      </c>
      <c r="IQ55" s="18"/>
      <c r="IR55" s="18"/>
      <c r="IS55" s="18"/>
      <c r="IT55" s="18"/>
      <c r="IU55" s="18"/>
      <c r="IV55" s="116"/>
    </row>
    <row r="56" spans="1:256" x14ac:dyDescent="0.2">
      <c r="A56" s="11" t="str">
        <f t="shared" ref="A56:B67" si="47">IF(A10="","",A10*$E$49)</f>
        <v/>
      </c>
      <c r="B56" s="12" t="str">
        <f>IF(B10="","",B10*$E$49)</f>
        <v/>
      </c>
      <c r="C56">
        <v>1</v>
      </c>
      <c r="D56" s="19" t="str">
        <f t="shared" ref="D56:D85" si="48">IF(D10="","",D10*$E$47)</f>
        <v/>
      </c>
      <c r="E56" s="20" t="str">
        <f t="shared" ref="E56:E85" si="49">IF(E10="","",E10*$E$48)</f>
        <v/>
      </c>
      <c r="F56" s="51" t="str">
        <f t="shared" ref="F56:I71" si="50">F10</f>
        <v>FALSE</v>
      </c>
      <c r="G56" s="51" t="str">
        <f t="shared" si="50"/>
        <v>FALSE</v>
      </c>
      <c r="H56" s="51" t="str">
        <f t="shared" si="50"/>
        <v>FALSE</v>
      </c>
      <c r="I56" s="51" t="str">
        <f t="shared" si="50"/>
        <v>FALSE</v>
      </c>
      <c r="J56" s="20" t="str">
        <f t="shared" ref="J56:J85" si="51">IF(J10="","",J10)</f>
        <v/>
      </c>
      <c r="K56" s="51" t="str">
        <f t="shared" ref="K56:K85" si="52">IF(K10="","",K10*$E$47)</f>
        <v/>
      </c>
      <c r="L56" s="20" t="str">
        <f t="shared" ref="L56:L85" si="53">IF(L10="","",IF(L$54="Eta",L10,L10*$E$50))</f>
        <v/>
      </c>
      <c r="M56" s="51" t="str">
        <f t="shared" ref="M56:P72" si="54">M10</f>
        <v>FALSE</v>
      </c>
      <c r="N56" s="51" t="str">
        <f t="shared" si="54"/>
        <v>FALSE</v>
      </c>
      <c r="O56" s="51" t="str">
        <f t="shared" si="54"/>
        <v>FALSE</v>
      </c>
      <c r="P56" s="51" t="str">
        <f t="shared" si="54"/>
        <v>FALSE</v>
      </c>
      <c r="Q56" s="20" t="str">
        <f t="shared" ref="Q56:Q85" si="55">IF(Q10="","",Q10)</f>
        <v/>
      </c>
      <c r="R56" s="21" t="str">
        <f t="shared" ref="R56:R85" si="56">IF(R10="","",R10*$E$47)</f>
        <v/>
      </c>
      <c r="S56" s="51" t="str">
        <f t="shared" ref="S56:S85" si="57">IF(S10="","",S10*$E$48)</f>
        <v/>
      </c>
      <c r="T56" s="51" t="str">
        <f t="shared" ref="T56:W71" si="58">T10</f>
        <v>FALSE</v>
      </c>
      <c r="U56" s="51" t="str">
        <f t="shared" si="58"/>
        <v>FALSE</v>
      </c>
      <c r="V56" s="51" t="str">
        <f t="shared" si="58"/>
        <v>FALSE</v>
      </c>
      <c r="W56" s="51" t="str">
        <f t="shared" si="58"/>
        <v>FALSE</v>
      </c>
      <c r="X56" s="22" t="str">
        <f t="shared" ref="X56:X85" si="59">IF(X10="","",X10)</f>
        <v/>
      </c>
      <c r="Y56" s="19" t="str">
        <f t="shared" ref="Y56:Y85" si="60">IF(Y10="","",Y10*$E$47)</f>
        <v/>
      </c>
      <c r="Z56" s="20" t="str">
        <f t="shared" ref="Z56:Z85" si="61">IF(Z10="","",Z10*$E$48)</f>
        <v/>
      </c>
      <c r="AA56" s="51" t="str">
        <f t="shared" ref="AA56:AD71" si="62">AA10</f>
        <v>FALSE</v>
      </c>
      <c r="AB56" s="51" t="str">
        <f t="shared" si="62"/>
        <v>FALSE</v>
      </c>
      <c r="AC56" s="51" t="str">
        <f t="shared" si="62"/>
        <v>FALSE</v>
      </c>
      <c r="AD56" s="51" t="str">
        <f t="shared" si="62"/>
        <v>FALSE</v>
      </c>
      <c r="AE56" s="93" t="str">
        <f t="shared" ref="AE56:AE85" si="63">IF(AE10="","",AE10)</f>
        <v/>
      </c>
      <c r="AF56" s="51" t="str">
        <f t="shared" ref="AF56:AF85" si="64">IF(AF10="","",AF10*$E$47)</f>
        <v/>
      </c>
      <c r="AG56" s="20" t="str">
        <f t="shared" ref="AG56:AG85" si="65">IF(AG10="","",IF(AG$54="Eta",AG10,AG10*$E$50))</f>
        <v/>
      </c>
      <c r="AH56" s="51" t="str">
        <f>AH10</f>
        <v>FALSE</v>
      </c>
      <c r="AI56" s="51" t="str">
        <f>AI10</f>
        <v>FALSE</v>
      </c>
      <c r="AJ56" s="51" t="str">
        <f>AJ10</f>
        <v>FALSE</v>
      </c>
      <c r="AK56" s="51" t="str">
        <f>AK10</f>
        <v>FALSE</v>
      </c>
      <c r="AL56" s="93" t="str">
        <f t="shared" ref="AL56:AL85" si="66">IF(AL10="","",AL10)</f>
        <v/>
      </c>
      <c r="AM56" s="51" t="str">
        <f t="shared" ref="AM56:AM85" si="67">IF(AM10="","",AM10*$E$47)</f>
        <v/>
      </c>
      <c r="AN56" s="20" t="str">
        <f t="shared" ref="AN56:AN85" si="68">IF(AN10="","",AN10*$E$48)</f>
        <v/>
      </c>
      <c r="AO56" s="51" t="str">
        <f t="shared" ref="AO56:AR71" si="69">AO10</f>
        <v>FALSE</v>
      </c>
      <c r="AP56" s="51" t="str">
        <f t="shared" si="69"/>
        <v>FALSE</v>
      </c>
      <c r="AQ56" s="51" t="str">
        <f t="shared" si="69"/>
        <v>FALSE</v>
      </c>
      <c r="AR56" s="51" t="str">
        <f t="shared" si="69"/>
        <v>FALSE</v>
      </c>
      <c r="AS56" s="22" t="str">
        <f t="shared" ref="AS56:AS85" si="70">IF(AS10="","",AS10)</f>
        <v/>
      </c>
      <c r="AT56" s="19" t="str">
        <f t="shared" ref="AT56:AT85" si="71">IF(AT10="","",AT10*$E$47)</f>
        <v/>
      </c>
      <c r="AU56" s="20" t="str">
        <f t="shared" ref="AU56:AU85" si="72">IF(AU10="","",AU10*$E$48)</f>
        <v/>
      </c>
      <c r="AV56" s="51" t="str">
        <f t="shared" ref="AV56:AY56" si="73">AV10</f>
        <v>FALSE</v>
      </c>
      <c r="AW56" s="51" t="str">
        <f t="shared" si="73"/>
        <v>FALSE</v>
      </c>
      <c r="AX56" s="51" t="str">
        <f t="shared" si="73"/>
        <v>FALSE</v>
      </c>
      <c r="AY56" s="51" t="str">
        <f t="shared" si="73"/>
        <v>FALSE</v>
      </c>
      <c r="AZ56" s="93" t="str">
        <f t="shared" ref="AZ56:AZ85" si="74">IF(AZ10="","",AZ10)</f>
        <v/>
      </c>
      <c r="BA56" s="51" t="str">
        <f t="shared" ref="BA56:BA85" si="75">IF(BA10="","",BA10*$E$47)</f>
        <v/>
      </c>
      <c r="BB56" s="20" t="str">
        <f t="shared" ref="BB56:BB85" si="76">IF(BB10="","",IF(BB$54="Eta",BB10,BB10*$E$50))</f>
        <v/>
      </c>
      <c r="BC56" s="51" t="str">
        <f>BC10</f>
        <v>FALSE</v>
      </c>
      <c r="BD56" s="51" t="str">
        <f>BD10</f>
        <v>FALSE</v>
      </c>
      <c r="BE56" s="51" t="str">
        <f>BE10</f>
        <v>FALSE</v>
      </c>
      <c r="BF56" s="51" t="str">
        <f>BF10</f>
        <v>FALSE</v>
      </c>
      <c r="BG56" s="93" t="str">
        <f t="shared" ref="BG56:BG85" si="77">IF(BG10="","",BG10)</f>
        <v/>
      </c>
      <c r="BH56" s="51" t="str">
        <f t="shared" ref="BH56:BH85" si="78">IF(BH10="","",BH10*$E$47)</f>
        <v/>
      </c>
      <c r="BI56" s="20" t="str">
        <f t="shared" ref="BI56:BI85" si="79">IF(BI10="","",BI10*$E$48)</f>
        <v/>
      </c>
      <c r="BJ56" s="51" t="str">
        <f t="shared" ref="BJ56:BM56" si="80">BJ10</f>
        <v>FALSE</v>
      </c>
      <c r="BK56" s="51" t="str">
        <f t="shared" si="80"/>
        <v>FALSE</v>
      </c>
      <c r="BL56" s="51" t="str">
        <f t="shared" si="80"/>
        <v>FALSE</v>
      </c>
      <c r="BM56" s="51" t="str">
        <f t="shared" si="80"/>
        <v>FALSE</v>
      </c>
      <c r="BN56" s="22" t="str">
        <f t="shared" ref="BN56:BN85" si="81">IF(BN10="","",BN10)</f>
        <v/>
      </c>
      <c r="BO56" s="19" t="str">
        <f t="shared" ref="BO56:BO85" si="82">IF(BO10="","",BO10*$E$47)</f>
        <v/>
      </c>
      <c r="BP56" s="20" t="str">
        <f t="shared" ref="BP56:BP85" si="83">IF(BP10="","",BP10*$E$48)</f>
        <v/>
      </c>
      <c r="BQ56" s="51" t="b">
        <f t="shared" ref="BQ56:BT56" si="84">BQ10</f>
        <v>0</v>
      </c>
      <c r="BR56" s="51" t="b">
        <f t="shared" si="84"/>
        <v>0</v>
      </c>
      <c r="BS56" s="51" t="b">
        <f t="shared" si="84"/>
        <v>0</v>
      </c>
      <c r="BT56" s="51" t="b">
        <f t="shared" si="84"/>
        <v>0</v>
      </c>
      <c r="BU56" s="93" t="str">
        <f t="shared" ref="BU56:BU85" si="85">IF(BU10="","",BU10)</f>
        <v/>
      </c>
      <c r="BV56" s="51" t="str">
        <f t="shared" ref="BV56:BV85" si="86">IF(BV10="","",BV10*$E$47)</f>
        <v/>
      </c>
      <c r="BW56" s="20" t="str">
        <f t="shared" ref="BW56:BW85" si="87">IF(BW10="","",IF(BW$54="Eta",BW10,BW10*$E$50))</f>
        <v/>
      </c>
      <c r="BX56" s="51" t="b">
        <f>BX10</f>
        <v>0</v>
      </c>
      <c r="BY56" s="51" t="b">
        <f>BY10</f>
        <v>0</v>
      </c>
      <c r="BZ56" s="51" t="b">
        <f>BZ10</f>
        <v>0</v>
      </c>
      <c r="CA56" s="51" t="b">
        <f>CA10</f>
        <v>0</v>
      </c>
      <c r="CB56" s="93" t="str">
        <f t="shared" ref="CB56:CB85" si="88">IF(CB10="","",CB10)</f>
        <v/>
      </c>
      <c r="CC56" s="51" t="str">
        <f t="shared" ref="CC56:CC85" si="89">IF(CC10="","",CC10*$E$47)</f>
        <v/>
      </c>
      <c r="CD56" s="20" t="str">
        <f t="shared" ref="CD56:CD85" si="90">IF(CD10="","",CD10*$E$48)</f>
        <v/>
      </c>
      <c r="CE56" s="51" t="b">
        <f t="shared" ref="CE56:CH56" si="91">CE10</f>
        <v>0</v>
      </c>
      <c r="CF56" s="51" t="b">
        <f t="shared" si="91"/>
        <v>0</v>
      </c>
      <c r="CG56" s="51" t="b">
        <f t="shared" si="91"/>
        <v>0</v>
      </c>
      <c r="CH56" s="51" t="b">
        <f t="shared" si="91"/>
        <v>0</v>
      </c>
      <c r="CI56" s="22" t="str">
        <f t="shared" ref="CI56:CI85" si="92">IF(CI10="","",CI10)</f>
        <v/>
      </c>
      <c r="CJ56" s="19" t="str">
        <f t="shared" ref="CJ56:CJ85" si="93">IF(CJ10="","",CJ10*$E$47)</f>
        <v/>
      </c>
      <c r="CK56" s="20" t="str">
        <f t="shared" ref="CK56:CK85" si="94">IF(CK10="","",CK10*$E$48)</f>
        <v/>
      </c>
      <c r="CL56" s="51" t="b">
        <f t="shared" ref="CL56:CO56" si="95">CL10</f>
        <v>0</v>
      </c>
      <c r="CM56" s="51" t="b">
        <f t="shared" si="95"/>
        <v>0</v>
      </c>
      <c r="CN56" s="51" t="b">
        <f t="shared" si="95"/>
        <v>0</v>
      </c>
      <c r="CO56" s="51" t="b">
        <f t="shared" si="95"/>
        <v>0</v>
      </c>
      <c r="CP56" s="93" t="str">
        <f t="shared" ref="CP56:CP85" si="96">IF(CP10="","",CP10)</f>
        <v/>
      </c>
      <c r="CQ56" s="51" t="str">
        <f t="shared" ref="CQ56:CQ85" si="97">IF(CQ10="","",CQ10*$E$47)</f>
        <v/>
      </c>
      <c r="CR56" s="20" t="str">
        <f t="shared" ref="CR56:CR85" si="98">IF(CR10="","",IF(CR$54="Eta",CR10,CR10*$E$50))</f>
        <v/>
      </c>
      <c r="CS56" s="51" t="b">
        <f>CS10</f>
        <v>0</v>
      </c>
      <c r="CT56" s="51" t="b">
        <f>CT10</f>
        <v>0</v>
      </c>
      <c r="CU56" s="51" t="b">
        <f>CU10</f>
        <v>0</v>
      </c>
      <c r="CV56" s="51" t="b">
        <f>CV10</f>
        <v>0</v>
      </c>
      <c r="CW56" s="93" t="str">
        <f t="shared" ref="CW56:CW85" si="99">IF(CW10="","",CW10)</f>
        <v/>
      </c>
      <c r="CX56" s="51" t="str">
        <f t="shared" ref="CX56:CX85" si="100">IF(CX10="","",CX10*$E$47)</f>
        <v/>
      </c>
      <c r="CY56" s="20" t="str">
        <f t="shared" ref="CY56:CY85" si="101">IF(CY10="","",CY10*$E$48)</f>
        <v/>
      </c>
      <c r="CZ56" s="51" t="b">
        <f t="shared" ref="CZ56:DC56" si="102">CZ10</f>
        <v>0</v>
      </c>
      <c r="DA56" s="51" t="b">
        <f t="shared" si="102"/>
        <v>0</v>
      </c>
      <c r="DB56" s="51" t="b">
        <f t="shared" si="102"/>
        <v>0</v>
      </c>
      <c r="DC56" s="51" t="b">
        <f t="shared" si="102"/>
        <v>0</v>
      </c>
      <c r="DD56" s="22" t="str">
        <f t="shared" ref="DD56:DD85" si="103">IF(DD10="","",DD10)</f>
        <v/>
      </c>
      <c r="DE56" s="19" t="str">
        <f t="shared" ref="DE56:DE85" si="104">IF(DE10="","",DE10*$E$47)</f>
        <v/>
      </c>
      <c r="DF56" s="20" t="str">
        <f t="shared" ref="DF56:DF85" si="105">IF(DF10="","",DF10*$E$48)</f>
        <v/>
      </c>
      <c r="DG56" s="51" t="b">
        <f t="shared" ref="DG56:DJ56" si="106">DG10</f>
        <v>0</v>
      </c>
      <c r="DH56" s="51" t="b">
        <f t="shared" si="106"/>
        <v>0</v>
      </c>
      <c r="DI56" s="51" t="b">
        <f t="shared" si="106"/>
        <v>0</v>
      </c>
      <c r="DJ56" s="51" t="b">
        <f t="shared" si="106"/>
        <v>0</v>
      </c>
      <c r="DK56" s="93" t="str">
        <f t="shared" ref="DK56:DK85" si="107">IF(DK10="","",DK10)</f>
        <v/>
      </c>
      <c r="DL56" s="51" t="str">
        <f t="shared" ref="DL56:DL85" si="108">IF(DL10="","",DL10*$E$47)</f>
        <v/>
      </c>
      <c r="DM56" s="20" t="str">
        <f t="shared" ref="DM56:DM85" si="109">IF(DM10="","",IF(DM$54="Eta",DM10,DM10*$E$50))</f>
        <v/>
      </c>
      <c r="DN56" s="51" t="b">
        <f>DN10</f>
        <v>0</v>
      </c>
      <c r="DO56" s="51" t="b">
        <f>DO10</f>
        <v>0</v>
      </c>
      <c r="DP56" s="51" t="b">
        <f>DP10</f>
        <v>0</v>
      </c>
      <c r="DQ56" s="51" t="b">
        <f>DQ10</f>
        <v>0</v>
      </c>
      <c r="DR56" s="93" t="str">
        <f t="shared" ref="DR56:DR85" si="110">IF(DR10="","",DR10)</f>
        <v/>
      </c>
      <c r="DS56" s="51" t="str">
        <f t="shared" ref="DS56:DS85" si="111">IF(DS10="","",DS10*$E$47)</f>
        <v/>
      </c>
      <c r="DT56" s="20" t="str">
        <f t="shared" ref="DT56:DT85" si="112">IF(DT10="","",DT10*$E$48)</f>
        <v/>
      </c>
      <c r="DU56" s="51" t="b">
        <f t="shared" ref="DU56:DX56" si="113">DU10</f>
        <v>0</v>
      </c>
      <c r="DV56" s="51" t="b">
        <f t="shared" si="113"/>
        <v>0</v>
      </c>
      <c r="DW56" s="51" t="b">
        <f t="shared" si="113"/>
        <v>0</v>
      </c>
      <c r="DX56" s="51" t="b">
        <f t="shared" si="113"/>
        <v>0</v>
      </c>
      <c r="DY56" s="22" t="str">
        <f t="shared" ref="DY56:DY85" si="114">IF(DY10="","",DY10)</f>
        <v/>
      </c>
      <c r="DZ56" s="19" t="str">
        <f t="shared" ref="DZ56:DZ85" si="115">IF(DZ10="","",DZ10*$E$47)</f>
        <v/>
      </c>
      <c r="EA56" s="20" t="str">
        <f t="shared" ref="EA56:EA85" si="116">IF(EA10="","",EA10*$E$48)</f>
        <v/>
      </c>
      <c r="EB56" s="51" t="b">
        <f t="shared" ref="EB56:EE56" si="117">EB10</f>
        <v>0</v>
      </c>
      <c r="EC56" s="51" t="b">
        <f t="shared" si="117"/>
        <v>0</v>
      </c>
      <c r="ED56" s="51" t="b">
        <f t="shared" si="117"/>
        <v>0</v>
      </c>
      <c r="EE56" s="51" t="b">
        <f t="shared" si="117"/>
        <v>0</v>
      </c>
      <c r="EF56" s="93" t="str">
        <f t="shared" ref="EF56:EF85" si="118">IF(EF10="","",EF10)</f>
        <v/>
      </c>
      <c r="EG56" s="51" t="str">
        <f t="shared" ref="EG56:EG85" si="119">IF(EG10="","",EG10*$E$47)</f>
        <v/>
      </c>
      <c r="EH56" s="20" t="str">
        <f t="shared" ref="EH56:EH85" si="120">IF(EH10="","",IF(EH$54="Eta",EH10,EH10*$E$50))</f>
        <v/>
      </c>
      <c r="EI56" s="51" t="b">
        <f>EI10</f>
        <v>0</v>
      </c>
      <c r="EJ56" s="51" t="b">
        <f>EJ10</f>
        <v>0</v>
      </c>
      <c r="EK56" s="51" t="b">
        <f>EK10</f>
        <v>0</v>
      </c>
      <c r="EL56" s="51" t="b">
        <f>EL10</f>
        <v>0</v>
      </c>
      <c r="EM56" s="93" t="str">
        <f t="shared" ref="EM56:EM85" si="121">IF(EM10="","",EM10)</f>
        <v/>
      </c>
      <c r="EN56" s="51" t="str">
        <f t="shared" ref="EN56:EN85" si="122">IF(EN10="","",EN10*$E$47)</f>
        <v/>
      </c>
      <c r="EO56" s="20" t="str">
        <f t="shared" ref="EO56:EO85" si="123">IF(EO10="","",EO10*$E$48)</f>
        <v/>
      </c>
      <c r="EP56" s="51" t="b">
        <f t="shared" ref="EP56:ES56" si="124">EP10</f>
        <v>0</v>
      </c>
      <c r="EQ56" s="51" t="b">
        <f t="shared" si="124"/>
        <v>0</v>
      </c>
      <c r="ER56" s="51" t="b">
        <f t="shared" si="124"/>
        <v>0</v>
      </c>
      <c r="ES56" s="51" t="b">
        <f t="shared" si="124"/>
        <v>0</v>
      </c>
      <c r="ET56" s="22" t="str">
        <f t="shared" ref="ET56:ET85" si="125">IF(ET10="","",ET10)</f>
        <v/>
      </c>
      <c r="EU56" s="19" t="str">
        <f t="shared" ref="EU56:EU85" si="126">IF(EU10="","",EU10*$E$47)</f>
        <v/>
      </c>
      <c r="EV56" s="20" t="str">
        <f t="shared" ref="EV56:EV85" si="127">IF(EV10="","",EV10*$E$48)</f>
        <v/>
      </c>
      <c r="EW56" s="51" t="b">
        <f t="shared" ref="EW56:EZ56" si="128">EW10</f>
        <v>0</v>
      </c>
      <c r="EX56" s="51" t="b">
        <f t="shared" si="128"/>
        <v>0</v>
      </c>
      <c r="EY56" s="51" t="b">
        <f t="shared" si="128"/>
        <v>0</v>
      </c>
      <c r="EZ56" s="51" t="b">
        <f t="shared" si="128"/>
        <v>0</v>
      </c>
      <c r="FA56" s="93" t="str">
        <f t="shared" ref="FA56:FA85" si="129">IF(FA10="","",FA10)</f>
        <v/>
      </c>
      <c r="FB56" s="51" t="str">
        <f t="shared" ref="FB56:FB85" si="130">IF(FB10="","",FB10*$E$47)</f>
        <v/>
      </c>
      <c r="FC56" s="20" t="str">
        <f t="shared" ref="FC56:FC85" si="131">IF(FC10="","",IF(FC$54="Eta",FC10,FC10*$E$50))</f>
        <v/>
      </c>
      <c r="FD56" s="51" t="b">
        <f>FD10</f>
        <v>0</v>
      </c>
      <c r="FE56" s="51" t="b">
        <f>FE10</f>
        <v>0</v>
      </c>
      <c r="FF56" s="51" t="b">
        <f>FF10</f>
        <v>0</v>
      </c>
      <c r="FG56" s="51" t="b">
        <f>FG10</f>
        <v>0</v>
      </c>
      <c r="FH56" s="93" t="str">
        <f t="shared" ref="FH56:FH85" si="132">IF(FH10="","",FH10)</f>
        <v/>
      </c>
      <c r="FI56" s="51" t="str">
        <f t="shared" ref="FI56:FI85" si="133">IF(FI10="","",FI10*$E$47)</f>
        <v/>
      </c>
      <c r="FJ56" s="20" t="str">
        <f t="shared" ref="FJ56:FJ85" si="134">IF(FJ10="","",FJ10*$E$48)</f>
        <v/>
      </c>
      <c r="FK56" s="51" t="b">
        <f t="shared" ref="FK56:FN56" si="135">FK10</f>
        <v>0</v>
      </c>
      <c r="FL56" s="51" t="b">
        <f t="shared" si="135"/>
        <v>0</v>
      </c>
      <c r="FM56" s="51" t="b">
        <f t="shared" si="135"/>
        <v>0</v>
      </c>
      <c r="FN56" s="51" t="b">
        <f t="shared" si="135"/>
        <v>0</v>
      </c>
      <c r="FO56" s="22" t="str">
        <f t="shared" ref="FO56:FO85" si="136">IF(FO10="","",FO10)</f>
        <v/>
      </c>
      <c r="FP56" s="19" t="str">
        <f t="shared" ref="FP56:FP85" si="137">IF(FP10="","",FP10*$E$47)</f>
        <v/>
      </c>
      <c r="FQ56" s="20" t="str">
        <f t="shared" ref="FQ56:FQ85" si="138">IF(FQ10="","",FQ10*$E$48)</f>
        <v/>
      </c>
      <c r="FR56" s="51" t="b">
        <f t="shared" ref="FR56:FU56" si="139">FR10</f>
        <v>0</v>
      </c>
      <c r="FS56" s="51" t="b">
        <f t="shared" si="139"/>
        <v>0</v>
      </c>
      <c r="FT56" s="51" t="b">
        <f t="shared" si="139"/>
        <v>0</v>
      </c>
      <c r="FU56" s="51" t="b">
        <f t="shared" si="139"/>
        <v>0</v>
      </c>
      <c r="FV56" s="93" t="str">
        <f t="shared" ref="FV56:FV85" si="140">IF(FV10="","",FV10)</f>
        <v/>
      </c>
      <c r="FW56" s="51" t="str">
        <f t="shared" ref="FW56:FW85" si="141">IF(FW10="","",FW10*$E$47)</f>
        <v/>
      </c>
      <c r="FX56" s="20" t="str">
        <f t="shared" ref="FX56:FX85" si="142">IF(FX10="","",IF(FX$54="Eta",FX10,FX10*$E$50))</f>
        <v/>
      </c>
      <c r="FY56" s="51" t="b">
        <f>FY10</f>
        <v>0</v>
      </c>
      <c r="FZ56" s="51" t="b">
        <f>FZ10</f>
        <v>0</v>
      </c>
      <c r="GA56" s="51" t="b">
        <f>GA10</f>
        <v>0</v>
      </c>
      <c r="GB56" s="51" t="b">
        <f>GB10</f>
        <v>0</v>
      </c>
      <c r="GC56" s="93" t="str">
        <f t="shared" ref="GC56:GC85" si="143">IF(GC10="","",GC10)</f>
        <v/>
      </c>
      <c r="GD56" s="51" t="str">
        <f t="shared" ref="GD56:GD85" si="144">IF(GD10="","",GD10*$E$47)</f>
        <v/>
      </c>
      <c r="GE56" s="20" t="str">
        <f t="shared" ref="GE56:GE85" si="145">IF(GE10="","",GE10*$E$48)</f>
        <v/>
      </c>
      <c r="GF56" s="51" t="b">
        <f t="shared" ref="GF56:GI56" si="146">GF10</f>
        <v>0</v>
      </c>
      <c r="GG56" s="51" t="b">
        <f t="shared" si="146"/>
        <v>0</v>
      </c>
      <c r="GH56" s="51" t="b">
        <f t="shared" si="146"/>
        <v>0</v>
      </c>
      <c r="GI56" s="51" t="b">
        <f t="shared" si="146"/>
        <v>0</v>
      </c>
      <c r="GJ56" s="22" t="str">
        <f t="shared" ref="GJ56:GJ85" si="147">IF(GJ10="","",GJ10)</f>
        <v/>
      </c>
      <c r="GK56" s="19" t="str">
        <f t="shared" ref="GK56:GK85" si="148">IF(GK10="","",GK10*$E$47)</f>
        <v/>
      </c>
      <c r="GL56" s="20" t="str">
        <f t="shared" ref="GL56:GL85" si="149">IF(GL10="","",GL10*$E$48)</f>
        <v/>
      </c>
      <c r="GM56" s="51" t="b">
        <f t="shared" ref="GM56:GP56" si="150">GM10</f>
        <v>0</v>
      </c>
      <c r="GN56" s="51" t="b">
        <f t="shared" si="150"/>
        <v>0</v>
      </c>
      <c r="GO56" s="51" t="b">
        <f t="shared" si="150"/>
        <v>0</v>
      </c>
      <c r="GP56" s="51" t="b">
        <f t="shared" si="150"/>
        <v>0</v>
      </c>
      <c r="GQ56" s="93" t="str">
        <f t="shared" ref="GQ56:GQ85" si="151">IF(GQ10="","",GQ10)</f>
        <v/>
      </c>
      <c r="GR56" s="51" t="str">
        <f t="shared" ref="GR56:GR85" si="152">IF(GR10="","",GR10*$E$47)</f>
        <v/>
      </c>
      <c r="GS56" s="20" t="str">
        <f t="shared" ref="GS56:GS85" si="153">IF(GS10="","",IF(GS$54="Eta",GS10,GS10*$E$50))</f>
        <v/>
      </c>
      <c r="GT56" s="51" t="b">
        <f>GT10</f>
        <v>0</v>
      </c>
      <c r="GU56" s="51" t="b">
        <f>GU10</f>
        <v>0</v>
      </c>
      <c r="GV56" s="51" t="b">
        <f>GV10</f>
        <v>0</v>
      </c>
      <c r="GW56" s="51" t="b">
        <f>GW10</f>
        <v>0</v>
      </c>
      <c r="GX56" s="93" t="str">
        <f t="shared" ref="GX56:GX85" si="154">IF(GX10="","",GX10)</f>
        <v/>
      </c>
      <c r="GY56" s="51" t="str">
        <f t="shared" ref="GY56:GY85" si="155">IF(GY10="","",GY10*$E$47)</f>
        <v/>
      </c>
      <c r="GZ56" s="20" t="str">
        <f t="shared" ref="GZ56:GZ85" si="156">IF(GZ10="","",GZ10*$E$48)</f>
        <v/>
      </c>
      <c r="HA56" s="51" t="b">
        <f t="shared" ref="HA56:HD56" si="157">HA10</f>
        <v>0</v>
      </c>
      <c r="HB56" s="51" t="b">
        <f t="shared" si="157"/>
        <v>0</v>
      </c>
      <c r="HC56" s="51" t="b">
        <f t="shared" si="157"/>
        <v>0</v>
      </c>
      <c r="HD56" s="51" t="b">
        <f t="shared" si="157"/>
        <v>0</v>
      </c>
      <c r="HE56" s="22" t="str">
        <f t="shared" ref="HE56:HE85" si="158">IF(HE10="","",HE10)</f>
        <v/>
      </c>
      <c r="HF56" s="19" t="str">
        <f t="shared" ref="HF56:HF85" si="159">IF(HF10="","",HF10*$E$47)</f>
        <v/>
      </c>
      <c r="HG56" s="20" t="str">
        <f t="shared" ref="HG56:HG85" si="160">IF(HG10="","",HG10*$E$48)</f>
        <v/>
      </c>
      <c r="HH56" s="51" t="b">
        <f t="shared" ref="HH56:HK56" si="161">HH10</f>
        <v>0</v>
      </c>
      <c r="HI56" s="51" t="b">
        <f t="shared" si="161"/>
        <v>0</v>
      </c>
      <c r="HJ56" s="51" t="b">
        <f t="shared" si="161"/>
        <v>0</v>
      </c>
      <c r="HK56" s="51" t="b">
        <f t="shared" si="161"/>
        <v>0</v>
      </c>
      <c r="HL56" s="93" t="str">
        <f t="shared" ref="HL56:HL85" si="162">IF(HL10="","",HL10)</f>
        <v/>
      </c>
      <c r="HM56" s="51" t="str">
        <f t="shared" ref="HM56:HM85" si="163">IF(HM10="","",HM10*$E$47)</f>
        <v/>
      </c>
      <c r="HN56" s="20" t="str">
        <f t="shared" ref="HN56:HN85" si="164">IF(HN10="","",IF(HN$54="Eta",HN10,HN10*$E$50))</f>
        <v/>
      </c>
      <c r="HO56" s="51" t="b">
        <f>HO10</f>
        <v>0</v>
      </c>
      <c r="HP56" s="51" t="b">
        <f>HP10</f>
        <v>0</v>
      </c>
      <c r="HQ56" s="51" t="b">
        <f>HQ10</f>
        <v>0</v>
      </c>
      <c r="HR56" s="51" t="b">
        <f>HR10</f>
        <v>0</v>
      </c>
      <c r="HS56" s="93" t="str">
        <f t="shared" ref="HS56:HS85" si="165">IF(HS10="","",HS10)</f>
        <v/>
      </c>
      <c r="HT56" s="51" t="str">
        <f t="shared" ref="HT56:HT85" si="166">IF(HT10="","",HT10*$E$47)</f>
        <v/>
      </c>
      <c r="HU56" s="20" t="str">
        <f t="shared" ref="HU56:HU85" si="167">IF(HU10="","",HU10*$E$48)</f>
        <v/>
      </c>
      <c r="HV56" s="51" t="b">
        <f t="shared" ref="HV56:HY56" si="168">HV10</f>
        <v>0</v>
      </c>
      <c r="HW56" s="51" t="b">
        <f t="shared" si="168"/>
        <v>0</v>
      </c>
      <c r="HX56" s="51" t="b">
        <f t="shared" si="168"/>
        <v>0</v>
      </c>
      <c r="HY56" s="51" t="b">
        <f t="shared" si="168"/>
        <v>0</v>
      </c>
      <c r="HZ56" s="22" t="str">
        <f t="shared" ref="HZ56:HZ85" si="169">IF(HZ10="","",HZ10)</f>
        <v/>
      </c>
      <c r="IA56" s="19" t="str">
        <f t="shared" ref="IA56:IA85" si="170">IF(IA10="","",IA10*$E$47)</f>
        <v/>
      </c>
      <c r="IB56" s="20" t="str">
        <f t="shared" ref="IB56:IB85" si="171">IF(IB10="","",IB10*$E$48)</f>
        <v/>
      </c>
      <c r="IC56" s="51" t="b">
        <f t="shared" ref="IC56:IF56" si="172">IC10</f>
        <v>0</v>
      </c>
      <c r="ID56" s="51" t="b">
        <f t="shared" si="172"/>
        <v>0</v>
      </c>
      <c r="IE56" s="51" t="b">
        <f t="shared" si="172"/>
        <v>0</v>
      </c>
      <c r="IF56" s="51" t="b">
        <f t="shared" si="172"/>
        <v>0</v>
      </c>
      <c r="IG56" s="93" t="str">
        <f t="shared" ref="IG56:IG85" si="173">IF(IG10="","",IG10)</f>
        <v/>
      </c>
      <c r="IH56" s="51" t="str">
        <f t="shared" ref="IH56:IH85" si="174">IF(IH10="","",IH10*$E$47)</f>
        <v/>
      </c>
      <c r="II56" s="20" t="str">
        <f t="shared" ref="II56:II85" si="175">IF(II10="","",IF(II$54="Eta",II10,II10*$E$50))</f>
        <v/>
      </c>
      <c r="IJ56" s="51" t="b">
        <f>IJ10</f>
        <v>0</v>
      </c>
      <c r="IK56" s="51" t="b">
        <f>IK10</f>
        <v>0</v>
      </c>
      <c r="IL56" s="51" t="b">
        <f>IL10</f>
        <v>0</v>
      </c>
      <c r="IM56" s="51" t="b">
        <f>IM10</f>
        <v>0</v>
      </c>
      <c r="IN56" s="93" t="str">
        <f t="shared" ref="IN56:IN85" si="176">IF(IN10="","",IN10)</f>
        <v/>
      </c>
      <c r="IO56" s="51" t="str">
        <f t="shared" ref="IO56:IO85" si="177">IF(IO10="","",IO10*$E$47)</f>
        <v/>
      </c>
      <c r="IP56" s="20" t="str">
        <f t="shared" ref="IP56:IP85" si="178">IF(IP10="","",IP10*$E$48)</f>
        <v/>
      </c>
      <c r="IQ56" s="51" t="b">
        <f t="shared" ref="IQ56:IT56" si="179">IQ10</f>
        <v>0</v>
      </c>
      <c r="IR56" s="51" t="b">
        <f t="shared" si="179"/>
        <v>0</v>
      </c>
      <c r="IS56" s="51" t="b">
        <f t="shared" si="179"/>
        <v>0</v>
      </c>
      <c r="IT56" s="51" t="b">
        <f t="shared" si="179"/>
        <v>0</v>
      </c>
      <c r="IU56" s="51" t="str">
        <f t="shared" ref="IU56:IU85" si="180">IF(IU10="","",IU10)</f>
        <v/>
      </c>
      <c r="IV56" s="116"/>
    </row>
    <row r="57" spans="1:256" x14ac:dyDescent="0.2">
      <c r="A57" s="13" t="str">
        <f t="shared" si="47"/>
        <v/>
      </c>
      <c r="B57" s="14" t="str">
        <f t="shared" si="47"/>
        <v/>
      </c>
      <c r="C57">
        <v>2</v>
      </c>
      <c r="D57" s="19" t="str">
        <f t="shared" si="48"/>
        <v/>
      </c>
      <c r="E57" s="20" t="str">
        <f t="shared" si="49"/>
        <v/>
      </c>
      <c r="F57" s="51" t="str">
        <f t="shared" si="50"/>
        <v>FALSE</v>
      </c>
      <c r="G57" s="51" t="str">
        <f t="shared" si="50"/>
        <v>FALSE</v>
      </c>
      <c r="H57" s="51" t="str">
        <f t="shared" si="50"/>
        <v>FALSE</v>
      </c>
      <c r="I57" s="51" t="str">
        <f t="shared" si="50"/>
        <v>FALSE</v>
      </c>
      <c r="J57" s="20" t="str">
        <f t="shared" si="51"/>
        <v/>
      </c>
      <c r="K57" s="51" t="str">
        <f t="shared" si="52"/>
        <v/>
      </c>
      <c r="L57" s="20" t="str">
        <f t="shared" si="53"/>
        <v/>
      </c>
      <c r="M57" s="51" t="str">
        <f t="shared" si="54"/>
        <v>FALSE</v>
      </c>
      <c r="N57" s="51" t="str">
        <f t="shared" si="54"/>
        <v>FALSE</v>
      </c>
      <c r="O57" s="51" t="str">
        <f t="shared" si="54"/>
        <v>FALSE</v>
      </c>
      <c r="P57" s="51" t="str">
        <f t="shared" si="54"/>
        <v>FALSE</v>
      </c>
      <c r="Q57" s="20" t="str">
        <f t="shared" si="55"/>
        <v/>
      </c>
      <c r="R57" s="51" t="str">
        <f t="shared" si="56"/>
        <v/>
      </c>
      <c r="S57" s="51" t="str">
        <f t="shared" si="57"/>
        <v/>
      </c>
      <c r="T57" s="51" t="str">
        <f t="shared" si="58"/>
        <v>FALSE</v>
      </c>
      <c r="U57" s="51" t="str">
        <f t="shared" si="58"/>
        <v>FALSE</v>
      </c>
      <c r="V57" s="51" t="str">
        <f t="shared" si="58"/>
        <v>FALSE</v>
      </c>
      <c r="W57" s="51" t="str">
        <f t="shared" si="58"/>
        <v>FALSE</v>
      </c>
      <c r="X57" s="22" t="str">
        <f t="shared" si="59"/>
        <v/>
      </c>
      <c r="Y57" s="19" t="str">
        <f t="shared" si="60"/>
        <v/>
      </c>
      <c r="Z57" s="20" t="str">
        <f t="shared" si="61"/>
        <v/>
      </c>
      <c r="AA57" s="51" t="str">
        <f t="shared" si="62"/>
        <v>FALSE</v>
      </c>
      <c r="AB57" s="51" t="str">
        <f t="shared" si="62"/>
        <v>FALSE</v>
      </c>
      <c r="AC57" s="51" t="str">
        <f t="shared" si="62"/>
        <v>FALSE</v>
      </c>
      <c r="AD57" s="51" t="str">
        <f t="shared" si="62"/>
        <v>FALSE</v>
      </c>
      <c r="AE57" s="20" t="str">
        <f t="shared" si="63"/>
        <v/>
      </c>
      <c r="AF57" s="51" t="str">
        <f t="shared" si="64"/>
        <v/>
      </c>
      <c r="AG57" s="20" t="str">
        <f t="shared" si="65"/>
        <v/>
      </c>
      <c r="AH57" s="51" t="str">
        <f t="shared" ref="AH57:AK57" si="181">AH11</f>
        <v>FALSE</v>
      </c>
      <c r="AI57" s="51" t="str">
        <f t="shared" si="181"/>
        <v>FALSE</v>
      </c>
      <c r="AJ57" s="51" t="str">
        <f t="shared" si="181"/>
        <v>FALSE</v>
      </c>
      <c r="AK57" s="51" t="str">
        <f t="shared" si="181"/>
        <v>FALSE</v>
      </c>
      <c r="AL57" s="20" t="str">
        <f t="shared" si="66"/>
        <v/>
      </c>
      <c r="AM57" s="51" t="str">
        <f t="shared" si="67"/>
        <v/>
      </c>
      <c r="AN57" s="20" t="str">
        <f t="shared" si="68"/>
        <v/>
      </c>
      <c r="AO57" s="51" t="str">
        <f t="shared" si="69"/>
        <v>FALSE</v>
      </c>
      <c r="AP57" s="51" t="str">
        <f t="shared" si="69"/>
        <v>FALSE</v>
      </c>
      <c r="AQ57" s="51" t="str">
        <f t="shared" si="69"/>
        <v>FALSE</v>
      </c>
      <c r="AR57" s="51" t="str">
        <f t="shared" si="69"/>
        <v>FALSE</v>
      </c>
      <c r="AS57" s="51" t="str">
        <f t="shared" si="70"/>
        <v/>
      </c>
      <c r="AT57" s="19" t="str">
        <f t="shared" si="71"/>
        <v/>
      </c>
      <c r="AU57" s="20" t="str">
        <f t="shared" si="72"/>
        <v/>
      </c>
      <c r="AV57" s="51" t="str">
        <f t="shared" ref="AV57:AY57" si="182">AV11</f>
        <v>FALSE</v>
      </c>
      <c r="AW57" s="51" t="str">
        <f t="shared" si="182"/>
        <v>FALSE</v>
      </c>
      <c r="AX57" s="51" t="str">
        <f t="shared" si="182"/>
        <v>FALSE</v>
      </c>
      <c r="AY57" s="51" t="str">
        <f t="shared" si="182"/>
        <v>FALSE</v>
      </c>
      <c r="AZ57" s="20" t="str">
        <f t="shared" si="74"/>
        <v/>
      </c>
      <c r="BA57" s="51" t="str">
        <f t="shared" si="75"/>
        <v/>
      </c>
      <c r="BB57" s="20" t="str">
        <f t="shared" si="76"/>
        <v/>
      </c>
      <c r="BC57" s="51" t="str">
        <f t="shared" ref="BC57:BF57" si="183">BC11</f>
        <v>FALSE</v>
      </c>
      <c r="BD57" s="51" t="str">
        <f t="shared" si="183"/>
        <v>FALSE</v>
      </c>
      <c r="BE57" s="51" t="str">
        <f t="shared" si="183"/>
        <v>FALSE</v>
      </c>
      <c r="BF57" s="51" t="str">
        <f t="shared" si="183"/>
        <v>FALSE</v>
      </c>
      <c r="BG57" s="20" t="str">
        <f t="shared" si="77"/>
        <v/>
      </c>
      <c r="BH57" s="51" t="str">
        <f t="shared" si="78"/>
        <v/>
      </c>
      <c r="BI57" s="20" t="str">
        <f t="shared" si="79"/>
        <v/>
      </c>
      <c r="BJ57" s="51" t="str">
        <f t="shared" ref="BJ57:BM57" si="184">BJ11</f>
        <v>FALSE</v>
      </c>
      <c r="BK57" s="51" t="str">
        <f t="shared" si="184"/>
        <v>FALSE</v>
      </c>
      <c r="BL57" s="51" t="str">
        <f t="shared" si="184"/>
        <v>FALSE</v>
      </c>
      <c r="BM57" s="51" t="str">
        <f t="shared" si="184"/>
        <v>FALSE</v>
      </c>
      <c r="BN57" s="51" t="str">
        <f t="shared" si="81"/>
        <v/>
      </c>
      <c r="BO57" s="19" t="str">
        <f t="shared" si="82"/>
        <v/>
      </c>
      <c r="BP57" s="20" t="str">
        <f t="shared" si="83"/>
        <v/>
      </c>
      <c r="BQ57" s="51" t="b">
        <f t="shared" ref="BQ57:BT57" si="185">BQ11</f>
        <v>0</v>
      </c>
      <c r="BR57" s="51" t="b">
        <f t="shared" si="185"/>
        <v>0</v>
      </c>
      <c r="BS57" s="51" t="b">
        <f t="shared" si="185"/>
        <v>0</v>
      </c>
      <c r="BT57" s="51" t="b">
        <f t="shared" si="185"/>
        <v>0</v>
      </c>
      <c r="BU57" s="20" t="str">
        <f t="shared" si="85"/>
        <v/>
      </c>
      <c r="BV57" s="51" t="str">
        <f t="shared" si="86"/>
        <v/>
      </c>
      <c r="BW57" s="20" t="str">
        <f t="shared" si="87"/>
        <v/>
      </c>
      <c r="BX57" s="51" t="b">
        <f t="shared" ref="BX57:BY57" si="186">BX11</f>
        <v>0</v>
      </c>
      <c r="BY57" s="51" t="b">
        <f t="shared" si="186"/>
        <v>0</v>
      </c>
      <c r="BZ57" s="51" t="b">
        <f t="shared" ref="BZ57:CA57" si="187">BZ11</f>
        <v>0</v>
      </c>
      <c r="CA57" s="51" t="b">
        <f t="shared" si="187"/>
        <v>0</v>
      </c>
      <c r="CB57" s="20" t="str">
        <f t="shared" si="88"/>
        <v/>
      </c>
      <c r="CC57" s="51" t="str">
        <f t="shared" si="89"/>
        <v/>
      </c>
      <c r="CD57" s="20" t="str">
        <f t="shared" si="90"/>
        <v/>
      </c>
      <c r="CE57" s="51" t="b">
        <f t="shared" ref="CE57:CH57" si="188">CE11</f>
        <v>0</v>
      </c>
      <c r="CF57" s="51" t="b">
        <f t="shared" si="188"/>
        <v>0</v>
      </c>
      <c r="CG57" s="51" t="b">
        <f t="shared" si="188"/>
        <v>0</v>
      </c>
      <c r="CH57" s="51" t="b">
        <f t="shared" si="188"/>
        <v>0</v>
      </c>
      <c r="CI57" s="51" t="str">
        <f t="shared" si="92"/>
        <v/>
      </c>
      <c r="CJ57" s="19" t="str">
        <f t="shared" si="93"/>
        <v/>
      </c>
      <c r="CK57" s="20" t="str">
        <f t="shared" si="94"/>
        <v/>
      </c>
      <c r="CL57" s="51" t="b">
        <f t="shared" ref="CL57:CO57" si="189">CL11</f>
        <v>0</v>
      </c>
      <c r="CM57" s="51" t="b">
        <f t="shared" si="189"/>
        <v>0</v>
      </c>
      <c r="CN57" s="51" t="b">
        <f t="shared" si="189"/>
        <v>0</v>
      </c>
      <c r="CO57" s="51" t="b">
        <f t="shared" si="189"/>
        <v>0</v>
      </c>
      <c r="CP57" s="20" t="str">
        <f t="shared" si="96"/>
        <v/>
      </c>
      <c r="CQ57" s="51" t="str">
        <f t="shared" si="97"/>
        <v/>
      </c>
      <c r="CR57" s="20" t="str">
        <f t="shared" si="98"/>
        <v/>
      </c>
      <c r="CS57" s="51" t="b">
        <f t="shared" ref="CS57:CT57" si="190">CS11</f>
        <v>0</v>
      </c>
      <c r="CT57" s="51" t="b">
        <f t="shared" si="190"/>
        <v>0</v>
      </c>
      <c r="CU57" s="51" t="b">
        <f t="shared" ref="CU57:CV57" si="191">CU11</f>
        <v>0</v>
      </c>
      <c r="CV57" s="51" t="b">
        <f t="shared" si="191"/>
        <v>0</v>
      </c>
      <c r="CW57" s="20" t="str">
        <f t="shared" si="99"/>
        <v/>
      </c>
      <c r="CX57" s="51" t="str">
        <f t="shared" si="100"/>
        <v/>
      </c>
      <c r="CY57" s="20" t="str">
        <f t="shared" si="101"/>
        <v/>
      </c>
      <c r="CZ57" s="51" t="b">
        <f t="shared" ref="CZ57:DC57" si="192">CZ11</f>
        <v>0</v>
      </c>
      <c r="DA57" s="51" t="b">
        <f t="shared" si="192"/>
        <v>0</v>
      </c>
      <c r="DB57" s="51" t="b">
        <f t="shared" si="192"/>
        <v>0</v>
      </c>
      <c r="DC57" s="51" t="b">
        <f t="shared" si="192"/>
        <v>0</v>
      </c>
      <c r="DD57" s="51" t="str">
        <f t="shared" si="103"/>
        <v/>
      </c>
      <c r="DE57" s="19" t="str">
        <f t="shared" si="104"/>
        <v/>
      </c>
      <c r="DF57" s="20" t="str">
        <f t="shared" si="105"/>
        <v/>
      </c>
      <c r="DG57" s="51" t="b">
        <f t="shared" ref="DG57:DJ57" si="193">DG11</f>
        <v>0</v>
      </c>
      <c r="DH57" s="51" t="b">
        <f t="shared" si="193"/>
        <v>0</v>
      </c>
      <c r="DI57" s="51" t="b">
        <f t="shared" si="193"/>
        <v>0</v>
      </c>
      <c r="DJ57" s="51" t="b">
        <f t="shared" si="193"/>
        <v>0</v>
      </c>
      <c r="DK57" s="20" t="str">
        <f t="shared" si="107"/>
        <v/>
      </c>
      <c r="DL57" s="51" t="str">
        <f t="shared" si="108"/>
        <v/>
      </c>
      <c r="DM57" s="20" t="str">
        <f t="shared" si="109"/>
        <v/>
      </c>
      <c r="DN57" s="51" t="b">
        <f t="shared" ref="DN57:DO57" si="194">DN11</f>
        <v>0</v>
      </c>
      <c r="DO57" s="51" t="b">
        <f t="shared" si="194"/>
        <v>0</v>
      </c>
      <c r="DP57" s="51" t="b">
        <f t="shared" ref="DP57:DQ57" si="195">DP11</f>
        <v>0</v>
      </c>
      <c r="DQ57" s="51" t="b">
        <f t="shared" si="195"/>
        <v>0</v>
      </c>
      <c r="DR57" s="20" t="str">
        <f t="shared" si="110"/>
        <v/>
      </c>
      <c r="DS57" s="51" t="str">
        <f t="shared" si="111"/>
        <v/>
      </c>
      <c r="DT57" s="20" t="str">
        <f t="shared" si="112"/>
        <v/>
      </c>
      <c r="DU57" s="51" t="b">
        <f t="shared" ref="DU57:DX57" si="196">DU11</f>
        <v>0</v>
      </c>
      <c r="DV57" s="51" t="b">
        <f t="shared" si="196"/>
        <v>0</v>
      </c>
      <c r="DW57" s="51" t="b">
        <f t="shared" si="196"/>
        <v>0</v>
      </c>
      <c r="DX57" s="51" t="b">
        <f t="shared" si="196"/>
        <v>0</v>
      </c>
      <c r="DY57" s="51" t="str">
        <f t="shared" si="114"/>
        <v/>
      </c>
      <c r="DZ57" s="19" t="str">
        <f t="shared" si="115"/>
        <v/>
      </c>
      <c r="EA57" s="20" t="str">
        <f t="shared" si="116"/>
        <v/>
      </c>
      <c r="EB57" s="51" t="b">
        <f t="shared" ref="EB57:EE57" si="197">EB11</f>
        <v>0</v>
      </c>
      <c r="EC57" s="51" t="b">
        <f t="shared" si="197"/>
        <v>0</v>
      </c>
      <c r="ED57" s="51" t="b">
        <f t="shared" si="197"/>
        <v>0</v>
      </c>
      <c r="EE57" s="51" t="b">
        <f t="shared" si="197"/>
        <v>0</v>
      </c>
      <c r="EF57" s="20" t="str">
        <f t="shared" si="118"/>
        <v/>
      </c>
      <c r="EG57" s="51" t="str">
        <f t="shared" si="119"/>
        <v/>
      </c>
      <c r="EH57" s="20" t="str">
        <f t="shared" si="120"/>
        <v/>
      </c>
      <c r="EI57" s="51" t="b">
        <f t="shared" ref="EI57:EJ57" si="198">EI11</f>
        <v>0</v>
      </c>
      <c r="EJ57" s="51" t="b">
        <f t="shared" si="198"/>
        <v>0</v>
      </c>
      <c r="EK57" s="51" t="b">
        <f t="shared" ref="EK57:EL57" si="199">EK11</f>
        <v>0</v>
      </c>
      <c r="EL57" s="51" t="b">
        <f t="shared" si="199"/>
        <v>0</v>
      </c>
      <c r="EM57" s="20" t="str">
        <f t="shared" si="121"/>
        <v/>
      </c>
      <c r="EN57" s="51" t="str">
        <f t="shared" si="122"/>
        <v/>
      </c>
      <c r="EO57" s="20" t="str">
        <f t="shared" si="123"/>
        <v/>
      </c>
      <c r="EP57" s="51" t="b">
        <f t="shared" ref="EP57:ES57" si="200">EP11</f>
        <v>0</v>
      </c>
      <c r="EQ57" s="51" t="b">
        <f t="shared" si="200"/>
        <v>0</v>
      </c>
      <c r="ER57" s="51" t="b">
        <f t="shared" si="200"/>
        <v>0</v>
      </c>
      <c r="ES57" s="51" t="b">
        <f t="shared" si="200"/>
        <v>0</v>
      </c>
      <c r="ET57" s="51" t="str">
        <f t="shared" si="125"/>
        <v/>
      </c>
      <c r="EU57" s="19" t="str">
        <f t="shared" si="126"/>
        <v/>
      </c>
      <c r="EV57" s="20" t="str">
        <f t="shared" si="127"/>
        <v/>
      </c>
      <c r="EW57" s="51" t="b">
        <f t="shared" ref="EW57:EZ57" si="201">EW11</f>
        <v>0</v>
      </c>
      <c r="EX57" s="51" t="b">
        <f t="shared" si="201"/>
        <v>0</v>
      </c>
      <c r="EY57" s="51" t="b">
        <f t="shared" si="201"/>
        <v>0</v>
      </c>
      <c r="EZ57" s="51" t="b">
        <f t="shared" si="201"/>
        <v>0</v>
      </c>
      <c r="FA57" s="20" t="str">
        <f t="shared" si="129"/>
        <v/>
      </c>
      <c r="FB57" s="51" t="str">
        <f t="shared" si="130"/>
        <v/>
      </c>
      <c r="FC57" s="20" t="str">
        <f t="shared" si="131"/>
        <v/>
      </c>
      <c r="FD57" s="51" t="b">
        <f t="shared" ref="FD57:FE57" si="202">FD11</f>
        <v>0</v>
      </c>
      <c r="FE57" s="51" t="b">
        <f t="shared" si="202"/>
        <v>0</v>
      </c>
      <c r="FF57" s="51" t="b">
        <f t="shared" ref="FF57:FG57" si="203">FF11</f>
        <v>0</v>
      </c>
      <c r="FG57" s="51" t="b">
        <f t="shared" si="203"/>
        <v>0</v>
      </c>
      <c r="FH57" s="20" t="str">
        <f t="shared" si="132"/>
        <v/>
      </c>
      <c r="FI57" s="51" t="str">
        <f t="shared" si="133"/>
        <v/>
      </c>
      <c r="FJ57" s="20" t="str">
        <f t="shared" si="134"/>
        <v/>
      </c>
      <c r="FK57" s="51" t="b">
        <f t="shared" ref="FK57:FN57" si="204">FK11</f>
        <v>0</v>
      </c>
      <c r="FL57" s="51" t="b">
        <f t="shared" si="204"/>
        <v>0</v>
      </c>
      <c r="FM57" s="51" t="b">
        <f t="shared" si="204"/>
        <v>0</v>
      </c>
      <c r="FN57" s="51" t="b">
        <f t="shared" si="204"/>
        <v>0</v>
      </c>
      <c r="FO57" s="51" t="str">
        <f t="shared" si="136"/>
        <v/>
      </c>
      <c r="FP57" s="19" t="str">
        <f t="shared" si="137"/>
        <v/>
      </c>
      <c r="FQ57" s="20" t="str">
        <f t="shared" si="138"/>
        <v/>
      </c>
      <c r="FR57" s="51" t="b">
        <f t="shared" ref="FR57:FU57" si="205">FR11</f>
        <v>0</v>
      </c>
      <c r="FS57" s="51" t="b">
        <f t="shared" si="205"/>
        <v>0</v>
      </c>
      <c r="FT57" s="51" t="b">
        <f t="shared" si="205"/>
        <v>0</v>
      </c>
      <c r="FU57" s="51" t="b">
        <f t="shared" si="205"/>
        <v>0</v>
      </c>
      <c r="FV57" s="20" t="str">
        <f t="shared" si="140"/>
        <v/>
      </c>
      <c r="FW57" s="51" t="str">
        <f t="shared" si="141"/>
        <v/>
      </c>
      <c r="FX57" s="20" t="str">
        <f t="shared" si="142"/>
        <v/>
      </c>
      <c r="FY57" s="51" t="b">
        <f t="shared" ref="FY57:FZ57" si="206">FY11</f>
        <v>0</v>
      </c>
      <c r="FZ57" s="51" t="b">
        <f t="shared" si="206"/>
        <v>0</v>
      </c>
      <c r="GA57" s="51" t="b">
        <f t="shared" ref="GA57:GB57" si="207">GA11</f>
        <v>0</v>
      </c>
      <c r="GB57" s="51" t="b">
        <f t="shared" si="207"/>
        <v>0</v>
      </c>
      <c r="GC57" s="20" t="str">
        <f t="shared" si="143"/>
        <v/>
      </c>
      <c r="GD57" s="51" t="str">
        <f t="shared" si="144"/>
        <v/>
      </c>
      <c r="GE57" s="20" t="str">
        <f t="shared" si="145"/>
        <v/>
      </c>
      <c r="GF57" s="51" t="b">
        <f t="shared" ref="GF57:GI57" si="208">GF11</f>
        <v>0</v>
      </c>
      <c r="GG57" s="51" t="b">
        <f t="shared" si="208"/>
        <v>0</v>
      </c>
      <c r="GH57" s="51" t="b">
        <f t="shared" si="208"/>
        <v>0</v>
      </c>
      <c r="GI57" s="51" t="b">
        <f t="shared" si="208"/>
        <v>0</v>
      </c>
      <c r="GJ57" s="51" t="str">
        <f t="shared" si="147"/>
        <v/>
      </c>
      <c r="GK57" s="19" t="str">
        <f t="shared" si="148"/>
        <v/>
      </c>
      <c r="GL57" s="20" t="str">
        <f t="shared" si="149"/>
        <v/>
      </c>
      <c r="GM57" s="51" t="b">
        <f t="shared" ref="GM57:GP57" si="209">GM11</f>
        <v>0</v>
      </c>
      <c r="GN57" s="51" t="b">
        <f t="shared" si="209"/>
        <v>0</v>
      </c>
      <c r="GO57" s="51" t="b">
        <f t="shared" si="209"/>
        <v>0</v>
      </c>
      <c r="GP57" s="51" t="b">
        <f t="shared" si="209"/>
        <v>0</v>
      </c>
      <c r="GQ57" s="20" t="str">
        <f t="shared" si="151"/>
        <v/>
      </c>
      <c r="GR57" s="51" t="str">
        <f t="shared" si="152"/>
        <v/>
      </c>
      <c r="GS57" s="20" t="str">
        <f t="shared" si="153"/>
        <v/>
      </c>
      <c r="GT57" s="51" t="b">
        <f t="shared" ref="GT57:GU57" si="210">GT11</f>
        <v>0</v>
      </c>
      <c r="GU57" s="51" t="b">
        <f t="shared" si="210"/>
        <v>0</v>
      </c>
      <c r="GV57" s="51" t="b">
        <f t="shared" ref="GV57:GW57" si="211">GV11</f>
        <v>0</v>
      </c>
      <c r="GW57" s="51" t="b">
        <f t="shared" si="211"/>
        <v>0</v>
      </c>
      <c r="GX57" s="20" t="str">
        <f t="shared" si="154"/>
        <v/>
      </c>
      <c r="GY57" s="51" t="str">
        <f t="shared" si="155"/>
        <v/>
      </c>
      <c r="GZ57" s="20" t="str">
        <f t="shared" si="156"/>
        <v/>
      </c>
      <c r="HA57" s="51" t="b">
        <f t="shared" ref="HA57:HD57" si="212">HA11</f>
        <v>0</v>
      </c>
      <c r="HB57" s="51" t="b">
        <f t="shared" si="212"/>
        <v>0</v>
      </c>
      <c r="HC57" s="51" t="b">
        <f t="shared" si="212"/>
        <v>0</v>
      </c>
      <c r="HD57" s="51" t="b">
        <f t="shared" si="212"/>
        <v>0</v>
      </c>
      <c r="HE57" s="51" t="str">
        <f t="shared" si="158"/>
        <v/>
      </c>
      <c r="HF57" s="19" t="str">
        <f t="shared" si="159"/>
        <v/>
      </c>
      <c r="HG57" s="20" t="str">
        <f t="shared" si="160"/>
        <v/>
      </c>
      <c r="HH57" s="51" t="b">
        <f t="shared" ref="HH57:HK57" si="213">HH11</f>
        <v>0</v>
      </c>
      <c r="HI57" s="51" t="b">
        <f t="shared" si="213"/>
        <v>0</v>
      </c>
      <c r="HJ57" s="51" t="b">
        <f t="shared" si="213"/>
        <v>0</v>
      </c>
      <c r="HK57" s="51" t="b">
        <f t="shared" si="213"/>
        <v>0</v>
      </c>
      <c r="HL57" s="20" t="str">
        <f t="shared" si="162"/>
        <v/>
      </c>
      <c r="HM57" s="51" t="str">
        <f t="shared" si="163"/>
        <v/>
      </c>
      <c r="HN57" s="20" t="str">
        <f t="shared" si="164"/>
        <v/>
      </c>
      <c r="HO57" s="51" t="b">
        <f t="shared" ref="HO57:HP57" si="214">HO11</f>
        <v>0</v>
      </c>
      <c r="HP57" s="51" t="b">
        <f t="shared" si="214"/>
        <v>0</v>
      </c>
      <c r="HQ57" s="51" t="b">
        <f t="shared" ref="HQ57:HR57" si="215">HQ11</f>
        <v>0</v>
      </c>
      <c r="HR57" s="51" t="b">
        <f t="shared" si="215"/>
        <v>0</v>
      </c>
      <c r="HS57" s="20" t="str">
        <f t="shared" si="165"/>
        <v/>
      </c>
      <c r="HT57" s="51" t="str">
        <f t="shared" si="166"/>
        <v/>
      </c>
      <c r="HU57" s="20" t="str">
        <f t="shared" si="167"/>
        <v/>
      </c>
      <c r="HV57" s="51" t="b">
        <f t="shared" ref="HV57:HY57" si="216">HV11</f>
        <v>0</v>
      </c>
      <c r="HW57" s="51" t="b">
        <f t="shared" si="216"/>
        <v>0</v>
      </c>
      <c r="HX57" s="51" t="b">
        <f t="shared" si="216"/>
        <v>0</v>
      </c>
      <c r="HY57" s="51" t="b">
        <f t="shared" si="216"/>
        <v>0</v>
      </c>
      <c r="HZ57" s="51" t="str">
        <f t="shared" si="169"/>
        <v/>
      </c>
      <c r="IA57" s="19" t="str">
        <f t="shared" si="170"/>
        <v/>
      </c>
      <c r="IB57" s="20" t="str">
        <f t="shared" si="171"/>
        <v/>
      </c>
      <c r="IC57" s="51" t="b">
        <f t="shared" ref="IC57:IF57" si="217">IC11</f>
        <v>0</v>
      </c>
      <c r="ID57" s="51" t="b">
        <f t="shared" si="217"/>
        <v>0</v>
      </c>
      <c r="IE57" s="51" t="b">
        <f t="shared" si="217"/>
        <v>0</v>
      </c>
      <c r="IF57" s="51" t="b">
        <f t="shared" si="217"/>
        <v>0</v>
      </c>
      <c r="IG57" s="20" t="str">
        <f t="shared" si="173"/>
        <v/>
      </c>
      <c r="IH57" s="51" t="str">
        <f t="shared" si="174"/>
        <v/>
      </c>
      <c r="II57" s="20" t="str">
        <f t="shared" si="175"/>
        <v/>
      </c>
      <c r="IJ57" s="51" t="b">
        <f t="shared" ref="IJ57:IK57" si="218">IJ11</f>
        <v>0</v>
      </c>
      <c r="IK57" s="51" t="b">
        <f t="shared" si="218"/>
        <v>0</v>
      </c>
      <c r="IL57" s="51" t="b">
        <f t="shared" ref="IL57:IM57" si="219">IL11</f>
        <v>0</v>
      </c>
      <c r="IM57" s="51" t="b">
        <f t="shared" si="219"/>
        <v>0</v>
      </c>
      <c r="IN57" s="20" t="str">
        <f t="shared" si="176"/>
        <v/>
      </c>
      <c r="IO57" s="51" t="str">
        <f t="shared" si="177"/>
        <v/>
      </c>
      <c r="IP57" s="20" t="str">
        <f t="shared" si="178"/>
        <v/>
      </c>
      <c r="IQ57" s="51" t="b">
        <f t="shared" ref="IQ57:IT57" si="220">IQ11</f>
        <v>0</v>
      </c>
      <c r="IR57" s="51" t="b">
        <f t="shared" si="220"/>
        <v>0</v>
      </c>
      <c r="IS57" s="51" t="b">
        <f t="shared" si="220"/>
        <v>0</v>
      </c>
      <c r="IT57" s="51" t="b">
        <f t="shared" si="220"/>
        <v>0</v>
      </c>
      <c r="IU57" s="51" t="str">
        <f t="shared" si="180"/>
        <v/>
      </c>
      <c r="IV57" s="116"/>
    </row>
    <row r="58" spans="1:256" x14ac:dyDescent="0.2">
      <c r="A58" s="13" t="str">
        <f t="shared" si="47"/>
        <v/>
      </c>
      <c r="B58" s="14" t="str">
        <f t="shared" si="47"/>
        <v/>
      </c>
      <c r="C58">
        <v>3</v>
      </c>
      <c r="D58" s="19" t="str">
        <f t="shared" si="48"/>
        <v/>
      </c>
      <c r="E58" s="20" t="str">
        <f t="shared" si="49"/>
        <v/>
      </c>
      <c r="F58" s="51" t="str">
        <f t="shared" si="50"/>
        <v>FALSE</v>
      </c>
      <c r="G58" s="51" t="str">
        <f t="shared" si="50"/>
        <v>FALSE</v>
      </c>
      <c r="H58" s="51" t="str">
        <f t="shared" si="50"/>
        <v>FALSE</v>
      </c>
      <c r="I58" s="51" t="str">
        <f t="shared" si="50"/>
        <v>FALSE</v>
      </c>
      <c r="J58" s="20" t="str">
        <f t="shared" si="51"/>
        <v/>
      </c>
      <c r="K58" s="51" t="str">
        <f t="shared" si="52"/>
        <v/>
      </c>
      <c r="L58" s="20" t="str">
        <f t="shared" si="53"/>
        <v/>
      </c>
      <c r="M58" s="51" t="str">
        <f t="shared" si="54"/>
        <v>FALSE</v>
      </c>
      <c r="N58" s="51" t="str">
        <f t="shared" si="54"/>
        <v>FALSE</v>
      </c>
      <c r="O58" s="51" t="str">
        <f t="shared" si="54"/>
        <v>FALSE</v>
      </c>
      <c r="P58" s="51" t="str">
        <f t="shared" si="54"/>
        <v>FALSE</v>
      </c>
      <c r="Q58" s="20" t="str">
        <f t="shared" si="55"/>
        <v/>
      </c>
      <c r="R58" s="51" t="str">
        <f t="shared" si="56"/>
        <v/>
      </c>
      <c r="S58" s="51" t="str">
        <f t="shared" si="57"/>
        <v/>
      </c>
      <c r="T58" s="51" t="str">
        <f t="shared" si="58"/>
        <v>FALSE</v>
      </c>
      <c r="U58" s="51" t="str">
        <f t="shared" si="58"/>
        <v>FALSE</v>
      </c>
      <c r="V58" s="51" t="str">
        <f t="shared" si="58"/>
        <v>FALSE</v>
      </c>
      <c r="W58" s="51" t="str">
        <f t="shared" si="58"/>
        <v>FALSE</v>
      </c>
      <c r="X58" s="22" t="str">
        <f t="shared" si="59"/>
        <v/>
      </c>
      <c r="Y58" s="19" t="str">
        <f t="shared" si="60"/>
        <v/>
      </c>
      <c r="Z58" s="20" t="str">
        <f t="shared" si="61"/>
        <v/>
      </c>
      <c r="AA58" s="51" t="str">
        <f t="shared" si="62"/>
        <v>FALSE</v>
      </c>
      <c r="AB58" s="51" t="str">
        <f t="shared" si="62"/>
        <v>FALSE</v>
      </c>
      <c r="AC58" s="51" t="str">
        <f t="shared" si="62"/>
        <v>FALSE</v>
      </c>
      <c r="AD58" s="51" t="str">
        <f t="shared" si="62"/>
        <v>FALSE</v>
      </c>
      <c r="AE58" s="20" t="str">
        <f t="shared" si="63"/>
        <v/>
      </c>
      <c r="AF58" s="51" t="str">
        <f t="shared" si="64"/>
        <v/>
      </c>
      <c r="AG58" s="20" t="str">
        <f t="shared" si="65"/>
        <v/>
      </c>
      <c r="AH58" s="51" t="str">
        <f t="shared" ref="AH58:AK58" si="221">AH12</f>
        <v>FALSE</v>
      </c>
      <c r="AI58" s="51" t="str">
        <f t="shared" si="221"/>
        <v>FALSE</v>
      </c>
      <c r="AJ58" s="51" t="str">
        <f t="shared" si="221"/>
        <v>FALSE</v>
      </c>
      <c r="AK58" s="51" t="str">
        <f t="shared" si="221"/>
        <v>FALSE</v>
      </c>
      <c r="AL58" s="20" t="str">
        <f t="shared" si="66"/>
        <v/>
      </c>
      <c r="AM58" s="51" t="str">
        <f t="shared" si="67"/>
        <v/>
      </c>
      <c r="AN58" s="20" t="str">
        <f t="shared" si="68"/>
        <v/>
      </c>
      <c r="AO58" s="51" t="str">
        <f t="shared" si="69"/>
        <v>FALSE</v>
      </c>
      <c r="AP58" s="51" t="str">
        <f t="shared" si="69"/>
        <v>FALSE</v>
      </c>
      <c r="AQ58" s="51" t="str">
        <f t="shared" si="69"/>
        <v>FALSE</v>
      </c>
      <c r="AR58" s="51" t="str">
        <f t="shared" si="69"/>
        <v>FALSE</v>
      </c>
      <c r="AS58" s="51" t="str">
        <f t="shared" si="70"/>
        <v/>
      </c>
      <c r="AT58" s="19" t="str">
        <f t="shared" si="71"/>
        <v/>
      </c>
      <c r="AU58" s="20" t="str">
        <f t="shared" si="72"/>
        <v/>
      </c>
      <c r="AV58" s="51" t="str">
        <f t="shared" ref="AV58:AY58" si="222">AV12</f>
        <v>FALSE</v>
      </c>
      <c r="AW58" s="51" t="str">
        <f t="shared" si="222"/>
        <v>FALSE</v>
      </c>
      <c r="AX58" s="51" t="str">
        <f t="shared" si="222"/>
        <v>FALSE</v>
      </c>
      <c r="AY58" s="51" t="str">
        <f t="shared" si="222"/>
        <v>FALSE</v>
      </c>
      <c r="AZ58" s="20" t="str">
        <f t="shared" si="74"/>
        <v/>
      </c>
      <c r="BA58" s="51" t="str">
        <f t="shared" si="75"/>
        <v/>
      </c>
      <c r="BB58" s="20" t="str">
        <f t="shared" si="76"/>
        <v/>
      </c>
      <c r="BC58" s="51" t="str">
        <f t="shared" ref="BC58:BF58" si="223">BC12</f>
        <v>FALSE</v>
      </c>
      <c r="BD58" s="51" t="str">
        <f t="shared" si="223"/>
        <v>FALSE</v>
      </c>
      <c r="BE58" s="51" t="str">
        <f t="shared" si="223"/>
        <v>FALSE</v>
      </c>
      <c r="BF58" s="51" t="str">
        <f t="shared" si="223"/>
        <v>FALSE</v>
      </c>
      <c r="BG58" s="20" t="str">
        <f t="shared" si="77"/>
        <v/>
      </c>
      <c r="BH58" s="51" t="str">
        <f t="shared" si="78"/>
        <v/>
      </c>
      <c r="BI58" s="20" t="str">
        <f t="shared" si="79"/>
        <v/>
      </c>
      <c r="BJ58" s="51" t="str">
        <f t="shared" ref="BJ58:BM58" si="224">BJ12</f>
        <v>FALSE</v>
      </c>
      <c r="BK58" s="51" t="str">
        <f t="shared" si="224"/>
        <v>FALSE</v>
      </c>
      <c r="BL58" s="51" t="str">
        <f t="shared" si="224"/>
        <v>FALSE</v>
      </c>
      <c r="BM58" s="51" t="str">
        <f t="shared" si="224"/>
        <v>FALSE</v>
      </c>
      <c r="BN58" s="51" t="str">
        <f t="shared" si="81"/>
        <v/>
      </c>
      <c r="BO58" s="19" t="str">
        <f t="shared" si="82"/>
        <v/>
      </c>
      <c r="BP58" s="20" t="str">
        <f t="shared" si="83"/>
        <v/>
      </c>
      <c r="BQ58" s="51" t="b">
        <f t="shared" ref="BQ58:BT58" si="225">BQ12</f>
        <v>0</v>
      </c>
      <c r="BR58" s="51" t="b">
        <f t="shared" si="225"/>
        <v>0</v>
      </c>
      <c r="BS58" s="51" t="b">
        <f t="shared" si="225"/>
        <v>0</v>
      </c>
      <c r="BT58" s="51" t="b">
        <f t="shared" si="225"/>
        <v>0</v>
      </c>
      <c r="BU58" s="20" t="str">
        <f t="shared" si="85"/>
        <v/>
      </c>
      <c r="BV58" s="51" t="str">
        <f t="shared" si="86"/>
        <v/>
      </c>
      <c r="BW58" s="20" t="str">
        <f t="shared" si="87"/>
        <v/>
      </c>
      <c r="BX58" s="51" t="b">
        <f t="shared" ref="BX58:BY58" si="226">BX12</f>
        <v>0</v>
      </c>
      <c r="BY58" s="51" t="b">
        <f t="shared" si="226"/>
        <v>0</v>
      </c>
      <c r="BZ58" s="51" t="b">
        <f t="shared" ref="BZ58:CA58" si="227">BZ12</f>
        <v>0</v>
      </c>
      <c r="CA58" s="51" t="b">
        <f t="shared" si="227"/>
        <v>0</v>
      </c>
      <c r="CB58" s="20" t="str">
        <f t="shared" si="88"/>
        <v/>
      </c>
      <c r="CC58" s="51" t="str">
        <f t="shared" si="89"/>
        <v/>
      </c>
      <c r="CD58" s="20" t="str">
        <f t="shared" si="90"/>
        <v/>
      </c>
      <c r="CE58" s="51" t="b">
        <f t="shared" ref="CE58:CH58" si="228">CE12</f>
        <v>0</v>
      </c>
      <c r="CF58" s="51" t="b">
        <f t="shared" si="228"/>
        <v>0</v>
      </c>
      <c r="CG58" s="51" t="b">
        <f t="shared" si="228"/>
        <v>0</v>
      </c>
      <c r="CH58" s="51" t="b">
        <f t="shared" si="228"/>
        <v>0</v>
      </c>
      <c r="CI58" s="51" t="str">
        <f t="shared" si="92"/>
        <v/>
      </c>
      <c r="CJ58" s="19" t="str">
        <f t="shared" si="93"/>
        <v/>
      </c>
      <c r="CK58" s="20" t="str">
        <f t="shared" si="94"/>
        <v/>
      </c>
      <c r="CL58" s="51" t="b">
        <f t="shared" ref="CL58:CO58" si="229">CL12</f>
        <v>0</v>
      </c>
      <c r="CM58" s="51" t="b">
        <f t="shared" si="229"/>
        <v>0</v>
      </c>
      <c r="CN58" s="51" t="b">
        <f t="shared" si="229"/>
        <v>0</v>
      </c>
      <c r="CO58" s="51" t="b">
        <f t="shared" si="229"/>
        <v>0</v>
      </c>
      <c r="CP58" s="20" t="str">
        <f t="shared" si="96"/>
        <v/>
      </c>
      <c r="CQ58" s="51" t="str">
        <f t="shared" si="97"/>
        <v/>
      </c>
      <c r="CR58" s="20" t="str">
        <f t="shared" si="98"/>
        <v/>
      </c>
      <c r="CS58" s="51" t="b">
        <f t="shared" ref="CS58:CT58" si="230">CS12</f>
        <v>0</v>
      </c>
      <c r="CT58" s="51" t="b">
        <f t="shared" si="230"/>
        <v>0</v>
      </c>
      <c r="CU58" s="51" t="b">
        <f t="shared" ref="CU58:CV58" si="231">CU12</f>
        <v>0</v>
      </c>
      <c r="CV58" s="51" t="b">
        <f t="shared" si="231"/>
        <v>0</v>
      </c>
      <c r="CW58" s="20" t="str">
        <f t="shared" si="99"/>
        <v/>
      </c>
      <c r="CX58" s="51" t="str">
        <f t="shared" si="100"/>
        <v/>
      </c>
      <c r="CY58" s="20" t="str">
        <f t="shared" si="101"/>
        <v/>
      </c>
      <c r="CZ58" s="51" t="b">
        <f t="shared" ref="CZ58:DC58" si="232">CZ12</f>
        <v>0</v>
      </c>
      <c r="DA58" s="51" t="b">
        <f t="shared" si="232"/>
        <v>0</v>
      </c>
      <c r="DB58" s="51" t="b">
        <f t="shared" si="232"/>
        <v>0</v>
      </c>
      <c r="DC58" s="51" t="b">
        <f t="shared" si="232"/>
        <v>0</v>
      </c>
      <c r="DD58" s="51" t="str">
        <f t="shared" si="103"/>
        <v/>
      </c>
      <c r="DE58" s="19" t="str">
        <f t="shared" si="104"/>
        <v/>
      </c>
      <c r="DF58" s="20" t="str">
        <f t="shared" si="105"/>
        <v/>
      </c>
      <c r="DG58" s="51" t="b">
        <f t="shared" ref="DG58:DJ58" si="233">DG12</f>
        <v>0</v>
      </c>
      <c r="DH58" s="51" t="b">
        <f t="shared" si="233"/>
        <v>0</v>
      </c>
      <c r="DI58" s="51" t="b">
        <f t="shared" si="233"/>
        <v>0</v>
      </c>
      <c r="DJ58" s="51" t="b">
        <f t="shared" si="233"/>
        <v>0</v>
      </c>
      <c r="DK58" s="20" t="str">
        <f t="shared" si="107"/>
        <v/>
      </c>
      <c r="DL58" s="51" t="str">
        <f t="shared" si="108"/>
        <v/>
      </c>
      <c r="DM58" s="20" t="str">
        <f t="shared" si="109"/>
        <v/>
      </c>
      <c r="DN58" s="51" t="b">
        <f t="shared" ref="DN58:DO58" si="234">DN12</f>
        <v>0</v>
      </c>
      <c r="DO58" s="51" t="b">
        <f t="shared" si="234"/>
        <v>0</v>
      </c>
      <c r="DP58" s="51" t="b">
        <f t="shared" ref="DP58:DQ58" si="235">DP12</f>
        <v>0</v>
      </c>
      <c r="DQ58" s="51" t="b">
        <f t="shared" si="235"/>
        <v>0</v>
      </c>
      <c r="DR58" s="20" t="str">
        <f t="shared" si="110"/>
        <v/>
      </c>
      <c r="DS58" s="51" t="str">
        <f t="shared" si="111"/>
        <v/>
      </c>
      <c r="DT58" s="20" t="str">
        <f t="shared" si="112"/>
        <v/>
      </c>
      <c r="DU58" s="51" t="b">
        <f t="shared" ref="DU58:DX58" si="236">DU12</f>
        <v>0</v>
      </c>
      <c r="DV58" s="51" t="b">
        <f t="shared" si="236"/>
        <v>0</v>
      </c>
      <c r="DW58" s="51" t="b">
        <f t="shared" si="236"/>
        <v>0</v>
      </c>
      <c r="DX58" s="51" t="b">
        <f t="shared" si="236"/>
        <v>0</v>
      </c>
      <c r="DY58" s="51" t="str">
        <f t="shared" si="114"/>
        <v/>
      </c>
      <c r="DZ58" s="19" t="str">
        <f t="shared" si="115"/>
        <v/>
      </c>
      <c r="EA58" s="20" t="str">
        <f t="shared" si="116"/>
        <v/>
      </c>
      <c r="EB58" s="51" t="b">
        <f t="shared" ref="EB58:EE58" si="237">EB12</f>
        <v>0</v>
      </c>
      <c r="EC58" s="51" t="b">
        <f t="shared" si="237"/>
        <v>0</v>
      </c>
      <c r="ED58" s="51" t="b">
        <f t="shared" si="237"/>
        <v>0</v>
      </c>
      <c r="EE58" s="51" t="b">
        <f t="shared" si="237"/>
        <v>0</v>
      </c>
      <c r="EF58" s="20" t="str">
        <f t="shared" si="118"/>
        <v/>
      </c>
      <c r="EG58" s="51" t="str">
        <f t="shared" si="119"/>
        <v/>
      </c>
      <c r="EH58" s="20" t="str">
        <f t="shared" si="120"/>
        <v/>
      </c>
      <c r="EI58" s="51" t="b">
        <f t="shared" ref="EI58:EJ58" si="238">EI12</f>
        <v>0</v>
      </c>
      <c r="EJ58" s="51" t="b">
        <f t="shared" si="238"/>
        <v>0</v>
      </c>
      <c r="EK58" s="51" t="b">
        <f t="shared" ref="EK58:EL58" si="239">EK12</f>
        <v>0</v>
      </c>
      <c r="EL58" s="51" t="b">
        <f t="shared" si="239"/>
        <v>0</v>
      </c>
      <c r="EM58" s="20" t="str">
        <f t="shared" si="121"/>
        <v/>
      </c>
      <c r="EN58" s="51" t="str">
        <f t="shared" si="122"/>
        <v/>
      </c>
      <c r="EO58" s="20" t="str">
        <f t="shared" si="123"/>
        <v/>
      </c>
      <c r="EP58" s="51" t="b">
        <f t="shared" ref="EP58:ES58" si="240">EP12</f>
        <v>0</v>
      </c>
      <c r="EQ58" s="51" t="b">
        <f t="shared" si="240"/>
        <v>0</v>
      </c>
      <c r="ER58" s="51" t="b">
        <f t="shared" si="240"/>
        <v>0</v>
      </c>
      <c r="ES58" s="51" t="b">
        <f t="shared" si="240"/>
        <v>0</v>
      </c>
      <c r="ET58" s="51" t="str">
        <f t="shared" si="125"/>
        <v/>
      </c>
      <c r="EU58" s="19" t="str">
        <f t="shared" si="126"/>
        <v/>
      </c>
      <c r="EV58" s="20" t="str">
        <f t="shared" si="127"/>
        <v/>
      </c>
      <c r="EW58" s="51" t="b">
        <f t="shared" ref="EW58:EZ58" si="241">EW12</f>
        <v>0</v>
      </c>
      <c r="EX58" s="51" t="b">
        <f t="shared" si="241"/>
        <v>0</v>
      </c>
      <c r="EY58" s="51" t="b">
        <f t="shared" si="241"/>
        <v>0</v>
      </c>
      <c r="EZ58" s="51" t="b">
        <f t="shared" si="241"/>
        <v>0</v>
      </c>
      <c r="FA58" s="20" t="str">
        <f t="shared" si="129"/>
        <v/>
      </c>
      <c r="FB58" s="51" t="str">
        <f t="shared" si="130"/>
        <v/>
      </c>
      <c r="FC58" s="20" t="str">
        <f t="shared" si="131"/>
        <v/>
      </c>
      <c r="FD58" s="51" t="b">
        <f t="shared" ref="FD58:FE58" si="242">FD12</f>
        <v>0</v>
      </c>
      <c r="FE58" s="51" t="b">
        <f t="shared" si="242"/>
        <v>0</v>
      </c>
      <c r="FF58" s="51" t="b">
        <f t="shared" ref="FF58:FG58" si="243">FF12</f>
        <v>0</v>
      </c>
      <c r="FG58" s="51" t="b">
        <f t="shared" si="243"/>
        <v>0</v>
      </c>
      <c r="FH58" s="20" t="str">
        <f t="shared" si="132"/>
        <v/>
      </c>
      <c r="FI58" s="51" t="str">
        <f t="shared" si="133"/>
        <v/>
      </c>
      <c r="FJ58" s="20" t="str">
        <f t="shared" si="134"/>
        <v/>
      </c>
      <c r="FK58" s="51" t="b">
        <f t="shared" ref="FK58:FN58" si="244">FK12</f>
        <v>0</v>
      </c>
      <c r="FL58" s="51" t="b">
        <f t="shared" si="244"/>
        <v>0</v>
      </c>
      <c r="FM58" s="51" t="b">
        <f t="shared" si="244"/>
        <v>0</v>
      </c>
      <c r="FN58" s="51" t="b">
        <f t="shared" si="244"/>
        <v>0</v>
      </c>
      <c r="FO58" s="51" t="str">
        <f t="shared" si="136"/>
        <v/>
      </c>
      <c r="FP58" s="19" t="str">
        <f t="shared" si="137"/>
        <v/>
      </c>
      <c r="FQ58" s="20" t="str">
        <f t="shared" si="138"/>
        <v/>
      </c>
      <c r="FR58" s="51" t="b">
        <f t="shared" ref="FR58:FU58" si="245">FR12</f>
        <v>0</v>
      </c>
      <c r="FS58" s="51" t="b">
        <f t="shared" si="245"/>
        <v>0</v>
      </c>
      <c r="FT58" s="51" t="b">
        <f t="shared" si="245"/>
        <v>0</v>
      </c>
      <c r="FU58" s="51" t="b">
        <f t="shared" si="245"/>
        <v>0</v>
      </c>
      <c r="FV58" s="20" t="str">
        <f t="shared" si="140"/>
        <v/>
      </c>
      <c r="FW58" s="51" t="str">
        <f t="shared" si="141"/>
        <v/>
      </c>
      <c r="FX58" s="20" t="str">
        <f t="shared" si="142"/>
        <v/>
      </c>
      <c r="FY58" s="51" t="b">
        <f t="shared" ref="FY58:FZ58" si="246">FY12</f>
        <v>0</v>
      </c>
      <c r="FZ58" s="51" t="b">
        <f t="shared" si="246"/>
        <v>0</v>
      </c>
      <c r="GA58" s="51" t="b">
        <f t="shared" ref="GA58:GB58" si="247">GA12</f>
        <v>0</v>
      </c>
      <c r="GB58" s="51" t="b">
        <f t="shared" si="247"/>
        <v>0</v>
      </c>
      <c r="GC58" s="20" t="str">
        <f t="shared" si="143"/>
        <v/>
      </c>
      <c r="GD58" s="51" t="str">
        <f t="shared" si="144"/>
        <v/>
      </c>
      <c r="GE58" s="20" t="str">
        <f t="shared" si="145"/>
        <v/>
      </c>
      <c r="GF58" s="51" t="b">
        <f t="shared" ref="GF58:GI58" si="248">GF12</f>
        <v>0</v>
      </c>
      <c r="GG58" s="51" t="b">
        <f t="shared" si="248"/>
        <v>0</v>
      </c>
      <c r="GH58" s="51" t="b">
        <f t="shared" si="248"/>
        <v>0</v>
      </c>
      <c r="GI58" s="51" t="b">
        <f t="shared" si="248"/>
        <v>0</v>
      </c>
      <c r="GJ58" s="51" t="str">
        <f t="shared" si="147"/>
        <v/>
      </c>
      <c r="GK58" s="19" t="str">
        <f t="shared" si="148"/>
        <v/>
      </c>
      <c r="GL58" s="20" t="str">
        <f t="shared" si="149"/>
        <v/>
      </c>
      <c r="GM58" s="51" t="b">
        <f t="shared" ref="GM58:GP58" si="249">GM12</f>
        <v>0</v>
      </c>
      <c r="GN58" s="51" t="b">
        <f t="shared" si="249"/>
        <v>0</v>
      </c>
      <c r="GO58" s="51" t="b">
        <f t="shared" si="249"/>
        <v>0</v>
      </c>
      <c r="GP58" s="51" t="b">
        <f t="shared" si="249"/>
        <v>0</v>
      </c>
      <c r="GQ58" s="20" t="str">
        <f t="shared" si="151"/>
        <v/>
      </c>
      <c r="GR58" s="51" t="str">
        <f t="shared" si="152"/>
        <v/>
      </c>
      <c r="GS58" s="20" t="str">
        <f t="shared" si="153"/>
        <v/>
      </c>
      <c r="GT58" s="51" t="b">
        <f t="shared" ref="GT58:GU58" si="250">GT12</f>
        <v>0</v>
      </c>
      <c r="GU58" s="51" t="b">
        <f t="shared" si="250"/>
        <v>0</v>
      </c>
      <c r="GV58" s="51" t="b">
        <f t="shared" ref="GV58:GW58" si="251">GV12</f>
        <v>0</v>
      </c>
      <c r="GW58" s="51" t="b">
        <f t="shared" si="251"/>
        <v>0</v>
      </c>
      <c r="GX58" s="20" t="str">
        <f t="shared" si="154"/>
        <v/>
      </c>
      <c r="GY58" s="51" t="str">
        <f t="shared" si="155"/>
        <v/>
      </c>
      <c r="GZ58" s="20" t="str">
        <f t="shared" si="156"/>
        <v/>
      </c>
      <c r="HA58" s="51" t="b">
        <f t="shared" ref="HA58:HD58" si="252">HA12</f>
        <v>0</v>
      </c>
      <c r="HB58" s="51" t="b">
        <f t="shared" si="252"/>
        <v>0</v>
      </c>
      <c r="HC58" s="51" t="b">
        <f t="shared" si="252"/>
        <v>0</v>
      </c>
      <c r="HD58" s="51" t="b">
        <f t="shared" si="252"/>
        <v>0</v>
      </c>
      <c r="HE58" s="51" t="str">
        <f t="shared" si="158"/>
        <v/>
      </c>
      <c r="HF58" s="19" t="str">
        <f t="shared" si="159"/>
        <v/>
      </c>
      <c r="HG58" s="20" t="str">
        <f t="shared" si="160"/>
        <v/>
      </c>
      <c r="HH58" s="51" t="b">
        <f t="shared" ref="HH58:HK58" si="253">HH12</f>
        <v>0</v>
      </c>
      <c r="HI58" s="51" t="b">
        <f t="shared" si="253"/>
        <v>0</v>
      </c>
      <c r="HJ58" s="51" t="b">
        <f t="shared" si="253"/>
        <v>0</v>
      </c>
      <c r="HK58" s="51" t="b">
        <f t="shared" si="253"/>
        <v>0</v>
      </c>
      <c r="HL58" s="20" t="str">
        <f t="shared" si="162"/>
        <v/>
      </c>
      <c r="HM58" s="51" t="str">
        <f t="shared" si="163"/>
        <v/>
      </c>
      <c r="HN58" s="20" t="str">
        <f t="shared" si="164"/>
        <v/>
      </c>
      <c r="HO58" s="51" t="b">
        <f t="shared" ref="HO58:HP58" si="254">HO12</f>
        <v>0</v>
      </c>
      <c r="HP58" s="51" t="b">
        <f t="shared" si="254"/>
        <v>0</v>
      </c>
      <c r="HQ58" s="51" t="b">
        <f t="shared" ref="HQ58:HR58" si="255">HQ12</f>
        <v>0</v>
      </c>
      <c r="HR58" s="51" t="b">
        <f t="shared" si="255"/>
        <v>0</v>
      </c>
      <c r="HS58" s="20" t="str">
        <f t="shared" si="165"/>
        <v/>
      </c>
      <c r="HT58" s="51" t="str">
        <f t="shared" si="166"/>
        <v/>
      </c>
      <c r="HU58" s="20" t="str">
        <f t="shared" si="167"/>
        <v/>
      </c>
      <c r="HV58" s="51" t="b">
        <f t="shared" ref="HV58:HY58" si="256">HV12</f>
        <v>0</v>
      </c>
      <c r="HW58" s="51" t="b">
        <f t="shared" si="256"/>
        <v>0</v>
      </c>
      <c r="HX58" s="51" t="b">
        <f t="shared" si="256"/>
        <v>0</v>
      </c>
      <c r="HY58" s="51" t="b">
        <f t="shared" si="256"/>
        <v>0</v>
      </c>
      <c r="HZ58" s="51" t="str">
        <f t="shared" si="169"/>
        <v/>
      </c>
      <c r="IA58" s="19" t="str">
        <f t="shared" si="170"/>
        <v/>
      </c>
      <c r="IB58" s="20" t="str">
        <f t="shared" si="171"/>
        <v/>
      </c>
      <c r="IC58" s="51" t="b">
        <f t="shared" ref="IC58:IF58" si="257">IC12</f>
        <v>0</v>
      </c>
      <c r="ID58" s="51" t="b">
        <f t="shared" si="257"/>
        <v>0</v>
      </c>
      <c r="IE58" s="51" t="b">
        <f t="shared" si="257"/>
        <v>0</v>
      </c>
      <c r="IF58" s="51" t="b">
        <f t="shared" si="257"/>
        <v>0</v>
      </c>
      <c r="IG58" s="20" t="str">
        <f t="shared" si="173"/>
        <v/>
      </c>
      <c r="IH58" s="51" t="str">
        <f t="shared" si="174"/>
        <v/>
      </c>
      <c r="II58" s="20" t="str">
        <f t="shared" si="175"/>
        <v/>
      </c>
      <c r="IJ58" s="51" t="b">
        <f t="shared" ref="IJ58:IK58" si="258">IJ12</f>
        <v>0</v>
      </c>
      <c r="IK58" s="51" t="b">
        <f t="shared" si="258"/>
        <v>0</v>
      </c>
      <c r="IL58" s="51" t="b">
        <f t="shared" ref="IL58:IM58" si="259">IL12</f>
        <v>0</v>
      </c>
      <c r="IM58" s="51" t="b">
        <f t="shared" si="259"/>
        <v>0</v>
      </c>
      <c r="IN58" s="20" t="str">
        <f t="shared" si="176"/>
        <v/>
      </c>
      <c r="IO58" s="51" t="str">
        <f t="shared" si="177"/>
        <v/>
      </c>
      <c r="IP58" s="20" t="str">
        <f t="shared" si="178"/>
        <v/>
      </c>
      <c r="IQ58" s="51" t="b">
        <f t="shared" ref="IQ58:IT58" si="260">IQ12</f>
        <v>0</v>
      </c>
      <c r="IR58" s="51" t="b">
        <f t="shared" si="260"/>
        <v>0</v>
      </c>
      <c r="IS58" s="51" t="b">
        <f t="shared" si="260"/>
        <v>0</v>
      </c>
      <c r="IT58" s="51" t="b">
        <f t="shared" si="260"/>
        <v>0</v>
      </c>
      <c r="IU58" s="51" t="str">
        <f t="shared" si="180"/>
        <v/>
      </c>
      <c r="IV58" s="116"/>
    </row>
    <row r="59" spans="1:256" x14ac:dyDescent="0.2">
      <c r="A59" s="13" t="str">
        <f t="shared" si="47"/>
        <v/>
      </c>
      <c r="B59" s="14" t="str">
        <f t="shared" si="47"/>
        <v/>
      </c>
      <c r="C59">
        <v>4</v>
      </c>
      <c r="D59" s="19" t="str">
        <f t="shared" si="48"/>
        <v/>
      </c>
      <c r="E59" s="20" t="str">
        <f t="shared" si="49"/>
        <v/>
      </c>
      <c r="F59" s="51" t="str">
        <f t="shared" si="50"/>
        <v>FALSE</v>
      </c>
      <c r="G59" s="51" t="str">
        <f t="shared" si="50"/>
        <v>FALSE</v>
      </c>
      <c r="H59" s="51" t="str">
        <f t="shared" si="50"/>
        <v>FALSE</v>
      </c>
      <c r="I59" s="51" t="str">
        <f t="shared" si="50"/>
        <v>FALSE</v>
      </c>
      <c r="J59" s="20" t="str">
        <f t="shared" si="51"/>
        <v/>
      </c>
      <c r="K59" s="51" t="str">
        <f t="shared" si="52"/>
        <v/>
      </c>
      <c r="L59" s="20" t="str">
        <f t="shared" si="53"/>
        <v/>
      </c>
      <c r="M59" s="51" t="str">
        <f t="shared" si="54"/>
        <v>FALSE</v>
      </c>
      <c r="N59" s="51" t="str">
        <f t="shared" si="54"/>
        <v>FALSE</v>
      </c>
      <c r="O59" s="51" t="str">
        <f t="shared" si="54"/>
        <v>FALSE</v>
      </c>
      <c r="P59" s="51" t="str">
        <f t="shared" si="54"/>
        <v>FALSE</v>
      </c>
      <c r="Q59" s="20" t="str">
        <f t="shared" si="55"/>
        <v/>
      </c>
      <c r="R59" s="51" t="str">
        <f t="shared" si="56"/>
        <v/>
      </c>
      <c r="S59" s="51" t="str">
        <f t="shared" si="57"/>
        <v/>
      </c>
      <c r="T59" s="51" t="str">
        <f t="shared" si="58"/>
        <v>FALSE</v>
      </c>
      <c r="U59" s="51" t="str">
        <f t="shared" si="58"/>
        <v>FALSE</v>
      </c>
      <c r="V59" s="51" t="str">
        <f t="shared" si="58"/>
        <v>FALSE</v>
      </c>
      <c r="W59" s="51" t="str">
        <f t="shared" si="58"/>
        <v>FALSE</v>
      </c>
      <c r="X59" s="22" t="str">
        <f t="shared" si="59"/>
        <v/>
      </c>
      <c r="Y59" s="19" t="str">
        <f t="shared" si="60"/>
        <v/>
      </c>
      <c r="Z59" s="20" t="str">
        <f t="shared" si="61"/>
        <v/>
      </c>
      <c r="AA59" s="51" t="str">
        <f t="shared" si="62"/>
        <v>FALSE</v>
      </c>
      <c r="AB59" s="51" t="str">
        <f t="shared" si="62"/>
        <v>FALSE</v>
      </c>
      <c r="AC59" s="51" t="str">
        <f t="shared" si="62"/>
        <v>FALSE</v>
      </c>
      <c r="AD59" s="51" t="str">
        <f t="shared" si="62"/>
        <v>FALSE</v>
      </c>
      <c r="AE59" s="20" t="str">
        <f t="shared" si="63"/>
        <v/>
      </c>
      <c r="AF59" s="51" t="str">
        <f t="shared" si="64"/>
        <v/>
      </c>
      <c r="AG59" s="20" t="str">
        <f t="shared" si="65"/>
        <v/>
      </c>
      <c r="AH59" s="51" t="str">
        <f t="shared" ref="AH59:AK59" si="261">AH13</f>
        <v>FALSE</v>
      </c>
      <c r="AI59" s="51" t="str">
        <f t="shared" si="261"/>
        <v>FALSE</v>
      </c>
      <c r="AJ59" s="51" t="str">
        <f t="shared" si="261"/>
        <v>FALSE</v>
      </c>
      <c r="AK59" s="51" t="str">
        <f t="shared" si="261"/>
        <v>FALSE</v>
      </c>
      <c r="AL59" s="20" t="str">
        <f t="shared" si="66"/>
        <v/>
      </c>
      <c r="AM59" s="51" t="str">
        <f t="shared" si="67"/>
        <v/>
      </c>
      <c r="AN59" s="20" t="str">
        <f t="shared" si="68"/>
        <v/>
      </c>
      <c r="AO59" s="51" t="str">
        <f t="shared" si="69"/>
        <v>FALSE</v>
      </c>
      <c r="AP59" s="51" t="str">
        <f t="shared" si="69"/>
        <v>FALSE</v>
      </c>
      <c r="AQ59" s="51" t="str">
        <f t="shared" si="69"/>
        <v>FALSE</v>
      </c>
      <c r="AR59" s="51" t="str">
        <f t="shared" si="69"/>
        <v>FALSE</v>
      </c>
      <c r="AS59" s="51" t="str">
        <f t="shared" si="70"/>
        <v/>
      </c>
      <c r="AT59" s="19" t="str">
        <f t="shared" si="71"/>
        <v/>
      </c>
      <c r="AU59" s="20" t="str">
        <f t="shared" si="72"/>
        <v/>
      </c>
      <c r="AV59" s="51" t="str">
        <f t="shared" ref="AV59:AY59" si="262">AV13</f>
        <v>FALSE</v>
      </c>
      <c r="AW59" s="51" t="str">
        <f t="shared" si="262"/>
        <v>FALSE</v>
      </c>
      <c r="AX59" s="51" t="str">
        <f t="shared" si="262"/>
        <v>FALSE</v>
      </c>
      <c r="AY59" s="51" t="str">
        <f t="shared" si="262"/>
        <v>FALSE</v>
      </c>
      <c r="AZ59" s="20" t="str">
        <f t="shared" si="74"/>
        <v/>
      </c>
      <c r="BA59" s="51" t="str">
        <f t="shared" si="75"/>
        <v/>
      </c>
      <c r="BB59" s="20" t="str">
        <f t="shared" si="76"/>
        <v/>
      </c>
      <c r="BC59" s="51" t="str">
        <f t="shared" ref="BC59:BF59" si="263">BC13</f>
        <v>FALSE</v>
      </c>
      <c r="BD59" s="51" t="str">
        <f t="shared" si="263"/>
        <v>FALSE</v>
      </c>
      <c r="BE59" s="51" t="str">
        <f t="shared" si="263"/>
        <v>FALSE</v>
      </c>
      <c r="BF59" s="51" t="str">
        <f t="shared" si="263"/>
        <v>FALSE</v>
      </c>
      <c r="BG59" s="20" t="str">
        <f t="shared" si="77"/>
        <v/>
      </c>
      <c r="BH59" s="51" t="str">
        <f t="shared" si="78"/>
        <v/>
      </c>
      <c r="BI59" s="20" t="str">
        <f t="shared" si="79"/>
        <v/>
      </c>
      <c r="BJ59" s="51" t="str">
        <f t="shared" ref="BJ59:BM59" si="264">BJ13</f>
        <v>FALSE</v>
      </c>
      <c r="BK59" s="51" t="str">
        <f t="shared" si="264"/>
        <v>FALSE</v>
      </c>
      <c r="BL59" s="51" t="str">
        <f t="shared" si="264"/>
        <v>FALSE</v>
      </c>
      <c r="BM59" s="51" t="str">
        <f t="shared" si="264"/>
        <v>FALSE</v>
      </c>
      <c r="BN59" s="51" t="str">
        <f t="shared" si="81"/>
        <v/>
      </c>
      <c r="BO59" s="19" t="str">
        <f t="shared" si="82"/>
        <v/>
      </c>
      <c r="BP59" s="20" t="str">
        <f t="shared" si="83"/>
        <v/>
      </c>
      <c r="BQ59" s="51" t="b">
        <f t="shared" ref="BQ59:BT59" si="265">BQ13</f>
        <v>0</v>
      </c>
      <c r="BR59" s="51" t="b">
        <f t="shared" si="265"/>
        <v>0</v>
      </c>
      <c r="BS59" s="51" t="b">
        <f t="shared" si="265"/>
        <v>0</v>
      </c>
      <c r="BT59" s="51" t="b">
        <f t="shared" si="265"/>
        <v>0</v>
      </c>
      <c r="BU59" s="20" t="str">
        <f t="shared" si="85"/>
        <v/>
      </c>
      <c r="BV59" s="51" t="str">
        <f t="shared" si="86"/>
        <v/>
      </c>
      <c r="BW59" s="20" t="str">
        <f t="shared" si="87"/>
        <v/>
      </c>
      <c r="BX59" s="51" t="b">
        <f t="shared" ref="BX59:BY59" si="266">BX13</f>
        <v>0</v>
      </c>
      <c r="BY59" s="51" t="b">
        <f t="shared" si="266"/>
        <v>0</v>
      </c>
      <c r="BZ59" s="51" t="b">
        <f t="shared" ref="BZ59:CA59" si="267">BZ13</f>
        <v>0</v>
      </c>
      <c r="CA59" s="51" t="b">
        <f t="shared" si="267"/>
        <v>0</v>
      </c>
      <c r="CB59" s="20" t="str">
        <f t="shared" si="88"/>
        <v/>
      </c>
      <c r="CC59" s="51" t="str">
        <f t="shared" si="89"/>
        <v/>
      </c>
      <c r="CD59" s="20" t="str">
        <f t="shared" si="90"/>
        <v/>
      </c>
      <c r="CE59" s="51" t="b">
        <f t="shared" ref="CE59:CH59" si="268">CE13</f>
        <v>0</v>
      </c>
      <c r="CF59" s="51" t="b">
        <f t="shared" si="268"/>
        <v>0</v>
      </c>
      <c r="CG59" s="51" t="b">
        <f t="shared" si="268"/>
        <v>0</v>
      </c>
      <c r="CH59" s="51" t="b">
        <f t="shared" si="268"/>
        <v>0</v>
      </c>
      <c r="CI59" s="51" t="str">
        <f t="shared" si="92"/>
        <v/>
      </c>
      <c r="CJ59" s="19" t="str">
        <f t="shared" si="93"/>
        <v/>
      </c>
      <c r="CK59" s="20" t="str">
        <f t="shared" si="94"/>
        <v/>
      </c>
      <c r="CL59" s="51" t="b">
        <f t="shared" ref="CL59:CO59" si="269">CL13</f>
        <v>0</v>
      </c>
      <c r="CM59" s="51" t="b">
        <f t="shared" si="269"/>
        <v>0</v>
      </c>
      <c r="CN59" s="51" t="b">
        <f t="shared" si="269"/>
        <v>0</v>
      </c>
      <c r="CO59" s="51" t="b">
        <f t="shared" si="269"/>
        <v>0</v>
      </c>
      <c r="CP59" s="20" t="str">
        <f t="shared" si="96"/>
        <v/>
      </c>
      <c r="CQ59" s="51" t="str">
        <f t="shared" si="97"/>
        <v/>
      </c>
      <c r="CR59" s="20" t="str">
        <f t="shared" si="98"/>
        <v/>
      </c>
      <c r="CS59" s="51" t="b">
        <f t="shared" ref="CS59:CT59" si="270">CS13</f>
        <v>0</v>
      </c>
      <c r="CT59" s="51" t="b">
        <f t="shared" si="270"/>
        <v>0</v>
      </c>
      <c r="CU59" s="51" t="b">
        <f t="shared" ref="CU59:CV59" si="271">CU13</f>
        <v>0</v>
      </c>
      <c r="CV59" s="51" t="b">
        <f t="shared" si="271"/>
        <v>0</v>
      </c>
      <c r="CW59" s="20" t="str">
        <f t="shared" si="99"/>
        <v/>
      </c>
      <c r="CX59" s="51" t="str">
        <f t="shared" si="100"/>
        <v/>
      </c>
      <c r="CY59" s="20" t="str">
        <f t="shared" si="101"/>
        <v/>
      </c>
      <c r="CZ59" s="51" t="b">
        <f t="shared" ref="CZ59:DC59" si="272">CZ13</f>
        <v>0</v>
      </c>
      <c r="DA59" s="51" t="b">
        <f t="shared" si="272"/>
        <v>0</v>
      </c>
      <c r="DB59" s="51" t="b">
        <f t="shared" si="272"/>
        <v>0</v>
      </c>
      <c r="DC59" s="51" t="b">
        <f t="shared" si="272"/>
        <v>0</v>
      </c>
      <c r="DD59" s="51" t="str">
        <f t="shared" si="103"/>
        <v/>
      </c>
      <c r="DE59" s="19" t="str">
        <f t="shared" si="104"/>
        <v/>
      </c>
      <c r="DF59" s="20" t="str">
        <f t="shared" si="105"/>
        <v/>
      </c>
      <c r="DG59" s="51" t="b">
        <f t="shared" ref="DG59:DJ59" si="273">DG13</f>
        <v>0</v>
      </c>
      <c r="DH59" s="51" t="b">
        <f t="shared" si="273"/>
        <v>0</v>
      </c>
      <c r="DI59" s="51" t="b">
        <f t="shared" si="273"/>
        <v>0</v>
      </c>
      <c r="DJ59" s="51" t="b">
        <f t="shared" si="273"/>
        <v>0</v>
      </c>
      <c r="DK59" s="20" t="str">
        <f t="shared" si="107"/>
        <v/>
      </c>
      <c r="DL59" s="51" t="str">
        <f t="shared" si="108"/>
        <v/>
      </c>
      <c r="DM59" s="20" t="str">
        <f t="shared" si="109"/>
        <v/>
      </c>
      <c r="DN59" s="51" t="b">
        <f t="shared" ref="DN59:DO59" si="274">DN13</f>
        <v>0</v>
      </c>
      <c r="DO59" s="51" t="b">
        <f t="shared" si="274"/>
        <v>0</v>
      </c>
      <c r="DP59" s="51" t="b">
        <f t="shared" ref="DP59:DQ59" si="275">DP13</f>
        <v>0</v>
      </c>
      <c r="DQ59" s="51" t="b">
        <f t="shared" si="275"/>
        <v>0</v>
      </c>
      <c r="DR59" s="20" t="str">
        <f t="shared" si="110"/>
        <v/>
      </c>
      <c r="DS59" s="51" t="str">
        <f t="shared" si="111"/>
        <v/>
      </c>
      <c r="DT59" s="20" t="str">
        <f t="shared" si="112"/>
        <v/>
      </c>
      <c r="DU59" s="51" t="b">
        <f t="shared" ref="DU59:DX59" si="276">DU13</f>
        <v>0</v>
      </c>
      <c r="DV59" s="51" t="b">
        <f t="shared" si="276"/>
        <v>0</v>
      </c>
      <c r="DW59" s="51" t="b">
        <f t="shared" si="276"/>
        <v>0</v>
      </c>
      <c r="DX59" s="51" t="b">
        <f t="shared" si="276"/>
        <v>0</v>
      </c>
      <c r="DY59" s="51" t="str">
        <f t="shared" si="114"/>
        <v/>
      </c>
      <c r="DZ59" s="19" t="str">
        <f t="shared" si="115"/>
        <v/>
      </c>
      <c r="EA59" s="20" t="str">
        <f t="shared" si="116"/>
        <v/>
      </c>
      <c r="EB59" s="51" t="b">
        <f t="shared" ref="EB59:EE59" si="277">EB13</f>
        <v>0</v>
      </c>
      <c r="EC59" s="51" t="b">
        <f t="shared" si="277"/>
        <v>0</v>
      </c>
      <c r="ED59" s="51" t="b">
        <f t="shared" si="277"/>
        <v>0</v>
      </c>
      <c r="EE59" s="51" t="b">
        <f t="shared" si="277"/>
        <v>0</v>
      </c>
      <c r="EF59" s="20" t="str">
        <f t="shared" si="118"/>
        <v/>
      </c>
      <c r="EG59" s="51" t="str">
        <f t="shared" si="119"/>
        <v/>
      </c>
      <c r="EH59" s="20" t="str">
        <f t="shared" si="120"/>
        <v/>
      </c>
      <c r="EI59" s="51" t="b">
        <f t="shared" ref="EI59:EJ59" si="278">EI13</f>
        <v>0</v>
      </c>
      <c r="EJ59" s="51" t="b">
        <f t="shared" si="278"/>
        <v>0</v>
      </c>
      <c r="EK59" s="51" t="b">
        <f t="shared" ref="EK59:EL59" si="279">EK13</f>
        <v>0</v>
      </c>
      <c r="EL59" s="51" t="b">
        <f t="shared" si="279"/>
        <v>0</v>
      </c>
      <c r="EM59" s="20" t="str">
        <f t="shared" si="121"/>
        <v/>
      </c>
      <c r="EN59" s="51" t="str">
        <f t="shared" si="122"/>
        <v/>
      </c>
      <c r="EO59" s="20" t="str">
        <f t="shared" si="123"/>
        <v/>
      </c>
      <c r="EP59" s="51" t="b">
        <f t="shared" ref="EP59:ES59" si="280">EP13</f>
        <v>0</v>
      </c>
      <c r="EQ59" s="51" t="b">
        <f t="shared" si="280"/>
        <v>0</v>
      </c>
      <c r="ER59" s="51" t="b">
        <f t="shared" si="280"/>
        <v>0</v>
      </c>
      <c r="ES59" s="51" t="b">
        <f t="shared" si="280"/>
        <v>0</v>
      </c>
      <c r="ET59" s="51" t="str">
        <f t="shared" si="125"/>
        <v/>
      </c>
      <c r="EU59" s="19" t="str">
        <f t="shared" si="126"/>
        <v/>
      </c>
      <c r="EV59" s="20" t="str">
        <f t="shared" si="127"/>
        <v/>
      </c>
      <c r="EW59" s="51" t="b">
        <f t="shared" ref="EW59:EZ59" si="281">EW13</f>
        <v>0</v>
      </c>
      <c r="EX59" s="51" t="b">
        <f t="shared" si="281"/>
        <v>0</v>
      </c>
      <c r="EY59" s="51" t="b">
        <f t="shared" si="281"/>
        <v>0</v>
      </c>
      <c r="EZ59" s="51" t="b">
        <f t="shared" si="281"/>
        <v>0</v>
      </c>
      <c r="FA59" s="20" t="str">
        <f t="shared" si="129"/>
        <v/>
      </c>
      <c r="FB59" s="51" t="str">
        <f t="shared" si="130"/>
        <v/>
      </c>
      <c r="FC59" s="20" t="str">
        <f t="shared" si="131"/>
        <v/>
      </c>
      <c r="FD59" s="51" t="b">
        <f t="shared" ref="FD59:FE59" si="282">FD13</f>
        <v>0</v>
      </c>
      <c r="FE59" s="51" t="b">
        <f t="shared" si="282"/>
        <v>0</v>
      </c>
      <c r="FF59" s="51" t="b">
        <f t="shared" ref="FF59:FG59" si="283">FF13</f>
        <v>0</v>
      </c>
      <c r="FG59" s="51" t="b">
        <f t="shared" si="283"/>
        <v>0</v>
      </c>
      <c r="FH59" s="20" t="str">
        <f t="shared" si="132"/>
        <v/>
      </c>
      <c r="FI59" s="51" t="str">
        <f t="shared" si="133"/>
        <v/>
      </c>
      <c r="FJ59" s="20" t="str">
        <f t="shared" si="134"/>
        <v/>
      </c>
      <c r="FK59" s="51" t="b">
        <f t="shared" ref="FK59:FN59" si="284">FK13</f>
        <v>0</v>
      </c>
      <c r="FL59" s="51" t="b">
        <f t="shared" si="284"/>
        <v>0</v>
      </c>
      <c r="FM59" s="51" t="b">
        <f t="shared" si="284"/>
        <v>0</v>
      </c>
      <c r="FN59" s="51" t="b">
        <f t="shared" si="284"/>
        <v>0</v>
      </c>
      <c r="FO59" s="51" t="str">
        <f t="shared" si="136"/>
        <v/>
      </c>
      <c r="FP59" s="19" t="str">
        <f t="shared" si="137"/>
        <v/>
      </c>
      <c r="FQ59" s="20" t="str">
        <f t="shared" si="138"/>
        <v/>
      </c>
      <c r="FR59" s="51" t="b">
        <f t="shared" ref="FR59:FU59" si="285">FR13</f>
        <v>0</v>
      </c>
      <c r="FS59" s="51" t="b">
        <f t="shared" si="285"/>
        <v>0</v>
      </c>
      <c r="FT59" s="51" t="b">
        <f t="shared" si="285"/>
        <v>0</v>
      </c>
      <c r="FU59" s="51" t="b">
        <f t="shared" si="285"/>
        <v>0</v>
      </c>
      <c r="FV59" s="20" t="str">
        <f t="shared" si="140"/>
        <v/>
      </c>
      <c r="FW59" s="51" t="str">
        <f t="shared" si="141"/>
        <v/>
      </c>
      <c r="FX59" s="20" t="str">
        <f t="shared" si="142"/>
        <v/>
      </c>
      <c r="FY59" s="51" t="b">
        <f t="shared" ref="FY59:FZ59" si="286">FY13</f>
        <v>0</v>
      </c>
      <c r="FZ59" s="51" t="b">
        <f t="shared" si="286"/>
        <v>0</v>
      </c>
      <c r="GA59" s="51" t="b">
        <f t="shared" ref="GA59:GB59" si="287">GA13</f>
        <v>0</v>
      </c>
      <c r="GB59" s="51" t="b">
        <f t="shared" si="287"/>
        <v>0</v>
      </c>
      <c r="GC59" s="20" t="str">
        <f t="shared" si="143"/>
        <v/>
      </c>
      <c r="GD59" s="51" t="str">
        <f t="shared" si="144"/>
        <v/>
      </c>
      <c r="GE59" s="20" t="str">
        <f t="shared" si="145"/>
        <v/>
      </c>
      <c r="GF59" s="51" t="b">
        <f t="shared" ref="GF59:GI59" si="288">GF13</f>
        <v>0</v>
      </c>
      <c r="GG59" s="51" t="b">
        <f t="shared" si="288"/>
        <v>0</v>
      </c>
      <c r="GH59" s="51" t="b">
        <f t="shared" si="288"/>
        <v>0</v>
      </c>
      <c r="GI59" s="51" t="b">
        <f t="shared" si="288"/>
        <v>0</v>
      </c>
      <c r="GJ59" s="51" t="str">
        <f t="shared" si="147"/>
        <v/>
      </c>
      <c r="GK59" s="19" t="str">
        <f t="shared" si="148"/>
        <v/>
      </c>
      <c r="GL59" s="20" t="str">
        <f t="shared" si="149"/>
        <v/>
      </c>
      <c r="GM59" s="51" t="b">
        <f t="shared" ref="GM59:GP59" si="289">GM13</f>
        <v>0</v>
      </c>
      <c r="GN59" s="51" t="b">
        <f t="shared" si="289"/>
        <v>0</v>
      </c>
      <c r="GO59" s="51" t="b">
        <f t="shared" si="289"/>
        <v>0</v>
      </c>
      <c r="GP59" s="51" t="b">
        <f t="shared" si="289"/>
        <v>0</v>
      </c>
      <c r="GQ59" s="20" t="str">
        <f t="shared" si="151"/>
        <v/>
      </c>
      <c r="GR59" s="51" t="str">
        <f t="shared" si="152"/>
        <v/>
      </c>
      <c r="GS59" s="20" t="str">
        <f t="shared" si="153"/>
        <v/>
      </c>
      <c r="GT59" s="51" t="b">
        <f t="shared" ref="GT59:GU59" si="290">GT13</f>
        <v>0</v>
      </c>
      <c r="GU59" s="51" t="b">
        <f t="shared" si="290"/>
        <v>0</v>
      </c>
      <c r="GV59" s="51" t="b">
        <f t="shared" ref="GV59:GW59" si="291">GV13</f>
        <v>0</v>
      </c>
      <c r="GW59" s="51" t="b">
        <f t="shared" si="291"/>
        <v>0</v>
      </c>
      <c r="GX59" s="20" t="str">
        <f t="shared" si="154"/>
        <v/>
      </c>
      <c r="GY59" s="51" t="str">
        <f t="shared" si="155"/>
        <v/>
      </c>
      <c r="GZ59" s="20" t="str">
        <f t="shared" si="156"/>
        <v/>
      </c>
      <c r="HA59" s="51" t="b">
        <f t="shared" ref="HA59:HD59" si="292">HA13</f>
        <v>0</v>
      </c>
      <c r="HB59" s="51" t="b">
        <f t="shared" si="292"/>
        <v>0</v>
      </c>
      <c r="HC59" s="51" t="b">
        <f t="shared" si="292"/>
        <v>0</v>
      </c>
      <c r="HD59" s="51" t="b">
        <f t="shared" si="292"/>
        <v>0</v>
      </c>
      <c r="HE59" s="51" t="str">
        <f t="shared" si="158"/>
        <v/>
      </c>
      <c r="HF59" s="19" t="str">
        <f t="shared" si="159"/>
        <v/>
      </c>
      <c r="HG59" s="20" t="str">
        <f t="shared" si="160"/>
        <v/>
      </c>
      <c r="HH59" s="51" t="b">
        <f t="shared" ref="HH59:HK59" si="293">HH13</f>
        <v>0</v>
      </c>
      <c r="HI59" s="51" t="b">
        <f t="shared" si="293"/>
        <v>0</v>
      </c>
      <c r="HJ59" s="51" t="b">
        <f t="shared" si="293"/>
        <v>0</v>
      </c>
      <c r="HK59" s="51" t="b">
        <f t="shared" si="293"/>
        <v>0</v>
      </c>
      <c r="HL59" s="20" t="str">
        <f t="shared" si="162"/>
        <v/>
      </c>
      <c r="HM59" s="51" t="str">
        <f t="shared" si="163"/>
        <v/>
      </c>
      <c r="HN59" s="20" t="str">
        <f t="shared" si="164"/>
        <v/>
      </c>
      <c r="HO59" s="51" t="b">
        <f t="shared" ref="HO59:HP59" si="294">HO13</f>
        <v>0</v>
      </c>
      <c r="HP59" s="51" t="b">
        <f t="shared" si="294"/>
        <v>0</v>
      </c>
      <c r="HQ59" s="51" t="b">
        <f t="shared" ref="HQ59:HR59" si="295">HQ13</f>
        <v>0</v>
      </c>
      <c r="HR59" s="51" t="b">
        <f t="shared" si="295"/>
        <v>0</v>
      </c>
      <c r="HS59" s="20" t="str">
        <f t="shared" si="165"/>
        <v/>
      </c>
      <c r="HT59" s="51" t="str">
        <f t="shared" si="166"/>
        <v/>
      </c>
      <c r="HU59" s="20" t="str">
        <f t="shared" si="167"/>
        <v/>
      </c>
      <c r="HV59" s="51" t="b">
        <f t="shared" ref="HV59:HY59" si="296">HV13</f>
        <v>0</v>
      </c>
      <c r="HW59" s="51" t="b">
        <f t="shared" si="296"/>
        <v>0</v>
      </c>
      <c r="HX59" s="51" t="b">
        <f t="shared" si="296"/>
        <v>0</v>
      </c>
      <c r="HY59" s="51" t="b">
        <f t="shared" si="296"/>
        <v>0</v>
      </c>
      <c r="HZ59" s="51" t="str">
        <f t="shared" si="169"/>
        <v/>
      </c>
      <c r="IA59" s="19" t="str">
        <f t="shared" si="170"/>
        <v/>
      </c>
      <c r="IB59" s="20" t="str">
        <f t="shared" si="171"/>
        <v/>
      </c>
      <c r="IC59" s="51" t="b">
        <f t="shared" ref="IC59:IF59" si="297">IC13</f>
        <v>0</v>
      </c>
      <c r="ID59" s="51" t="b">
        <f t="shared" si="297"/>
        <v>0</v>
      </c>
      <c r="IE59" s="51" t="b">
        <f t="shared" si="297"/>
        <v>0</v>
      </c>
      <c r="IF59" s="51" t="b">
        <f t="shared" si="297"/>
        <v>0</v>
      </c>
      <c r="IG59" s="20" t="str">
        <f t="shared" si="173"/>
        <v/>
      </c>
      <c r="IH59" s="51" t="str">
        <f t="shared" si="174"/>
        <v/>
      </c>
      <c r="II59" s="20" t="str">
        <f t="shared" si="175"/>
        <v/>
      </c>
      <c r="IJ59" s="51" t="b">
        <f t="shared" ref="IJ59:IK59" si="298">IJ13</f>
        <v>0</v>
      </c>
      <c r="IK59" s="51" t="b">
        <f t="shared" si="298"/>
        <v>0</v>
      </c>
      <c r="IL59" s="51" t="b">
        <f t="shared" ref="IL59:IM59" si="299">IL13</f>
        <v>0</v>
      </c>
      <c r="IM59" s="51" t="b">
        <f t="shared" si="299"/>
        <v>0</v>
      </c>
      <c r="IN59" s="20" t="str">
        <f t="shared" si="176"/>
        <v/>
      </c>
      <c r="IO59" s="51" t="str">
        <f t="shared" si="177"/>
        <v/>
      </c>
      <c r="IP59" s="20" t="str">
        <f t="shared" si="178"/>
        <v/>
      </c>
      <c r="IQ59" s="51" t="b">
        <f t="shared" ref="IQ59:IT59" si="300">IQ13</f>
        <v>0</v>
      </c>
      <c r="IR59" s="51" t="b">
        <f t="shared" si="300"/>
        <v>0</v>
      </c>
      <c r="IS59" s="51" t="b">
        <f t="shared" si="300"/>
        <v>0</v>
      </c>
      <c r="IT59" s="51" t="b">
        <f t="shared" si="300"/>
        <v>0</v>
      </c>
      <c r="IU59" s="51" t="str">
        <f t="shared" si="180"/>
        <v/>
      </c>
      <c r="IV59" s="116"/>
    </row>
    <row r="60" spans="1:256" x14ac:dyDescent="0.2">
      <c r="A60" s="13" t="str">
        <f t="shared" si="47"/>
        <v/>
      </c>
      <c r="B60" s="14" t="str">
        <f t="shared" si="47"/>
        <v/>
      </c>
      <c r="C60">
        <v>5</v>
      </c>
      <c r="D60" s="19" t="str">
        <f t="shared" si="48"/>
        <v/>
      </c>
      <c r="E60" s="20" t="str">
        <f t="shared" si="49"/>
        <v/>
      </c>
      <c r="F60" s="51" t="str">
        <f t="shared" si="50"/>
        <v>FALSE</v>
      </c>
      <c r="G60" s="51" t="str">
        <f t="shared" si="50"/>
        <v>FALSE</v>
      </c>
      <c r="H60" s="51" t="str">
        <f t="shared" si="50"/>
        <v>FALSE</v>
      </c>
      <c r="I60" s="51" t="str">
        <f t="shared" si="50"/>
        <v>FALSE</v>
      </c>
      <c r="J60" s="20" t="str">
        <f t="shared" si="51"/>
        <v/>
      </c>
      <c r="K60" s="51" t="str">
        <f t="shared" si="52"/>
        <v/>
      </c>
      <c r="L60" s="20" t="str">
        <f t="shared" si="53"/>
        <v/>
      </c>
      <c r="M60" s="51" t="str">
        <f t="shared" si="54"/>
        <v>FALSE</v>
      </c>
      <c r="N60" s="51" t="str">
        <f t="shared" si="54"/>
        <v>FALSE</v>
      </c>
      <c r="O60" s="51" t="str">
        <f t="shared" si="54"/>
        <v>FALSE</v>
      </c>
      <c r="P60" s="51" t="str">
        <f t="shared" si="54"/>
        <v>FALSE</v>
      </c>
      <c r="Q60" s="20" t="str">
        <f t="shared" si="55"/>
        <v/>
      </c>
      <c r="R60" s="51" t="str">
        <f t="shared" si="56"/>
        <v/>
      </c>
      <c r="S60" s="51" t="str">
        <f t="shared" si="57"/>
        <v/>
      </c>
      <c r="T60" s="51" t="str">
        <f t="shared" si="58"/>
        <v>FALSE</v>
      </c>
      <c r="U60" s="51" t="str">
        <f t="shared" si="58"/>
        <v>FALSE</v>
      </c>
      <c r="V60" s="51" t="str">
        <f t="shared" si="58"/>
        <v>FALSE</v>
      </c>
      <c r="W60" s="51" t="str">
        <f t="shared" si="58"/>
        <v>FALSE</v>
      </c>
      <c r="X60" s="22" t="str">
        <f t="shared" si="59"/>
        <v/>
      </c>
      <c r="Y60" s="19" t="str">
        <f t="shared" si="60"/>
        <v/>
      </c>
      <c r="Z60" s="20" t="str">
        <f t="shared" si="61"/>
        <v/>
      </c>
      <c r="AA60" s="51" t="str">
        <f t="shared" si="62"/>
        <v>FALSE</v>
      </c>
      <c r="AB60" s="51" t="str">
        <f t="shared" si="62"/>
        <v>FALSE</v>
      </c>
      <c r="AC60" s="51" t="str">
        <f t="shared" si="62"/>
        <v>FALSE</v>
      </c>
      <c r="AD60" s="51" t="str">
        <f t="shared" si="62"/>
        <v>FALSE</v>
      </c>
      <c r="AE60" s="20" t="str">
        <f t="shared" si="63"/>
        <v/>
      </c>
      <c r="AF60" s="51" t="str">
        <f t="shared" si="64"/>
        <v/>
      </c>
      <c r="AG60" s="20" t="str">
        <f t="shared" si="65"/>
        <v/>
      </c>
      <c r="AH60" s="51" t="str">
        <f t="shared" ref="AH60:AK60" si="301">AH14</f>
        <v>FALSE</v>
      </c>
      <c r="AI60" s="51" t="str">
        <f t="shared" si="301"/>
        <v>FALSE</v>
      </c>
      <c r="AJ60" s="51" t="str">
        <f t="shared" si="301"/>
        <v>FALSE</v>
      </c>
      <c r="AK60" s="51" t="str">
        <f t="shared" si="301"/>
        <v>FALSE</v>
      </c>
      <c r="AL60" s="20" t="str">
        <f t="shared" si="66"/>
        <v/>
      </c>
      <c r="AM60" s="51" t="str">
        <f t="shared" si="67"/>
        <v/>
      </c>
      <c r="AN60" s="20" t="str">
        <f t="shared" si="68"/>
        <v/>
      </c>
      <c r="AO60" s="51" t="str">
        <f t="shared" si="69"/>
        <v>FALSE</v>
      </c>
      <c r="AP60" s="51" t="str">
        <f t="shared" si="69"/>
        <v>FALSE</v>
      </c>
      <c r="AQ60" s="51" t="str">
        <f t="shared" si="69"/>
        <v>FALSE</v>
      </c>
      <c r="AR60" s="51" t="str">
        <f t="shared" si="69"/>
        <v>FALSE</v>
      </c>
      <c r="AS60" s="51" t="str">
        <f t="shared" si="70"/>
        <v/>
      </c>
      <c r="AT60" s="19" t="str">
        <f t="shared" si="71"/>
        <v/>
      </c>
      <c r="AU60" s="20" t="str">
        <f t="shared" si="72"/>
        <v/>
      </c>
      <c r="AV60" s="51" t="str">
        <f t="shared" ref="AV60:AY60" si="302">AV14</f>
        <v>FALSE</v>
      </c>
      <c r="AW60" s="51" t="str">
        <f t="shared" si="302"/>
        <v>FALSE</v>
      </c>
      <c r="AX60" s="51" t="str">
        <f t="shared" si="302"/>
        <v>FALSE</v>
      </c>
      <c r="AY60" s="51" t="str">
        <f t="shared" si="302"/>
        <v>FALSE</v>
      </c>
      <c r="AZ60" s="20" t="str">
        <f t="shared" si="74"/>
        <v/>
      </c>
      <c r="BA60" s="51" t="str">
        <f t="shared" si="75"/>
        <v/>
      </c>
      <c r="BB60" s="20" t="str">
        <f t="shared" si="76"/>
        <v/>
      </c>
      <c r="BC60" s="51" t="str">
        <f t="shared" ref="BC60:BF60" si="303">BC14</f>
        <v>FALSE</v>
      </c>
      <c r="BD60" s="51" t="str">
        <f t="shared" si="303"/>
        <v>FALSE</v>
      </c>
      <c r="BE60" s="51" t="str">
        <f t="shared" si="303"/>
        <v>FALSE</v>
      </c>
      <c r="BF60" s="51" t="str">
        <f t="shared" si="303"/>
        <v>FALSE</v>
      </c>
      <c r="BG60" s="20" t="str">
        <f t="shared" si="77"/>
        <v/>
      </c>
      <c r="BH60" s="51" t="str">
        <f t="shared" si="78"/>
        <v/>
      </c>
      <c r="BI60" s="20" t="str">
        <f t="shared" si="79"/>
        <v/>
      </c>
      <c r="BJ60" s="51" t="str">
        <f t="shared" ref="BJ60:BM60" si="304">BJ14</f>
        <v>FALSE</v>
      </c>
      <c r="BK60" s="51" t="str">
        <f t="shared" si="304"/>
        <v>FALSE</v>
      </c>
      <c r="BL60" s="51" t="str">
        <f t="shared" si="304"/>
        <v>FALSE</v>
      </c>
      <c r="BM60" s="51" t="str">
        <f t="shared" si="304"/>
        <v>FALSE</v>
      </c>
      <c r="BN60" s="51" t="str">
        <f t="shared" si="81"/>
        <v/>
      </c>
      <c r="BO60" s="19" t="str">
        <f t="shared" si="82"/>
        <v/>
      </c>
      <c r="BP60" s="20" t="str">
        <f t="shared" si="83"/>
        <v/>
      </c>
      <c r="BQ60" s="51" t="b">
        <f t="shared" ref="BQ60:BT60" si="305">BQ14</f>
        <v>0</v>
      </c>
      <c r="BR60" s="51" t="b">
        <f t="shared" si="305"/>
        <v>0</v>
      </c>
      <c r="BS60" s="51" t="b">
        <f t="shared" si="305"/>
        <v>0</v>
      </c>
      <c r="BT60" s="51" t="b">
        <f t="shared" si="305"/>
        <v>0</v>
      </c>
      <c r="BU60" s="20" t="str">
        <f t="shared" si="85"/>
        <v/>
      </c>
      <c r="BV60" s="51" t="str">
        <f t="shared" si="86"/>
        <v/>
      </c>
      <c r="BW60" s="20" t="str">
        <f t="shared" si="87"/>
        <v/>
      </c>
      <c r="BX60" s="51" t="b">
        <f t="shared" ref="BX60:BY60" si="306">BX14</f>
        <v>0</v>
      </c>
      <c r="BY60" s="51" t="b">
        <f t="shared" si="306"/>
        <v>0</v>
      </c>
      <c r="BZ60" s="51" t="b">
        <f t="shared" ref="BZ60:CA60" si="307">BZ14</f>
        <v>0</v>
      </c>
      <c r="CA60" s="51" t="b">
        <f t="shared" si="307"/>
        <v>0</v>
      </c>
      <c r="CB60" s="20" t="str">
        <f t="shared" si="88"/>
        <v/>
      </c>
      <c r="CC60" s="51" t="str">
        <f t="shared" si="89"/>
        <v/>
      </c>
      <c r="CD60" s="20" t="str">
        <f t="shared" si="90"/>
        <v/>
      </c>
      <c r="CE60" s="51" t="b">
        <f t="shared" ref="CE60:CH60" si="308">CE14</f>
        <v>0</v>
      </c>
      <c r="CF60" s="51" t="b">
        <f t="shared" si="308"/>
        <v>0</v>
      </c>
      <c r="CG60" s="51" t="b">
        <f t="shared" si="308"/>
        <v>0</v>
      </c>
      <c r="CH60" s="51" t="b">
        <f t="shared" si="308"/>
        <v>0</v>
      </c>
      <c r="CI60" s="51" t="str">
        <f t="shared" si="92"/>
        <v/>
      </c>
      <c r="CJ60" s="19" t="str">
        <f t="shared" si="93"/>
        <v/>
      </c>
      <c r="CK60" s="20" t="str">
        <f t="shared" si="94"/>
        <v/>
      </c>
      <c r="CL60" s="51" t="b">
        <f t="shared" ref="CL60:CO60" si="309">CL14</f>
        <v>0</v>
      </c>
      <c r="CM60" s="51" t="b">
        <f t="shared" si="309"/>
        <v>0</v>
      </c>
      <c r="CN60" s="51" t="b">
        <f t="shared" si="309"/>
        <v>0</v>
      </c>
      <c r="CO60" s="51" t="b">
        <f t="shared" si="309"/>
        <v>0</v>
      </c>
      <c r="CP60" s="20" t="str">
        <f t="shared" si="96"/>
        <v/>
      </c>
      <c r="CQ60" s="51" t="str">
        <f t="shared" si="97"/>
        <v/>
      </c>
      <c r="CR60" s="20" t="str">
        <f t="shared" si="98"/>
        <v/>
      </c>
      <c r="CS60" s="51" t="b">
        <f t="shared" ref="CS60:CT60" si="310">CS14</f>
        <v>0</v>
      </c>
      <c r="CT60" s="51" t="b">
        <f t="shared" si="310"/>
        <v>0</v>
      </c>
      <c r="CU60" s="51" t="b">
        <f t="shared" ref="CU60:CV60" si="311">CU14</f>
        <v>0</v>
      </c>
      <c r="CV60" s="51" t="b">
        <f t="shared" si="311"/>
        <v>0</v>
      </c>
      <c r="CW60" s="20" t="str">
        <f t="shared" si="99"/>
        <v/>
      </c>
      <c r="CX60" s="51" t="str">
        <f t="shared" si="100"/>
        <v/>
      </c>
      <c r="CY60" s="20" t="str">
        <f t="shared" si="101"/>
        <v/>
      </c>
      <c r="CZ60" s="51" t="b">
        <f t="shared" ref="CZ60:DC60" si="312">CZ14</f>
        <v>0</v>
      </c>
      <c r="DA60" s="51" t="b">
        <f t="shared" si="312"/>
        <v>0</v>
      </c>
      <c r="DB60" s="51" t="b">
        <f t="shared" si="312"/>
        <v>0</v>
      </c>
      <c r="DC60" s="51" t="b">
        <f t="shared" si="312"/>
        <v>0</v>
      </c>
      <c r="DD60" s="51" t="str">
        <f t="shared" si="103"/>
        <v/>
      </c>
      <c r="DE60" s="19" t="str">
        <f t="shared" si="104"/>
        <v/>
      </c>
      <c r="DF60" s="20" t="str">
        <f t="shared" si="105"/>
        <v/>
      </c>
      <c r="DG60" s="51" t="b">
        <f t="shared" ref="DG60:DJ60" si="313">DG14</f>
        <v>0</v>
      </c>
      <c r="DH60" s="51" t="b">
        <f t="shared" si="313"/>
        <v>0</v>
      </c>
      <c r="DI60" s="51" t="b">
        <f t="shared" si="313"/>
        <v>0</v>
      </c>
      <c r="DJ60" s="51" t="b">
        <f t="shared" si="313"/>
        <v>0</v>
      </c>
      <c r="DK60" s="20" t="str">
        <f t="shared" si="107"/>
        <v/>
      </c>
      <c r="DL60" s="51" t="str">
        <f t="shared" si="108"/>
        <v/>
      </c>
      <c r="DM60" s="20" t="str">
        <f t="shared" si="109"/>
        <v/>
      </c>
      <c r="DN60" s="51" t="b">
        <f t="shared" ref="DN60:DO60" si="314">DN14</f>
        <v>0</v>
      </c>
      <c r="DO60" s="51" t="b">
        <f t="shared" si="314"/>
        <v>0</v>
      </c>
      <c r="DP60" s="51" t="b">
        <f t="shared" ref="DP60:DQ60" si="315">DP14</f>
        <v>0</v>
      </c>
      <c r="DQ60" s="51" t="b">
        <f t="shared" si="315"/>
        <v>0</v>
      </c>
      <c r="DR60" s="20" t="str">
        <f t="shared" si="110"/>
        <v/>
      </c>
      <c r="DS60" s="51" t="str">
        <f t="shared" si="111"/>
        <v/>
      </c>
      <c r="DT60" s="20" t="str">
        <f t="shared" si="112"/>
        <v/>
      </c>
      <c r="DU60" s="51" t="b">
        <f t="shared" ref="DU60:DX60" si="316">DU14</f>
        <v>0</v>
      </c>
      <c r="DV60" s="51" t="b">
        <f t="shared" si="316"/>
        <v>0</v>
      </c>
      <c r="DW60" s="51" t="b">
        <f t="shared" si="316"/>
        <v>0</v>
      </c>
      <c r="DX60" s="51" t="b">
        <f t="shared" si="316"/>
        <v>0</v>
      </c>
      <c r="DY60" s="51" t="str">
        <f t="shared" si="114"/>
        <v/>
      </c>
      <c r="DZ60" s="19" t="str">
        <f t="shared" si="115"/>
        <v/>
      </c>
      <c r="EA60" s="20" t="str">
        <f t="shared" si="116"/>
        <v/>
      </c>
      <c r="EB60" s="51" t="b">
        <f t="shared" ref="EB60:EE60" si="317">EB14</f>
        <v>0</v>
      </c>
      <c r="EC60" s="51" t="b">
        <f t="shared" si="317"/>
        <v>0</v>
      </c>
      <c r="ED60" s="51" t="b">
        <f t="shared" si="317"/>
        <v>0</v>
      </c>
      <c r="EE60" s="51" t="b">
        <f t="shared" si="317"/>
        <v>0</v>
      </c>
      <c r="EF60" s="20" t="str">
        <f t="shared" si="118"/>
        <v/>
      </c>
      <c r="EG60" s="51" t="str">
        <f t="shared" si="119"/>
        <v/>
      </c>
      <c r="EH60" s="20" t="str">
        <f t="shared" si="120"/>
        <v/>
      </c>
      <c r="EI60" s="51" t="b">
        <f t="shared" ref="EI60:EJ60" si="318">EI14</f>
        <v>0</v>
      </c>
      <c r="EJ60" s="51" t="b">
        <f t="shared" si="318"/>
        <v>0</v>
      </c>
      <c r="EK60" s="51" t="b">
        <f t="shared" ref="EK60:EL60" si="319">EK14</f>
        <v>0</v>
      </c>
      <c r="EL60" s="51" t="b">
        <f t="shared" si="319"/>
        <v>0</v>
      </c>
      <c r="EM60" s="20" t="str">
        <f t="shared" si="121"/>
        <v/>
      </c>
      <c r="EN60" s="51" t="str">
        <f t="shared" si="122"/>
        <v/>
      </c>
      <c r="EO60" s="20" t="str">
        <f t="shared" si="123"/>
        <v/>
      </c>
      <c r="EP60" s="51" t="b">
        <f t="shared" ref="EP60:ES60" si="320">EP14</f>
        <v>0</v>
      </c>
      <c r="EQ60" s="51" t="b">
        <f t="shared" si="320"/>
        <v>0</v>
      </c>
      <c r="ER60" s="51" t="b">
        <f t="shared" si="320"/>
        <v>0</v>
      </c>
      <c r="ES60" s="51" t="b">
        <f t="shared" si="320"/>
        <v>0</v>
      </c>
      <c r="ET60" s="51" t="str">
        <f t="shared" si="125"/>
        <v/>
      </c>
      <c r="EU60" s="19" t="str">
        <f t="shared" si="126"/>
        <v/>
      </c>
      <c r="EV60" s="20" t="str">
        <f t="shared" si="127"/>
        <v/>
      </c>
      <c r="EW60" s="51" t="b">
        <f t="shared" ref="EW60:EZ60" si="321">EW14</f>
        <v>0</v>
      </c>
      <c r="EX60" s="51" t="b">
        <f t="shared" si="321"/>
        <v>0</v>
      </c>
      <c r="EY60" s="51" t="b">
        <f t="shared" si="321"/>
        <v>0</v>
      </c>
      <c r="EZ60" s="51" t="b">
        <f t="shared" si="321"/>
        <v>0</v>
      </c>
      <c r="FA60" s="20" t="str">
        <f t="shared" si="129"/>
        <v/>
      </c>
      <c r="FB60" s="51" t="str">
        <f t="shared" si="130"/>
        <v/>
      </c>
      <c r="FC60" s="20" t="str">
        <f t="shared" si="131"/>
        <v/>
      </c>
      <c r="FD60" s="51" t="b">
        <f t="shared" ref="FD60:FE60" si="322">FD14</f>
        <v>0</v>
      </c>
      <c r="FE60" s="51" t="b">
        <f t="shared" si="322"/>
        <v>0</v>
      </c>
      <c r="FF60" s="51" t="b">
        <f t="shared" ref="FF60:FG60" si="323">FF14</f>
        <v>0</v>
      </c>
      <c r="FG60" s="51" t="b">
        <f t="shared" si="323"/>
        <v>0</v>
      </c>
      <c r="FH60" s="20" t="str">
        <f t="shared" si="132"/>
        <v/>
      </c>
      <c r="FI60" s="51" t="str">
        <f t="shared" si="133"/>
        <v/>
      </c>
      <c r="FJ60" s="20" t="str">
        <f t="shared" si="134"/>
        <v/>
      </c>
      <c r="FK60" s="51" t="b">
        <f t="shared" ref="FK60:FN60" si="324">FK14</f>
        <v>0</v>
      </c>
      <c r="FL60" s="51" t="b">
        <f t="shared" si="324"/>
        <v>0</v>
      </c>
      <c r="FM60" s="51" t="b">
        <f t="shared" si="324"/>
        <v>0</v>
      </c>
      <c r="FN60" s="51" t="b">
        <f t="shared" si="324"/>
        <v>0</v>
      </c>
      <c r="FO60" s="51" t="str">
        <f t="shared" si="136"/>
        <v/>
      </c>
      <c r="FP60" s="19" t="str">
        <f t="shared" si="137"/>
        <v/>
      </c>
      <c r="FQ60" s="20" t="str">
        <f t="shared" si="138"/>
        <v/>
      </c>
      <c r="FR60" s="51" t="b">
        <f t="shared" ref="FR60:FU60" si="325">FR14</f>
        <v>0</v>
      </c>
      <c r="FS60" s="51" t="b">
        <f t="shared" si="325"/>
        <v>0</v>
      </c>
      <c r="FT60" s="51" t="b">
        <f t="shared" si="325"/>
        <v>0</v>
      </c>
      <c r="FU60" s="51" t="b">
        <f t="shared" si="325"/>
        <v>0</v>
      </c>
      <c r="FV60" s="20" t="str">
        <f t="shared" si="140"/>
        <v/>
      </c>
      <c r="FW60" s="51" t="str">
        <f t="shared" si="141"/>
        <v/>
      </c>
      <c r="FX60" s="20" t="str">
        <f t="shared" si="142"/>
        <v/>
      </c>
      <c r="FY60" s="51" t="b">
        <f t="shared" ref="FY60:FZ60" si="326">FY14</f>
        <v>0</v>
      </c>
      <c r="FZ60" s="51" t="b">
        <f t="shared" si="326"/>
        <v>0</v>
      </c>
      <c r="GA60" s="51" t="b">
        <f t="shared" ref="GA60:GB60" si="327">GA14</f>
        <v>0</v>
      </c>
      <c r="GB60" s="51" t="b">
        <f t="shared" si="327"/>
        <v>0</v>
      </c>
      <c r="GC60" s="20" t="str">
        <f t="shared" si="143"/>
        <v/>
      </c>
      <c r="GD60" s="51" t="str">
        <f t="shared" si="144"/>
        <v/>
      </c>
      <c r="GE60" s="20" t="str">
        <f t="shared" si="145"/>
        <v/>
      </c>
      <c r="GF60" s="51" t="b">
        <f t="shared" ref="GF60:GI60" si="328">GF14</f>
        <v>0</v>
      </c>
      <c r="GG60" s="51" t="b">
        <f t="shared" si="328"/>
        <v>0</v>
      </c>
      <c r="GH60" s="51" t="b">
        <f t="shared" si="328"/>
        <v>0</v>
      </c>
      <c r="GI60" s="51" t="b">
        <f t="shared" si="328"/>
        <v>0</v>
      </c>
      <c r="GJ60" s="51" t="str">
        <f t="shared" si="147"/>
        <v/>
      </c>
      <c r="GK60" s="19" t="str">
        <f t="shared" si="148"/>
        <v/>
      </c>
      <c r="GL60" s="20" t="str">
        <f t="shared" si="149"/>
        <v/>
      </c>
      <c r="GM60" s="51" t="b">
        <f t="shared" ref="GM60:GP60" si="329">GM14</f>
        <v>0</v>
      </c>
      <c r="GN60" s="51" t="b">
        <f t="shared" si="329"/>
        <v>0</v>
      </c>
      <c r="GO60" s="51" t="b">
        <f t="shared" si="329"/>
        <v>0</v>
      </c>
      <c r="GP60" s="51" t="b">
        <f t="shared" si="329"/>
        <v>0</v>
      </c>
      <c r="GQ60" s="20" t="str">
        <f t="shared" si="151"/>
        <v/>
      </c>
      <c r="GR60" s="51" t="str">
        <f t="shared" si="152"/>
        <v/>
      </c>
      <c r="GS60" s="20" t="str">
        <f t="shared" si="153"/>
        <v/>
      </c>
      <c r="GT60" s="51" t="b">
        <f t="shared" ref="GT60:GU60" si="330">GT14</f>
        <v>0</v>
      </c>
      <c r="GU60" s="51" t="b">
        <f t="shared" si="330"/>
        <v>0</v>
      </c>
      <c r="GV60" s="51" t="b">
        <f t="shared" ref="GV60:GW60" si="331">GV14</f>
        <v>0</v>
      </c>
      <c r="GW60" s="51" t="b">
        <f t="shared" si="331"/>
        <v>0</v>
      </c>
      <c r="GX60" s="20" t="str">
        <f t="shared" si="154"/>
        <v/>
      </c>
      <c r="GY60" s="51" t="str">
        <f t="shared" si="155"/>
        <v/>
      </c>
      <c r="GZ60" s="20" t="str">
        <f t="shared" si="156"/>
        <v/>
      </c>
      <c r="HA60" s="51" t="b">
        <f t="shared" ref="HA60:HD60" si="332">HA14</f>
        <v>0</v>
      </c>
      <c r="HB60" s="51" t="b">
        <f t="shared" si="332"/>
        <v>0</v>
      </c>
      <c r="HC60" s="51" t="b">
        <f t="shared" si="332"/>
        <v>0</v>
      </c>
      <c r="HD60" s="51" t="b">
        <f t="shared" si="332"/>
        <v>0</v>
      </c>
      <c r="HE60" s="51" t="str">
        <f t="shared" si="158"/>
        <v/>
      </c>
      <c r="HF60" s="19" t="str">
        <f t="shared" si="159"/>
        <v/>
      </c>
      <c r="HG60" s="20" t="str">
        <f t="shared" si="160"/>
        <v/>
      </c>
      <c r="HH60" s="51" t="b">
        <f t="shared" ref="HH60:HK60" si="333">HH14</f>
        <v>0</v>
      </c>
      <c r="HI60" s="51" t="b">
        <f t="shared" si="333"/>
        <v>0</v>
      </c>
      <c r="HJ60" s="51" t="b">
        <f t="shared" si="333"/>
        <v>0</v>
      </c>
      <c r="HK60" s="51" t="b">
        <f t="shared" si="333"/>
        <v>0</v>
      </c>
      <c r="HL60" s="20" t="str">
        <f t="shared" si="162"/>
        <v/>
      </c>
      <c r="HM60" s="51" t="str">
        <f t="shared" si="163"/>
        <v/>
      </c>
      <c r="HN60" s="20" t="str">
        <f t="shared" si="164"/>
        <v/>
      </c>
      <c r="HO60" s="51" t="b">
        <f t="shared" ref="HO60:HP60" si="334">HO14</f>
        <v>0</v>
      </c>
      <c r="HP60" s="51" t="b">
        <f t="shared" si="334"/>
        <v>0</v>
      </c>
      <c r="HQ60" s="51" t="b">
        <f t="shared" ref="HQ60:HR60" si="335">HQ14</f>
        <v>0</v>
      </c>
      <c r="HR60" s="51" t="b">
        <f t="shared" si="335"/>
        <v>0</v>
      </c>
      <c r="HS60" s="20" t="str">
        <f t="shared" si="165"/>
        <v/>
      </c>
      <c r="HT60" s="51" t="str">
        <f t="shared" si="166"/>
        <v/>
      </c>
      <c r="HU60" s="20" t="str">
        <f t="shared" si="167"/>
        <v/>
      </c>
      <c r="HV60" s="51" t="b">
        <f t="shared" ref="HV60:HY60" si="336">HV14</f>
        <v>0</v>
      </c>
      <c r="HW60" s="51" t="b">
        <f t="shared" si="336"/>
        <v>0</v>
      </c>
      <c r="HX60" s="51" t="b">
        <f t="shared" si="336"/>
        <v>0</v>
      </c>
      <c r="HY60" s="51" t="b">
        <f t="shared" si="336"/>
        <v>0</v>
      </c>
      <c r="HZ60" s="51" t="str">
        <f t="shared" si="169"/>
        <v/>
      </c>
      <c r="IA60" s="19" t="str">
        <f t="shared" si="170"/>
        <v/>
      </c>
      <c r="IB60" s="20" t="str">
        <f t="shared" si="171"/>
        <v/>
      </c>
      <c r="IC60" s="51" t="b">
        <f t="shared" ref="IC60:IF60" si="337">IC14</f>
        <v>0</v>
      </c>
      <c r="ID60" s="51" t="b">
        <f t="shared" si="337"/>
        <v>0</v>
      </c>
      <c r="IE60" s="51" t="b">
        <f t="shared" si="337"/>
        <v>0</v>
      </c>
      <c r="IF60" s="51" t="b">
        <f t="shared" si="337"/>
        <v>0</v>
      </c>
      <c r="IG60" s="20" t="str">
        <f t="shared" si="173"/>
        <v/>
      </c>
      <c r="IH60" s="51" t="str">
        <f t="shared" si="174"/>
        <v/>
      </c>
      <c r="II60" s="20" t="str">
        <f t="shared" si="175"/>
        <v/>
      </c>
      <c r="IJ60" s="51" t="b">
        <f t="shared" ref="IJ60:IK60" si="338">IJ14</f>
        <v>0</v>
      </c>
      <c r="IK60" s="51" t="b">
        <f t="shared" si="338"/>
        <v>0</v>
      </c>
      <c r="IL60" s="51" t="b">
        <f t="shared" ref="IL60:IM60" si="339">IL14</f>
        <v>0</v>
      </c>
      <c r="IM60" s="51" t="b">
        <f t="shared" si="339"/>
        <v>0</v>
      </c>
      <c r="IN60" s="20" t="str">
        <f t="shared" si="176"/>
        <v/>
      </c>
      <c r="IO60" s="51" t="str">
        <f t="shared" si="177"/>
        <v/>
      </c>
      <c r="IP60" s="20" t="str">
        <f t="shared" si="178"/>
        <v/>
      </c>
      <c r="IQ60" s="51" t="b">
        <f t="shared" ref="IQ60:IT60" si="340">IQ14</f>
        <v>0</v>
      </c>
      <c r="IR60" s="51" t="b">
        <f t="shared" si="340"/>
        <v>0</v>
      </c>
      <c r="IS60" s="51" t="b">
        <f t="shared" si="340"/>
        <v>0</v>
      </c>
      <c r="IT60" s="51" t="b">
        <f t="shared" si="340"/>
        <v>0</v>
      </c>
      <c r="IU60" s="51" t="str">
        <f t="shared" si="180"/>
        <v/>
      </c>
      <c r="IV60" s="116"/>
    </row>
    <row r="61" spans="1:256" x14ac:dyDescent="0.2">
      <c r="A61" s="13" t="str">
        <f t="shared" si="47"/>
        <v/>
      </c>
      <c r="B61" s="14" t="str">
        <f t="shared" si="47"/>
        <v/>
      </c>
      <c r="C61">
        <v>6</v>
      </c>
      <c r="D61" s="19" t="str">
        <f t="shared" si="48"/>
        <v/>
      </c>
      <c r="E61" s="20" t="str">
        <f t="shared" si="49"/>
        <v/>
      </c>
      <c r="F61" s="51" t="str">
        <f t="shared" si="50"/>
        <v>FALSE</v>
      </c>
      <c r="G61" s="51" t="str">
        <f t="shared" si="50"/>
        <v>FALSE</v>
      </c>
      <c r="H61" s="51" t="str">
        <f t="shared" si="50"/>
        <v>FALSE</v>
      </c>
      <c r="I61" s="51" t="str">
        <f t="shared" si="50"/>
        <v>FALSE</v>
      </c>
      <c r="J61" s="20" t="str">
        <f t="shared" si="51"/>
        <v/>
      </c>
      <c r="K61" s="51" t="str">
        <f t="shared" si="52"/>
        <v/>
      </c>
      <c r="L61" s="20" t="str">
        <f t="shared" si="53"/>
        <v/>
      </c>
      <c r="M61" s="51" t="str">
        <f t="shared" si="54"/>
        <v>FALSE</v>
      </c>
      <c r="N61" s="51" t="str">
        <f t="shared" si="54"/>
        <v>FALSE</v>
      </c>
      <c r="O61" s="51" t="str">
        <f t="shared" si="54"/>
        <v>FALSE</v>
      </c>
      <c r="P61" s="51" t="str">
        <f t="shared" si="54"/>
        <v>FALSE</v>
      </c>
      <c r="Q61" s="20" t="str">
        <f t="shared" si="55"/>
        <v/>
      </c>
      <c r="R61" s="51" t="str">
        <f t="shared" si="56"/>
        <v/>
      </c>
      <c r="S61" s="51" t="str">
        <f t="shared" si="57"/>
        <v/>
      </c>
      <c r="T61" s="51" t="str">
        <f t="shared" si="58"/>
        <v>FALSE</v>
      </c>
      <c r="U61" s="51" t="str">
        <f t="shared" si="58"/>
        <v>FALSE</v>
      </c>
      <c r="V61" s="51" t="str">
        <f t="shared" si="58"/>
        <v>FALSE</v>
      </c>
      <c r="W61" s="51" t="str">
        <f t="shared" si="58"/>
        <v>FALSE</v>
      </c>
      <c r="X61" s="22" t="str">
        <f t="shared" si="59"/>
        <v/>
      </c>
      <c r="Y61" s="19" t="str">
        <f t="shared" si="60"/>
        <v/>
      </c>
      <c r="Z61" s="20" t="str">
        <f t="shared" si="61"/>
        <v/>
      </c>
      <c r="AA61" s="51" t="str">
        <f t="shared" si="62"/>
        <v>FALSE</v>
      </c>
      <c r="AB61" s="51" t="str">
        <f t="shared" si="62"/>
        <v>FALSE</v>
      </c>
      <c r="AC61" s="51" t="str">
        <f t="shared" si="62"/>
        <v>FALSE</v>
      </c>
      <c r="AD61" s="51" t="str">
        <f t="shared" si="62"/>
        <v>FALSE</v>
      </c>
      <c r="AE61" s="20" t="str">
        <f t="shared" si="63"/>
        <v/>
      </c>
      <c r="AF61" s="51" t="str">
        <f t="shared" si="64"/>
        <v/>
      </c>
      <c r="AG61" s="20" t="str">
        <f t="shared" si="65"/>
        <v/>
      </c>
      <c r="AH61" s="51" t="str">
        <f t="shared" ref="AH61:AK61" si="341">AH15</f>
        <v>FALSE</v>
      </c>
      <c r="AI61" s="51" t="str">
        <f t="shared" si="341"/>
        <v>FALSE</v>
      </c>
      <c r="AJ61" s="51" t="str">
        <f t="shared" si="341"/>
        <v>FALSE</v>
      </c>
      <c r="AK61" s="51" t="str">
        <f t="shared" si="341"/>
        <v>FALSE</v>
      </c>
      <c r="AL61" s="20" t="str">
        <f t="shared" si="66"/>
        <v/>
      </c>
      <c r="AM61" s="51" t="str">
        <f t="shared" si="67"/>
        <v/>
      </c>
      <c r="AN61" s="20" t="str">
        <f t="shared" si="68"/>
        <v/>
      </c>
      <c r="AO61" s="51" t="str">
        <f t="shared" si="69"/>
        <v>FALSE</v>
      </c>
      <c r="AP61" s="51" t="str">
        <f t="shared" si="69"/>
        <v>FALSE</v>
      </c>
      <c r="AQ61" s="51" t="str">
        <f t="shared" si="69"/>
        <v>FALSE</v>
      </c>
      <c r="AR61" s="51" t="str">
        <f t="shared" si="69"/>
        <v>FALSE</v>
      </c>
      <c r="AS61" s="51" t="str">
        <f t="shared" si="70"/>
        <v/>
      </c>
      <c r="AT61" s="19" t="str">
        <f t="shared" si="71"/>
        <v/>
      </c>
      <c r="AU61" s="20" t="str">
        <f t="shared" si="72"/>
        <v/>
      </c>
      <c r="AV61" s="51" t="str">
        <f t="shared" ref="AV61:AY61" si="342">AV15</f>
        <v>FALSE</v>
      </c>
      <c r="AW61" s="51" t="str">
        <f t="shared" si="342"/>
        <v>TRUE</v>
      </c>
      <c r="AX61" s="51" t="str">
        <f t="shared" si="342"/>
        <v>TRUE</v>
      </c>
      <c r="AY61" s="51" t="str">
        <f t="shared" si="342"/>
        <v>FALSE</v>
      </c>
      <c r="AZ61" s="20" t="str">
        <f t="shared" si="74"/>
        <v/>
      </c>
      <c r="BA61" s="51" t="str">
        <f t="shared" si="75"/>
        <v/>
      </c>
      <c r="BB61" s="20" t="str">
        <f t="shared" si="76"/>
        <v/>
      </c>
      <c r="BC61" s="51" t="str">
        <f t="shared" ref="BC61:BF61" si="343">BC15</f>
        <v>FALSE</v>
      </c>
      <c r="BD61" s="51" t="str">
        <f t="shared" si="343"/>
        <v>FALSE</v>
      </c>
      <c r="BE61" s="51" t="str">
        <f t="shared" si="343"/>
        <v>FALSE</v>
      </c>
      <c r="BF61" s="51" t="str">
        <f t="shared" si="343"/>
        <v>FALSE</v>
      </c>
      <c r="BG61" s="20" t="str">
        <f t="shared" si="77"/>
        <v/>
      </c>
      <c r="BH61" s="51" t="str">
        <f t="shared" si="78"/>
        <v/>
      </c>
      <c r="BI61" s="20" t="str">
        <f t="shared" si="79"/>
        <v/>
      </c>
      <c r="BJ61" s="51" t="str">
        <f t="shared" ref="BJ61:BM61" si="344">BJ15</f>
        <v>FALSE</v>
      </c>
      <c r="BK61" s="51" t="str">
        <f t="shared" si="344"/>
        <v>FALSE</v>
      </c>
      <c r="BL61" s="51" t="str">
        <f t="shared" si="344"/>
        <v>FALSE</v>
      </c>
      <c r="BM61" s="51" t="str">
        <f t="shared" si="344"/>
        <v>FALSE</v>
      </c>
      <c r="BN61" s="51" t="str">
        <f t="shared" si="81"/>
        <v/>
      </c>
      <c r="BO61" s="19" t="str">
        <f t="shared" si="82"/>
        <v/>
      </c>
      <c r="BP61" s="20" t="str">
        <f t="shared" si="83"/>
        <v/>
      </c>
      <c r="BQ61" s="51" t="b">
        <f t="shared" ref="BQ61:BT61" si="345">BQ15</f>
        <v>0</v>
      </c>
      <c r="BR61" s="51" t="b">
        <f t="shared" si="345"/>
        <v>0</v>
      </c>
      <c r="BS61" s="51" t="b">
        <f t="shared" si="345"/>
        <v>0</v>
      </c>
      <c r="BT61" s="51" t="b">
        <f t="shared" si="345"/>
        <v>0</v>
      </c>
      <c r="BU61" s="20" t="str">
        <f t="shared" si="85"/>
        <v/>
      </c>
      <c r="BV61" s="51" t="str">
        <f t="shared" si="86"/>
        <v/>
      </c>
      <c r="BW61" s="20" t="str">
        <f t="shared" si="87"/>
        <v/>
      </c>
      <c r="BX61" s="51" t="b">
        <f t="shared" ref="BX61:BY61" si="346">BX15</f>
        <v>0</v>
      </c>
      <c r="BY61" s="51" t="b">
        <f t="shared" si="346"/>
        <v>0</v>
      </c>
      <c r="BZ61" s="51" t="b">
        <f t="shared" ref="BZ61:CA61" si="347">BZ15</f>
        <v>0</v>
      </c>
      <c r="CA61" s="51" t="b">
        <f t="shared" si="347"/>
        <v>0</v>
      </c>
      <c r="CB61" s="20" t="str">
        <f t="shared" si="88"/>
        <v/>
      </c>
      <c r="CC61" s="51" t="str">
        <f t="shared" si="89"/>
        <v/>
      </c>
      <c r="CD61" s="20" t="str">
        <f t="shared" si="90"/>
        <v/>
      </c>
      <c r="CE61" s="51" t="b">
        <f t="shared" ref="CE61:CH61" si="348">CE15</f>
        <v>0</v>
      </c>
      <c r="CF61" s="51" t="b">
        <f t="shared" si="348"/>
        <v>0</v>
      </c>
      <c r="CG61" s="51" t="b">
        <f t="shared" si="348"/>
        <v>0</v>
      </c>
      <c r="CH61" s="51" t="b">
        <f t="shared" si="348"/>
        <v>0</v>
      </c>
      <c r="CI61" s="51" t="str">
        <f t="shared" si="92"/>
        <v/>
      </c>
      <c r="CJ61" s="19" t="str">
        <f t="shared" si="93"/>
        <v/>
      </c>
      <c r="CK61" s="20" t="str">
        <f t="shared" si="94"/>
        <v/>
      </c>
      <c r="CL61" s="51" t="b">
        <f t="shared" ref="CL61:CO61" si="349">CL15</f>
        <v>0</v>
      </c>
      <c r="CM61" s="51" t="b">
        <f t="shared" si="349"/>
        <v>0</v>
      </c>
      <c r="CN61" s="51" t="b">
        <f t="shared" si="349"/>
        <v>0</v>
      </c>
      <c r="CO61" s="51" t="b">
        <f t="shared" si="349"/>
        <v>0</v>
      </c>
      <c r="CP61" s="20" t="str">
        <f t="shared" si="96"/>
        <v/>
      </c>
      <c r="CQ61" s="51" t="str">
        <f t="shared" si="97"/>
        <v/>
      </c>
      <c r="CR61" s="20" t="str">
        <f t="shared" si="98"/>
        <v/>
      </c>
      <c r="CS61" s="51" t="b">
        <f t="shared" ref="CS61:CT61" si="350">CS15</f>
        <v>0</v>
      </c>
      <c r="CT61" s="51" t="b">
        <f t="shared" si="350"/>
        <v>0</v>
      </c>
      <c r="CU61" s="51" t="b">
        <f t="shared" ref="CU61:CV61" si="351">CU15</f>
        <v>0</v>
      </c>
      <c r="CV61" s="51" t="b">
        <f t="shared" si="351"/>
        <v>0</v>
      </c>
      <c r="CW61" s="20" t="str">
        <f t="shared" si="99"/>
        <v/>
      </c>
      <c r="CX61" s="51" t="str">
        <f t="shared" si="100"/>
        <v/>
      </c>
      <c r="CY61" s="20" t="str">
        <f t="shared" si="101"/>
        <v/>
      </c>
      <c r="CZ61" s="51" t="b">
        <f t="shared" ref="CZ61:DC61" si="352">CZ15</f>
        <v>0</v>
      </c>
      <c r="DA61" s="51" t="b">
        <f t="shared" si="352"/>
        <v>0</v>
      </c>
      <c r="DB61" s="51" t="b">
        <f t="shared" si="352"/>
        <v>0</v>
      </c>
      <c r="DC61" s="51" t="b">
        <f t="shared" si="352"/>
        <v>0</v>
      </c>
      <c r="DD61" s="51" t="str">
        <f t="shared" si="103"/>
        <v/>
      </c>
      <c r="DE61" s="19" t="str">
        <f t="shared" si="104"/>
        <v/>
      </c>
      <c r="DF61" s="20" t="str">
        <f t="shared" si="105"/>
        <v/>
      </c>
      <c r="DG61" s="51" t="b">
        <f t="shared" ref="DG61:DJ61" si="353">DG15</f>
        <v>0</v>
      </c>
      <c r="DH61" s="51" t="b">
        <f t="shared" si="353"/>
        <v>0</v>
      </c>
      <c r="DI61" s="51" t="b">
        <f t="shared" si="353"/>
        <v>0</v>
      </c>
      <c r="DJ61" s="51" t="b">
        <f t="shared" si="353"/>
        <v>0</v>
      </c>
      <c r="DK61" s="20" t="str">
        <f t="shared" si="107"/>
        <v/>
      </c>
      <c r="DL61" s="51" t="str">
        <f t="shared" si="108"/>
        <v/>
      </c>
      <c r="DM61" s="20" t="str">
        <f t="shared" si="109"/>
        <v/>
      </c>
      <c r="DN61" s="51" t="b">
        <f t="shared" ref="DN61:DO61" si="354">DN15</f>
        <v>0</v>
      </c>
      <c r="DO61" s="51" t="b">
        <f t="shared" si="354"/>
        <v>0</v>
      </c>
      <c r="DP61" s="51" t="b">
        <f t="shared" ref="DP61:DQ61" si="355">DP15</f>
        <v>0</v>
      </c>
      <c r="DQ61" s="51" t="b">
        <f t="shared" si="355"/>
        <v>0</v>
      </c>
      <c r="DR61" s="20" t="str">
        <f t="shared" si="110"/>
        <v/>
      </c>
      <c r="DS61" s="51" t="str">
        <f t="shared" si="111"/>
        <v/>
      </c>
      <c r="DT61" s="20" t="str">
        <f t="shared" si="112"/>
        <v/>
      </c>
      <c r="DU61" s="51" t="b">
        <f t="shared" ref="DU61:DX61" si="356">DU15</f>
        <v>0</v>
      </c>
      <c r="DV61" s="51" t="b">
        <f t="shared" si="356"/>
        <v>0</v>
      </c>
      <c r="DW61" s="51" t="b">
        <f t="shared" si="356"/>
        <v>0</v>
      </c>
      <c r="DX61" s="51" t="b">
        <f t="shared" si="356"/>
        <v>0</v>
      </c>
      <c r="DY61" s="51" t="str">
        <f t="shared" si="114"/>
        <v/>
      </c>
      <c r="DZ61" s="19" t="str">
        <f t="shared" si="115"/>
        <v/>
      </c>
      <c r="EA61" s="20" t="str">
        <f t="shared" si="116"/>
        <v/>
      </c>
      <c r="EB61" s="51" t="b">
        <f t="shared" ref="EB61:EE61" si="357">EB15</f>
        <v>0</v>
      </c>
      <c r="EC61" s="51" t="b">
        <f t="shared" si="357"/>
        <v>0</v>
      </c>
      <c r="ED61" s="51" t="b">
        <f t="shared" si="357"/>
        <v>0</v>
      </c>
      <c r="EE61" s="51" t="b">
        <f t="shared" si="357"/>
        <v>0</v>
      </c>
      <c r="EF61" s="20" t="str">
        <f t="shared" si="118"/>
        <v/>
      </c>
      <c r="EG61" s="51" t="str">
        <f t="shared" si="119"/>
        <v/>
      </c>
      <c r="EH61" s="20" t="str">
        <f t="shared" si="120"/>
        <v/>
      </c>
      <c r="EI61" s="51" t="b">
        <f t="shared" ref="EI61:EJ61" si="358">EI15</f>
        <v>0</v>
      </c>
      <c r="EJ61" s="51" t="b">
        <f t="shared" si="358"/>
        <v>0</v>
      </c>
      <c r="EK61" s="51" t="b">
        <f t="shared" ref="EK61:EL61" si="359">EK15</f>
        <v>0</v>
      </c>
      <c r="EL61" s="51" t="b">
        <f t="shared" si="359"/>
        <v>0</v>
      </c>
      <c r="EM61" s="20" t="str">
        <f t="shared" si="121"/>
        <v/>
      </c>
      <c r="EN61" s="51" t="str">
        <f t="shared" si="122"/>
        <v/>
      </c>
      <c r="EO61" s="20" t="str">
        <f t="shared" si="123"/>
        <v/>
      </c>
      <c r="EP61" s="51" t="b">
        <f t="shared" ref="EP61:ES61" si="360">EP15</f>
        <v>0</v>
      </c>
      <c r="EQ61" s="51" t="b">
        <f t="shared" si="360"/>
        <v>0</v>
      </c>
      <c r="ER61" s="51" t="b">
        <f t="shared" si="360"/>
        <v>0</v>
      </c>
      <c r="ES61" s="51" t="b">
        <f t="shared" si="360"/>
        <v>0</v>
      </c>
      <c r="ET61" s="51" t="str">
        <f t="shared" si="125"/>
        <v/>
      </c>
      <c r="EU61" s="19" t="str">
        <f t="shared" si="126"/>
        <v/>
      </c>
      <c r="EV61" s="20" t="str">
        <f t="shared" si="127"/>
        <v/>
      </c>
      <c r="EW61" s="51" t="b">
        <f t="shared" ref="EW61:EZ61" si="361">EW15</f>
        <v>0</v>
      </c>
      <c r="EX61" s="51" t="b">
        <f t="shared" si="361"/>
        <v>0</v>
      </c>
      <c r="EY61" s="51" t="b">
        <f t="shared" si="361"/>
        <v>0</v>
      </c>
      <c r="EZ61" s="51" t="b">
        <f t="shared" si="361"/>
        <v>0</v>
      </c>
      <c r="FA61" s="20" t="str">
        <f t="shared" si="129"/>
        <v/>
      </c>
      <c r="FB61" s="51" t="str">
        <f t="shared" si="130"/>
        <v/>
      </c>
      <c r="FC61" s="20" t="str">
        <f t="shared" si="131"/>
        <v/>
      </c>
      <c r="FD61" s="51" t="b">
        <f t="shared" ref="FD61:FE61" si="362">FD15</f>
        <v>0</v>
      </c>
      <c r="FE61" s="51" t="b">
        <f t="shared" si="362"/>
        <v>0</v>
      </c>
      <c r="FF61" s="51" t="b">
        <f t="shared" ref="FF61:FG61" si="363">FF15</f>
        <v>0</v>
      </c>
      <c r="FG61" s="51" t="b">
        <f t="shared" si="363"/>
        <v>0</v>
      </c>
      <c r="FH61" s="20" t="str">
        <f t="shared" si="132"/>
        <v/>
      </c>
      <c r="FI61" s="51" t="str">
        <f t="shared" si="133"/>
        <v/>
      </c>
      <c r="FJ61" s="20" t="str">
        <f t="shared" si="134"/>
        <v/>
      </c>
      <c r="FK61" s="51" t="b">
        <f t="shared" ref="FK61:FN61" si="364">FK15</f>
        <v>0</v>
      </c>
      <c r="FL61" s="51" t="b">
        <f t="shared" si="364"/>
        <v>0</v>
      </c>
      <c r="FM61" s="51" t="b">
        <f t="shared" si="364"/>
        <v>0</v>
      </c>
      <c r="FN61" s="51" t="b">
        <f t="shared" si="364"/>
        <v>0</v>
      </c>
      <c r="FO61" s="51" t="str">
        <f t="shared" si="136"/>
        <v/>
      </c>
      <c r="FP61" s="19" t="str">
        <f t="shared" si="137"/>
        <v/>
      </c>
      <c r="FQ61" s="20" t="str">
        <f t="shared" si="138"/>
        <v/>
      </c>
      <c r="FR61" s="51" t="b">
        <f t="shared" ref="FR61:FU61" si="365">FR15</f>
        <v>0</v>
      </c>
      <c r="FS61" s="51" t="b">
        <f t="shared" si="365"/>
        <v>0</v>
      </c>
      <c r="FT61" s="51" t="b">
        <f t="shared" si="365"/>
        <v>0</v>
      </c>
      <c r="FU61" s="51" t="b">
        <f t="shared" si="365"/>
        <v>0</v>
      </c>
      <c r="FV61" s="20" t="str">
        <f t="shared" si="140"/>
        <v/>
      </c>
      <c r="FW61" s="51" t="str">
        <f t="shared" si="141"/>
        <v/>
      </c>
      <c r="FX61" s="20" t="str">
        <f t="shared" si="142"/>
        <v/>
      </c>
      <c r="FY61" s="51" t="b">
        <f t="shared" ref="FY61:FZ61" si="366">FY15</f>
        <v>0</v>
      </c>
      <c r="FZ61" s="51" t="b">
        <f t="shared" si="366"/>
        <v>0</v>
      </c>
      <c r="GA61" s="51" t="b">
        <f t="shared" ref="GA61:GB61" si="367">GA15</f>
        <v>0</v>
      </c>
      <c r="GB61" s="51" t="b">
        <f t="shared" si="367"/>
        <v>0</v>
      </c>
      <c r="GC61" s="20" t="str">
        <f t="shared" si="143"/>
        <v/>
      </c>
      <c r="GD61" s="51" t="str">
        <f t="shared" si="144"/>
        <v/>
      </c>
      <c r="GE61" s="20" t="str">
        <f t="shared" si="145"/>
        <v/>
      </c>
      <c r="GF61" s="51" t="b">
        <f t="shared" ref="GF61:GI61" si="368">GF15</f>
        <v>0</v>
      </c>
      <c r="GG61" s="51" t="b">
        <f t="shared" si="368"/>
        <v>0</v>
      </c>
      <c r="GH61" s="51" t="b">
        <f t="shared" si="368"/>
        <v>0</v>
      </c>
      <c r="GI61" s="51" t="b">
        <f t="shared" si="368"/>
        <v>0</v>
      </c>
      <c r="GJ61" s="51" t="str">
        <f t="shared" si="147"/>
        <v/>
      </c>
      <c r="GK61" s="19" t="str">
        <f t="shared" si="148"/>
        <v/>
      </c>
      <c r="GL61" s="20" t="str">
        <f t="shared" si="149"/>
        <v/>
      </c>
      <c r="GM61" s="51" t="b">
        <f t="shared" ref="GM61:GP61" si="369">GM15</f>
        <v>0</v>
      </c>
      <c r="GN61" s="51" t="b">
        <f t="shared" si="369"/>
        <v>0</v>
      </c>
      <c r="GO61" s="51" t="b">
        <f t="shared" si="369"/>
        <v>0</v>
      </c>
      <c r="GP61" s="51" t="b">
        <f t="shared" si="369"/>
        <v>0</v>
      </c>
      <c r="GQ61" s="20" t="str">
        <f t="shared" si="151"/>
        <v/>
      </c>
      <c r="GR61" s="51" t="str">
        <f t="shared" si="152"/>
        <v/>
      </c>
      <c r="GS61" s="20" t="str">
        <f t="shared" si="153"/>
        <v/>
      </c>
      <c r="GT61" s="51" t="b">
        <f t="shared" ref="GT61:GU61" si="370">GT15</f>
        <v>0</v>
      </c>
      <c r="GU61" s="51" t="b">
        <f t="shared" si="370"/>
        <v>0</v>
      </c>
      <c r="GV61" s="51" t="b">
        <f t="shared" ref="GV61:GW61" si="371">GV15</f>
        <v>0</v>
      </c>
      <c r="GW61" s="51" t="b">
        <f t="shared" si="371"/>
        <v>0</v>
      </c>
      <c r="GX61" s="20" t="str">
        <f t="shared" si="154"/>
        <v/>
      </c>
      <c r="GY61" s="51" t="str">
        <f t="shared" si="155"/>
        <v/>
      </c>
      <c r="GZ61" s="20" t="str">
        <f t="shared" si="156"/>
        <v/>
      </c>
      <c r="HA61" s="51" t="b">
        <f t="shared" ref="HA61:HD61" si="372">HA15</f>
        <v>0</v>
      </c>
      <c r="HB61" s="51" t="b">
        <f t="shared" si="372"/>
        <v>0</v>
      </c>
      <c r="HC61" s="51" t="b">
        <f t="shared" si="372"/>
        <v>0</v>
      </c>
      <c r="HD61" s="51" t="b">
        <f t="shared" si="372"/>
        <v>0</v>
      </c>
      <c r="HE61" s="51" t="str">
        <f t="shared" si="158"/>
        <v/>
      </c>
      <c r="HF61" s="19" t="str">
        <f t="shared" si="159"/>
        <v/>
      </c>
      <c r="HG61" s="20" t="str">
        <f t="shared" si="160"/>
        <v/>
      </c>
      <c r="HH61" s="51" t="b">
        <f t="shared" ref="HH61:HK61" si="373">HH15</f>
        <v>0</v>
      </c>
      <c r="HI61" s="51" t="b">
        <f t="shared" si="373"/>
        <v>0</v>
      </c>
      <c r="HJ61" s="51" t="b">
        <f t="shared" si="373"/>
        <v>0</v>
      </c>
      <c r="HK61" s="51" t="b">
        <f t="shared" si="373"/>
        <v>0</v>
      </c>
      <c r="HL61" s="20" t="str">
        <f t="shared" si="162"/>
        <v/>
      </c>
      <c r="HM61" s="51" t="str">
        <f t="shared" si="163"/>
        <v/>
      </c>
      <c r="HN61" s="20" t="str">
        <f t="shared" si="164"/>
        <v/>
      </c>
      <c r="HO61" s="51" t="b">
        <f t="shared" ref="HO61:HP61" si="374">HO15</f>
        <v>0</v>
      </c>
      <c r="HP61" s="51" t="b">
        <f t="shared" si="374"/>
        <v>0</v>
      </c>
      <c r="HQ61" s="51" t="b">
        <f t="shared" ref="HQ61:HR61" si="375">HQ15</f>
        <v>0</v>
      </c>
      <c r="HR61" s="51" t="b">
        <f t="shared" si="375"/>
        <v>0</v>
      </c>
      <c r="HS61" s="20" t="str">
        <f t="shared" si="165"/>
        <v/>
      </c>
      <c r="HT61" s="51" t="str">
        <f t="shared" si="166"/>
        <v/>
      </c>
      <c r="HU61" s="20" t="str">
        <f t="shared" si="167"/>
        <v/>
      </c>
      <c r="HV61" s="51" t="b">
        <f t="shared" ref="HV61:HY61" si="376">HV15</f>
        <v>0</v>
      </c>
      <c r="HW61" s="51" t="b">
        <f t="shared" si="376"/>
        <v>0</v>
      </c>
      <c r="HX61" s="51" t="b">
        <f t="shared" si="376"/>
        <v>0</v>
      </c>
      <c r="HY61" s="51" t="b">
        <f t="shared" si="376"/>
        <v>0</v>
      </c>
      <c r="HZ61" s="51" t="str">
        <f t="shared" si="169"/>
        <v/>
      </c>
      <c r="IA61" s="19" t="str">
        <f t="shared" si="170"/>
        <v/>
      </c>
      <c r="IB61" s="20" t="str">
        <f t="shared" si="171"/>
        <v/>
      </c>
      <c r="IC61" s="51" t="b">
        <f t="shared" ref="IC61:IF61" si="377">IC15</f>
        <v>0</v>
      </c>
      <c r="ID61" s="51" t="b">
        <f t="shared" si="377"/>
        <v>0</v>
      </c>
      <c r="IE61" s="51" t="b">
        <f t="shared" si="377"/>
        <v>0</v>
      </c>
      <c r="IF61" s="51" t="b">
        <f t="shared" si="377"/>
        <v>0</v>
      </c>
      <c r="IG61" s="20" t="str">
        <f t="shared" si="173"/>
        <v/>
      </c>
      <c r="IH61" s="51" t="str">
        <f t="shared" si="174"/>
        <v/>
      </c>
      <c r="II61" s="20" t="str">
        <f t="shared" si="175"/>
        <v/>
      </c>
      <c r="IJ61" s="51" t="b">
        <f t="shared" ref="IJ61:IK61" si="378">IJ15</f>
        <v>0</v>
      </c>
      <c r="IK61" s="51" t="b">
        <f t="shared" si="378"/>
        <v>0</v>
      </c>
      <c r="IL61" s="51" t="b">
        <f t="shared" ref="IL61:IM61" si="379">IL15</f>
        <v>0</v>
      </c>
      <c r="IM61" s="51" t="b">
        <f t="shared" si="379"/>
        <v>0</v>
      </c>
      <c r="IN61" s="20" t="str">
        <f t="shared" si="176"/>
        <v/>
      </c>
      <c r="IO61" s="51" t="str">
        <f t="shared" si="177"/>
        <v/>
      </c>
      <c r="IP61" s="20" t="str">
        <f t="shared" si="178"/>
        <v/>
      </c>
      <c r="IQ61" s="51" t="b">
        <f t="shared" ref="IQ61:IT61" si="380">IQ15</f>
        <v>0</v>
      </c>
      <c r="IR61" s="51" t="b">
        <f t="shared" si="380"/>
        <v>0</v>
      </c>
      <c r="IS61" s="51" t="b">
        <f t="shared" si="380"/>
        <v>0</v>
      </c>
      <c r="IT61" s="51" t="b">
        <f t="shared" si="380"/>
        <v>0</v>
      </c>
      <c r="IU61" s="51" t="str">
        <f t="shared" si="180"/>
        <v/>
      </c>
      <c r="IV61" s="116"/>
    </row>
    <row r="62" spans="1:256" x14ac:dyDescent="0.2">
      <c r="A62" s="13" t="str">
        <f t="shared" si="47"/>
        <v/>
      </c>
      <c r="B62" s="14" t="str">
        <f t="shared" si="47"/>
        <v/>
      </c>
      <c r="C62">
        <v>7</v>
      </c>
      <c r="D62" s="19" t="str">
        <f t="shared" si="48"/>
        <v/>
      </c>
      <c r="E62" s="20" t="str">
        <f t="shared" si="49"/>
        <v/>
      </c>
      <c r="F62" s="51" t="str">
        <f t="shared" si="50"/>
        <v>FALSE</v>
      </c>
      <c r="G62" s="51" t="str">
        <f t="shared" si="50"/>
        <v>FALSE</v>
      </c>
      <c r="H62" s="51" t="str">
        <f t="shared" si="50"/>
        <v>FALSE</v>
      </c>
      <c r="I62" s="51" t="str">
        <f t="shared" si="50"/>
        <v>FALSE</v>
      </c>
      <c r="J62" s="20" t="str">
        <f t="shared" si="51"/>
        <v/>
      </c>
      <c r="K62" s="51" t="str">
        <f t="shared" si="52"/>
        <v/>
      </c>
      <c r="L62" s="20" t="str">
        <f t="shared" si="53"/>
        <v/>
      </c>
      <c r="M62" s="51" t="str">
        <f t="shared" si="54"/>
        <v>FALSE</v>
      </c>
      <c r="N62" s="51" t="str">
        <f t="shared" si="54"/>
        <v>FALSE</v>
      </c>
      <c r="O62" s="51" t="str">
        <f t="shared" si="54"/>
        <v>FALSE</v>
      </c>
      <c r="P62" s="51" t="str">
        <f t="shared" si="54"/>
        <v>FALSE</v>
      </c>
      <c r="Q62" s="20" t="str">
        <f t="shared" si="55"/>
        <v/>
      </c>
      <c r="R62" s="51" t="str">
        <f t="shared" si="56"/>
        <v/>
      </c>
      <c r="S62" s="51" t="str">
        <f t="shared" si="57"/>
        <v/>
      </c>
      <c r="T62" s="51" t="str">
        <f t="shared" si="58"/>
        <v>FALSE</v>
      </c>
      <c r="U62" s="51" t="str">
        <f t="shared" si="58"/>
        <v>FALSE</v>
      </c>
      <c r="V62" s="51" t="str">
        <f t="shared" si="58"/>
        <v>FALSE</v>
      </c>
      <c r="W62" s="51" t="str">
        <f t="shared" si="58"/>
        <v>FALSE</v>
      </c>
      <c r="X62" s="22" t="str">
        <f t="shared" si="59"/>
        <v/>
      </c>
      <c r="Y62" s="19" t="str">
        <f t="shared" si="60"/>
        <v/>
      </c>
      <c r="Z62" s="20" t="str">
        <f t="shared" si="61"/>
        <v/>
      </c>
      <c r="AA62" s="51" t="str">
        <f t="shared" si="62"/>
        <v>FALSE</v>
      </c>
      <c r="AB62" s="51" t="str">
        <f t="shared" si="62"/>
        <v>FALSE</v>
      </c>
      <c r="AC62" s="51" t="str">
        <f t="shared" si="62"/>
        <v>FALSE</v>
      </c>
      <c r="AD62" s="51" t="str">
        <f t="shared" si="62"/>
        <v>FALSE</v>
      </c>
      <c r="AE62" s="20" t="str">
        <f t="shared" si="63"/>
        <v/>
      </c>
      <c r="AF62" s="51" t="str">
        <f t="shared" si="64"/>
        <v/>
      </c>
      <c r="AG62" s="20" t="str">
        <f t="shared" si="65"/>
        <v/>
      </c>
      <c r="AH62" s="51" t="str">
        <f t="shared" ref="AH62:AK62" si="381">AH16</f>
        <v>FALSE</v>
      </c>
      <c r="AI62" s="51" t="str">
        <f t="shared" si="381"/>
        <v>FALSE</v>
      </c>
      <c r="AJ62" s="51" t="str">
        <f t="shared" si="381"/>
        <v>FALSE</v>
      </c>
      <c r="AK62" s="51" t="str">
        <f t="shared" si="381"/>
        <v>FALSE</v>
      </c>
      <c r="AL62" s="20" t="str">
        <f t="shared" si="66"/>
        <v/>
      </c>
      <c r="AM62" s="51" t="str">
        <f t="shared" si="67"/>
        <v/>
      </c>
      <c r="AN62" s="20" t="str">
        <f t="shared" si="68"/>
        <v/>
      </c>
      <c r="AO62" s="51" t="str">
        <f t="shared" si="69"/>
        <v>FALSE</v>
      </c>
      <c r="AP62" s="51" t="str">
        <f t="shared" si="69"/>
        <v>FALSE</v>
      </c>
      <c r="AQ62" s="51" t="str">
        <f t="shared" si="69"/>
        <v>FALSE</v>
      </c>
      <c r="AR62" s="51" t="str">
        <f t="shared" si="69"/>
        <v>FALSE</v>
      </c>
      <c r="AS62" s="51" t="str">
        <f t="shared" si="70"/>
        <v/>
      </c>
      <c r="AT62" s="19" t="str">
        <f t="shared" si="71"/>
        <v/>
      </c>
      <c r="AU62" s="20" t="str">
        <f t="shared" si="72"/>
        <v/>
      </c>
      <c r="AV62" s="51" t="str">
        <f t="shared" ref="AV62:AY62" si="382">AV16</f>
        <v>FALSE</v>
      </c>
      <c r="AW62" s="51" t="str">
        <f t="shared" si="382"/>
        <v>FALSE</v>
      </c>
      <c r="AX62" s="51" t="str">
        <f t="shared" si="382"/>
        <v>FALSE</v>
      </c>
      <c r="AY62" s="51" t="str">
        <f t="shared" si="382"/>
        <v>FALSE</v>
      </c>
      <c r="AZ62" s="20" t="str">
        <f t="shared" si="74"/>
        <v/>
      </c>
      <c r="BA62" s="51" t="str">
        <f t="shared" si="75"/>
        <v/>
      </c>
      <c r="BB62" s="20" t="str">
        <f t="shared" si="76"/>
        <v/>
      </c>
      <c r="BC62" s="51" t="str">
        <f t="shared" ref="BC62:BF62" si="383">BC16</f>
        <v>FALSE</v>
      </c>
      <c r="BD62" s="51" t="str">
        <f t="shared" si="383"/>
        <v>FALSE</v>
      </c>
      <c r="BE62" s="51" t="str">
        <f t="shared" si="383"/>
        <v>FALSE</v>
      </c>
      <c r="BF62" s="51" t="str">
        <f t="shared" si="383"/>
        <v>FALSE</v>
      </c>
      <c r="BG62" s="20" t="str">
        <f t="shared" si="77"/>
        <v/>
      </c>
      <c r="BH62" s="51" t="str">
        <f t="shared" si="78"/>
        <v/>
      </c>
      <c r="BI62" s="20" t="str">
        <f t="shared" si="79"/>
        <v/>
      </c>
      <c r="BJ62" s="51" t="str">
        <f t="shared" ref="BJ62:BM62" si="384">BJ16</f>
        <v>FALSE</v>
      </c>
      <c r="BK62" s="51" t="str">
        <f t="shared" si="384"/>
        <v>FALSE</v>
      </c>
      <c r="BL62" s="51" t="str">
        <f t="shared" si="384"/>
        <v>FALSE</v>
      </c>
      <c r="BM62" s="51" t="str">
        <f t="shared" si="384"/>
        <v>FALSE</v>
      </c>
      <c r="BN62" s="51" t="str">
        <f t="shared" si="81"/>
        <v/>
      </c>
      <c r="BO62" s="19" t="str">
        <f t="shared" si="82"/>
        <v/>
      </c>
      <c r="BP62" s="20" t="str">
        <f t="shared" si="83"/>
        <v/>
      </c>
      <c r="BQ62" s="51" t="b">
        <f t="shared" ref="BQ62:BT62" si="385">BQ16</f>
        <v>0</v>
      </c>
      <c r="BR62" s="51" t="b">
        <f t="shared" si="385"/>
        <v>0</v>
      </c>
      <c r="BS62" s="51" t="b">
        <f t="shared" si="385"/>
        <v>0</v>
      </c>
      <c r="BT62" s="51" t="b">
        <f t="shared" si="385"/>
        <v>0</v>
      </c>
      <c r="BU62" s="20" t="str">
        <f t="shared" si="85"/>
        <v/>
      </c>
      <c r="BV62" s="51" t="str">
        <f t="shared" si="86"/>
        <v/>
      </c>
      <c r="BW62" s="20" t="str">
        <f t="shared" si="87"/>
        <v/>
      </c>
      <c r="BX62" s="51" t="b">
        <f t="shared" ref="BX62:BY62" si="386">BX16</f>
        <v>0</v>
      </c>
      <c r="BY62" s="51" t="b">
        <f t="shared" si="386"/>
        <v>0</v>
      </c>
      <c r="BZ62" s="51" t="b">
        <f t="shared" ref="BZ62:CA62" si="387">BZ16</f>
        <v>0</v>
      </c>
      <c r="CA62" s="51" t="b">
        <f t="shared" si="387"/>
        <v>0</v>
      </c>
      <c r="CB62" s="20" t="str">
        <f t="shared" si="88"/>
        <v/>
      </c>
      <c r="CC62" s="51" t="str">
        <f t="shared" si="89"/>
        <v/>
      </c>
      <c r="CD62" s="20" t="str">
        <f t="shared" si="90"/>
        <v/>
      </c>
      <c r="CE62" s="51" t="b">
        <f t="shared" ref="CE62:CH62" si="388">CE16</f>
        <v>0</v>
      </c>
      <c r="CF62" s="51" t="b">
        <f t="shared" si="388"/>
        <v>0</v>
      </c>
      <c r="CG62" s="51" t="b">
        <f t="shared" si="388"/>
        <v>0</v>
      </c>
      <c r="CH62" s="51" t="b">
        <f t="shared" si="388"/>
        <v>0</v>
      </c>
      <c r="CI62" s="51" t="str">
        <f t="shared" si="92"/>
        <v/>
      </c>
      <c r="CJ62" s="19" t="str">
        <f t="shared" si="93"/>
        <v/>
      </c>
      <c r="CK62" s="20" t="str">
        <f t="shared" si="94"/>
        <v/>
      </c>
      <c r="CL62" s="51" t="b">
        <f t="shared" ref="CL62:CO62" si="389">CL16</f>
        <v>0</v>
      </c>
      <c r="CM62" s="51" t="b">
        <f t="shared" si="389"/>
        <v>0</v>
      </c>
      <c r="CN62" s="51" t="b">
        <f t="shared" si="389"/>
        <v>0</v>
      </c>
      <c r="CO62" s="51" t="b">
        <f t="shared" si="389"/>
        <v>0</v>
      </c>
      <c r="CP62" s="20" t="str">
        <f t="shared" si="96"/>
        <v/>
      </c>
      <c r="CQ62" s="51" t="str">
        <f t="shared" si="97"/>
        <v/>
      </c>
      <c r="CR62" s="20" t="str">
        <f t="shared" si="98"/>
        <v/>
      </c>
      <c r="CS62" s="51" t="b">
        <f t="shared" ref="CS62:CT62" si="390">CS16</f>
        <v>0</v>
      </c>
      <c r="CT62" s="51" t="b">
        <f t="shared" si="390"/>
        <v>0</v>
      </c>
      <c r="CU62" s="51" t="b">
        <f t="shared" ref="CU62:CV62" si="391">CU16</f>
        <v>0</v>
      </c>
      <c r="CV62" s="51" t="b">
        <f t="shared" si="391"/>
        <v>0</v>
      </c>
      <c r="CW62" s="20" t="str">
        <f t="shared" si="99"/>
        <v/>
      </c>
      <c r="CX62" s="51" t="str">
        <f t="shared" si="100"/>
        <v/>
      </c>
      <c r="CY62" s="20" t="str">
        <f t="shared" si="101"/>
        <v/>
      </c>
      <c r="CZ62" s="51" t="b">
        <f t="shared" ref="CZ62:DC62" si="392">CZ16</f>
        <v>0</v>
      </c>
      <c r="DA62" s="51" t="b">
        <f t="shared" si="392"/>
        <v>0</v>
      </c>
      <c r="DB62" s="51" t="b">
        <f t="shared" si="392"/>
        <v>0</v>
      </c>
      <c r="DC62" s="51" t="b">
        <f t="shared" si="392"/>
        <v>0</v>
      </c>
      <c r="DD62" s="51" t="str">
        <f t="shared" si="103"/>
        <v/>
      </c>
      <c r="DE62" s="19" t="str">
        <f t="shared" si="104"/>
        <v/>
      </c>
      <c r="DF62" s="20" t="str">
        <f t="shared" si="105"/>
        <v/>
      </c>
      <c r="DG62" s="51" t="b">
        <f t="shared" ref="DG62:DJ62" si="393">DG16</f>
        <v>0</v>
      </c>
      <c r="DH62" s="51" t="b">
        <f t="shared" si="393"/>
        <v>0</v>
      </c>
      <c r="DI62" s="51" t="b">
        <f t="shared" si="393"/>
        <v>0</v>
      </c>
      <c r="DJ62" s="51" t="b">
        <f t="shared" si="393"/>
        <v>0</v>
      </c>
      <c r="DK62" s="20" t="str">
        <f t="shared" si="107"/>
        <v/>
      </c>
      <c r="DL62" s="51" t="str">
        <f t="shared" si="108"/>
        <v/>
      </c>
      <c r="DM62" s="20" t="str">
        <f t="shared" si="109"/>
        <v/>
      </c>
      <c r="DN62" s="51" t="b">
        <f t="shared" ref="DN62:DO62" si="394">DN16</f>
        <v>0</v>
      </c>
      <c r="DO62" s="51" t="b">
        <f t="shared" si="394"/>
        <v>0</v>
      </c>
      <c r="DP62" s="51" t="b">
        <f t="shared" ref="DP62:DQ62" si="395">DP16</f>
        <v>0</v>
      </c>
      <c r="DQ62" s="51" t="b">
        <f t="shared" si="395"/>
        <v>0</v>
      </c>
      <c r="DR62" s="20" t="str">
        <f t="shared" si="110"/>
        <v/>
      </c>
      <c r="DS62" s="51" t="str">
        <f t="shared" si="111"/>
        <v/>
      </c>
      <c r="DT62" s="20" t="str">
        <f t="shared" si="112"/>
        <v/>
      </c>
      <c r="DU62" s="51" t="b">
        <f t="shared" ref="DU62:DX62" si="396">DU16</f>
        <v>0</v>
      </c>
      <c r="DV62" s="51" t="b">
        <f t="shared" si="396"/>
        <v>0</v>
      </c>
      <c r="DW62" s="51" t="b">
        <f t="shared" si="396"/>
        <v>0</v>
      </c>
      <c r="DX62" s="51" t="b">
        <f t="shared" si="396"/>
        <v>0</v>
      </c>
      <c r="DY62" s="51" t="str">
        <f t="shared" si="114"/>
        <v/>
      </c>
      <c r="DZ62" s="19" t="str">
        <f t="shared" si="115"/>
        <v/>
      </c>
      <c r="EA62" s="20" t="str">
        <f t="shared" si="116"/>
        <v/>
      </c>
      <c r="EB62" s="51" t="b">
        <f t="shared" ref="EB62:EE62" si="397">EB16</f>
        <v>0</v>
      </c>
      <c r="EC62" s="51" t="b">
        <f t="shared" si="397"/>
        <v>0</v>
      </c>
      <c r="ED62" s="51" t="b">
        <f t="shared" si="397"/>
        <v>0</v>
      </c>
      <c r="EE62" s="51" t="b">
        <f t="shared" si="397"/>
        <v>0</v>
      </c>
      <c r="EF62" s="20" t="str">
        <f t="shared" si="118"/>
        <v/>
      </c>
      <c r="EG62" s="51" t="str">
        <f t="shared" si="119"/>
        <v/>
      </c>
      <c r="EH62" s="20" t="str">
        <f t="shared" si="120"/>
        <v/>
      </c>
      <c r="EI62" s="51" t="b">
        <f t="shared" ref="EI62:EJ62" si="398">EI16</f>
        <v>0</v>
      </c>
      <c r="EJ62" s="51" t="b">
        <f t="shared" si="398"/>
        <v>0</v>
      </c>
      <c r="EK62" s="51" t="b">
        <f t="shared" ref="EK62:EL62" si="399">EK16</f>
        <v>0</v>
      </c>
      <c r="EL62" s="51" t="b">
        <f t="shared" si="399"/>
        <v>0</v>
      </c>
      <c r="EM62" s="20" t="str">
        <f t="shared" si="121"/>
        <v/>
      </c>
      <c r="EN62" s="51" t="str">
        <f t="shared" si="122"/>
        <v/>
      </c>
      <c r="EO62" s="20" t="str">
        <f t="shared" si="123"/>
        <v/>
      </c>
      <c r="EP62" s="51" t="b">
        <f t="shared" ref="EP62:ES62" si="400">EP16</f>
        <v>0</v>
      </c>
      <c r="EQ62" s="51" t="b">
        <f t="shared" si="400"/>
        <v>0</v>
      </c>
      <c r="ER62" s="51" t="b">
        <f t="shared" si="400"/>
        <v>0</v>
      </c>
      <c r="ES62" s="51" t="b">
        <f t="shared" si="400"/>
        <v>0</v>
      </c>
      <c r="ET62" s="51" t="str">
        <f t="shared" si="125"/>
        <v/>
      </c>
      <c r="EU62" s="19" t="str">
        <f t="shared" si="126"/>
        <v/>
      </c>
      <c r="EV62" s="20" t="str">
        <f t="shared" si="127"/>
        <v/>
      </c>
      <c r="EW62" s="51" t="b">
        <f t="shared" ref="EW62:EZ62" si="401">EW16</f>
        <v>0</v>
      </c>
      <c r="EX62" s="51" t="b">
        <f t="shared" si="401"/>
        <v>0</v>
      </c>
      <c r="EY62" s="51" t="b">
        <f t="shared" si="401"/>
        <v>0</v>
      </c>
      <c r="EZ62" s="51" t="b">
        <f t="shared" si="401"/>
        <v>0</v>
      </c>
      <c r="FA62" s="20" t="str">
        <f t="shared" si="129"/>
        <v/>
      </c>
      <c r="FB62" s="51" t="str">
        <f t="shared" si="130"/>
        <v/>
      </c>
      <c r="FC62" s="20" t="str">
        <f t="shared" si="131"/>
        <v/>
      </c>
      <c r="FD62" s="51" t="b">
        <f t="shared" ref="FD62:FE62" si="402">FD16</f>
        <v>0</v>
      </c>
      <c r="FE62" s="51" t="b">
        <f t="shared" si="402"/>
        <v>0</v>
      </c>
      <c r="FF62" s="51" t="b">
        <f t="shared" ref="FF62:FG62" si="403">FF16</f>
        <v>0</v>
      </c>
      <c r="FG62" s="51" t="b">
        <f t="shared" si="403"/>
        <v>0</v>
      </c>
      <c r="FH62" s="20" t="str">
        <f t="shared" si="132"/>
        <v/>
      </c>
      <c r="FI62" s="51" t="str">
        <f t="shared" si="133"/>
        <v/>
      </c>
      <c r="FJ62" s="20" t="str">
        <f t="shared" si="134"/>
        <v/>
      </c>
      <c r="FK62" s="51" t="b">
        <f t="shared" ref="FK62:FN62" si="404">FK16</f>
        <v>0</v>
      </c>
      <c r="FL62" s="51" t="b">
        <f t="shared" si="404"/>
        <v>0</v>
      </c>
      <c r="FM62" s="51" t="b">
        <f t="shared" si="404"/>
        <v>0</v>
      </c>
      <c r="FN62" s="51" t="b">
        <f t="shared" si="404"/>
        <v>0</v>
      </c>
      <c r="FO62" s="51" t="str">
        <f t="shared" si="136"/>
        <v/>
      </c>
      <c r="FP62" s="19" t="str">
        <f t="shared" si="137"/>
        <v/>
      </c>
      <c r="FQ62" s="20" t="str">
        <f t="shared" si="138"/>
        <v/>
      </c>
      <c r="FR62" s="51" t="b">
        <f t="shared" ref="FR62:FU62" si="405">FR16</f>
        <v>0</v>
      </c>
      <c r="FS62" s="51" t="b">
        <f t="shared" si="405"/>
        <v>0</v>
      </c>
      <c r="FT62" s="51" t="b">
        <f t="shared" si="405"/>
        <v>0</v>
      </c>
      <c r="FU62" s="51" t="b">
        <f t="shared" si="405"/>
        <v>0</v>
      </c>
      <c r="FV62" s="20" t="str">
        <f t="shared" si="140"/>
        <v/>
      </c>
      <c r="FW62" s="51" t="str">
        <f t="shared" si="141"/>
        <v/>
      </c>
      <c r="FX62" s="20" t="str">
        <f t="shared" si="142"/>
        <v/>
      </c>
      <c r="FY62" s="51" t="b">
        <f t="shared" ref="FY62:FZ62" si="406">FY16</f>
        <v>0</v>
      </c>
      <c r="FZ62" s="51" t="b">
        <f t="shared" si="406"/>
        <v>0</v>
      </c>
      <c r="GA62" s="51" t="b">
        <f t="shared" ref="GA62:GB62" si="407">GA16</f>
        <v>0</v>
      </c>
      <c r="GB62" s="51" t="b">
        <f t="shared" si="407"/>
        <v>0</v>
      </c>
      <c r="GC62" s="20" t="str">
        <f t="shared" si="143"/>
        <v/>
      </c>
      <c r="GD62" s="51" t="str">
        <f t="shared" si="144"/>
        <v/>
      </c>
      <c r="GE62" s="20" t="str">
        <f t="shared" si="145"/>
        <v/>
      </c>
      <c r="GF62" s="51" t="b">
        <f t="shared" ref="GF62:GI62" si="408">GF16</f>
        <v>0</v>
      </c>
      <c r="GG62" s="51" t="b">
        <f t="shared" si="408"/>
        <v>0</v>
      </c>
      <c r="GH62" s="51" t="b">
        <f t="shared" si="408"/>
        <v>0</v>
      </c>
      <c r="GI62" s="51" t="b">
        <f t="shared" si="408"/>
        <v>0</v>
      </c>
      <c r="GJ62" s="51" t="str">
        <f t="shared" si="147"/>
        <v/>
      </c>
      <c r="GK62" s="19" t="str">
        <f t="shared" si="148"/>
        <v/>
      </c>
      <c r="GL62" s="20" t="str">
        <f t="shared" si="149"/>
        <v/>
      </c>
      <c r="GM62" s="51" t="b">
        <f t="shared" ref="GM62:GP62" si="409">GM16</f>
        <v>0</v>
      </c>
      <c r="GN62" s="51" t="b">
        <f t="shared" si="409"/>
        <v>0</v>
      </c>
      <c r="GO62" s="51" t="b">
        <f t="shared" si="409"/>
        <v>0</v>
      </c>
      <c r="GP62" s="51" t="b">
        <f t="shared" si="409"/>
        <v>0</v>
      </c>
      <c r="GQ62" s="20" t="str">
        <f t="shared" si="151"/>
        <v/>
      </c>
      <c r="GR62" s="51" t="str">
        <f t="shared" si="152"/>
        <v/>
      </c>
      <c r="GS62" s="20" t="str">
        <f t="shared" si="153"/>
        <v/>
      </c>
      <c r="GT62" s="51" t="b">
        <f t="shared" ref="GT62:GU62" si="410">GT16</f>
        <v>0</v>
      </c>
      <c r="GU62" s="51" t="b">
        <f t="shared" si="410"/>
        <v>0</v>
      </c>
      <c r="GV62" s="51" t="b">
        <f t="shared" ref="GV62:GW62" si="411">GV16</f>
        <v>0</v>
      </c>
      <c r="GW62" s="51" t="b">
        <f t="shared" si="411"/>
        <v>0</v>
      </c>
      <c r="GX62" s="20" t="str">
        <f t="shared" si="154"/>
        <v/>
      </c>
      <c r="GY62" s="51" t="str">
        <f t="shared" si="155"/>
        <v/>
      </c>
      <c r="GZ62" s="20" t="str">
        <f t="shared" si="156"/>
        <v/>
      </c>
      <c r="HA62" s="51" t="b">
        <f t="shared" ref="HA62:HD62" si="412">HA16</f>
        <v>0</v>
      </c>
      <c r="HB62" s="51" t="b">
        <f t="shared" si="412"/>
        <v>0</v>
      </c>
      <c r="HC62" s="51" t="b">
        <f t="shared" si="412"/>
        <v>0</v>
      </c>
      <c r="HD62" s="51" t="b">
        <f t="shared" si="412"/>
        <v>0</v>
      </c>
      <c r="HE62" s="51" t="str">
        <f t="shared" si="158"/>
        <v/>
      </c>
      <c r="HF62" s="19" t="str">
        <f t="shared" si="159"/>
        <v/>
      </c>
      <c r="HG62" s="20" t="str">
        <f t="shared" si="160"/>
        <v/>
      </c>
      <c r="HH62" s="51" t="b">
        <f t="shared" ref="HH62:HK62" si="413">HH16</f>
        <v>0</v>
      </c>
      <c r="HI62" s="51" t="b">
        <f t="shared" si="413"/>
        <v>0</v>
      </c>
      <c r="HJ62" s="51" t="b">
        <f t="shared" si="413"/>
        <v>0</v>
      </c>
      <c r="HK62" s="51" t="b">
        <f t="shared" si="413"/>
        <v>0</v>
      </c>
      <c r="HL62" s="20" t="str">
        <f t="shared" si="162"/>
        <v/>
      </c>
      <c r="HM62" s="51" t="str">
        <f t="shared" si="163"/>
        <v/>
      </c>
      <c r="HN62" s="20" t="str">
        <f t="shared" si="164"/>
        <v/>
      </c>
      <c r="HO62" s="51" t="b">
        <f t="shared" ref="HO62:HP62" si="414">HO16</f>
        <v>0</v>
      </c>
      <c r="HP62" s="51" t="b">
        <f t="shared" si="414"/>
        <v>0</v>
      </c>
      <c r="HQ62" s="51" t="b">
        <f t="shared" ref="HQ62:HR62" si="415">HQ16</f>
        <v>0</v>
      </c>
      <c r="HR62" s="51" t="b">
        <f t="shared" si="415"/>
        <v>0</v>
      </c>
      <c r="HS62" s="20" t="str">
        <f t="shared" si="165"/>
        <v/>
      </c>
      <c r="HT62" s="51" t="str">
        <f t="shared" si="166"/>
        <v/>
      </c>
      <c r="HU62" s="20" t="str">
        <f t="shared" si="167"/>
        <v/>
      </c>
      <c r="HV62" s="51" t="b">
        <f t="shared" ref="HV62:HY62" si="416">HV16</f>
        <v>0</v>
      </c>
      <c r="HW62" s="51" t="b">
        <f t="shared" si="416"/>
        <v>0</v>
      </c>
      <c r="HX62" s="51" t="b">
        <f t="shared" si="416"/>
        <v>0</v>
      </c>
      <c r="HY62" s="51" t="b">
        <f t="shared" si="416"/>
        <v>0</v>
      </c>
      <c r="HZ62" s="51" t="str">
        <f t="shared" si="169"/>
        <v/>
      </c>
      <c r="IA62" s="19" t="str">
        <f t="shared" si="170"/>
        <v/>
      </c>
      <c r="IB62" s="20" t="str">
        <f t="shared" si="171"/>
        <v/>
      </c>
      <c r="IC62" s="51" t="b">
        <f t="shared" ref="IC62:IF62" si="417">IC16</f>
        <v>0</v>
      </c>
      <c r="ID62" s="51" t="b">
        <f t="shared" si="417"/>
        <v>0</v>
      </c>
      <c r="IE62" s="51" t="b">
        <f t="shared" si="417"/>
        <v>0</v>
      </c>
      <c r="IF62" s="51" t="b">
        <f t="shared" si="417"/>
        <v>0</v>
      </c>
      <c r="IG62" s="20" t="str">
        <f t="shared" si="173"/>
        <v/>
      </c>
      <c r="IH62" s="51" t="str">
        <f t="shared" si="174"/>
        <v/>
      </c>
      <c r="II62" s="20" t="str">
        <f t="shared" si="175"/>
        <v/>
      </c>
      <c r="IJ62" s="51" t="b">
        <f t="shared" ref="IJ62:IK62" si="418">IJ16</f>
        <v>0</v>
      </c>
      <c r="IK62" s="51" t="b">
        <f t="shared" si="418"/>
        <v>0</v>
      </c>
      <c r="IL62" s="51" t="b">
        <f t="shared" ref="IL62:IM62" si="419">IL16</f>
        <v>0</v>
      </c>
      <c r="IM62" s="51" t="b">
        <f t="shared" si="419"/>
        <v>0</v>
      </c>
      <c r="IN62" s="20" t="str">
        <f t="shared" si="176"/>
        <v/>
      </c>
      <c r="IO62" s="51" t="str">
        <f t="shared" si="177"/>
        <v/>
      </c>
      <c r="IP62" s="20" t="str">
        <f t="shared" si="178"/>
        <v/>
      </c>
      <c r="IQ62" s="51" t="b">
        <f t="shared" ref="IQ62:IT62" si="420">IQ16</f>
        <v>0</v>
      </c>
      <c r="IR62" s="51" t="b">
        <f t="shared" si="420"/>
        <v>0</v>
      </c>
      <c r="IS62" s="51" t="b">
        <f t="shared" si="420"/>
        <v>0</v>
      </c>
      <c r="IT62" s="51" t="b">
        <f t="shared" si="420"/>
        <v>0</v>
      </c>
      <c r="IU62" s="51" t="str">
        <f t="shared" si="180"/>
        <v/>
      </c>
      <c r="IV62" s="116"/>
    </row>
    <row r="63" spans="1:256" x14ac:dyDescent="0.2">
      <c r="A63" s="13" t="str">
        <f t="shared" si="47"/>
        <v/>
      </c>
      <c r="B63" s="14" t="str">
        <f t="shared" si="47"/>
        <v/>
      </c>
      <c r="C63">
        <v>8</v>
      </c>
      <c r="D63" s="19" t="str">
        <f t="shared" si="48"/>
        <v/>
      </c>
      <c r="E63" s="20" t="str">
        <f t="shared" si="49"/>
        <v/>
      </c>
      <c r="F63" s="51" t="str">
        <f t="shared" si="50"/>
        <v>FALSE</v>
      </c>
      <c r="G63" s="51" t="str">
        <f t="shared" si="50"/>
        <v>FALSE</v>
      </c>
      <c r="H63" s="51" t="str">
        <f t="shared" si="50"/>
        <v>FALSE</v>
      </c>
      <c r="I63" s="51" t="str">
        <f t="shared" si="50"/>
        <v>FALSE</v>
      </c>
      <c r="J63" s="20" t="str">
        <f t="shared" si="51"/>
        <v/>
      </c>
      <c r="K63" s="51" t="str">
        <f t="shared" si="52"/>
        <v/>
      </c>
      <c r="L63" s="20" t="str">
        <f t="shared" si="53"/>
        <v/>
      </c>
      <c r="M63" s="51" t="str">
        <f t="shared" si="54"/>
        <v>FALSE</v>
      </c>
      <c r="N63" s="51" t="str">
        <f t="shared" si="54"/>
        <v>FALSE</v>
      </c>
      <c r="O63" s="51" t="str">
        <f t="shared" si="54"/>
        <v>FALSE</v>
      </c>
      <c r="P63" s="51" t="str">
        <f t="shared" si="54"/>
        <v>FALSE</v>
      </c>
      <c r="Q63" s="20" t="str">
        <f t="shared" si="55"/>
        <v/>
      </c>
      <c r="R63" s="51" t="str">
        <f t="shared" si="56"/>
        <v/>
      </c>
      <c r="S63" s="51" t="str">
        <f t="shared" si="57"/>
        <v/>
      </c>
      <c r="T63" s="51" t="str">
        <f t="shared" si="58"/>
        <v>FALSE</v>
      </c>
      <c r="U63" s="51" t="str">
        <f t="shared" si="58"/>
        <v>FALSE</v>
      </c>
      <c r="V63" s="51" t="str">
        <f t="shared" si="58"/>
        <v>FALSE</v>
      </c>
      <c r="W63" s="51" t="str">
        <f t="shared" si="58"/>
        <v>FALSE</v>
      </c>
      <c r="X63" s="22" t="str">
        <f t="shared" si="59"/>
        <v/>
      </c>
      <c r="Y63" s="19" t="str">
        <f t="shared" si="60"/>
        <v/>
      </c>
      <c r="Z63" s="20" t="str">
        <f t="shared" si="61"/>
        <v/>
      </c>
      <c r="AA63" s="51" t="str">
        <f t="shared" si="62"/>
        <v>FALSE</v>
      </c>
      <c r="AB63" s="51" t="str">
        <f t="shared" si="62"/>
        <v>FALSE</v>
      </c>
      <c r="AC63" s="51" t="str">
        <f t="shared" si="62"/>
        <v>FALSE</v>
      </c>
      <c r="AD63" s="51" t="str">
        <f t="shared" si="62"/>
        <v>FALSE</v>
      </c>
      <c r="AE63" s="20" t="str">
        <f t="shared" si="63"/>
        <v/>
      </c>
      <c r="AF63" s="51" t="str">
        <f t="shared" si="64"/>
        <v/>
      </c>
      <c r="AG63" s="20" t="str">
        <f t="shared" si="65"/>
        <v/>
      </c>
      <c r="AH63" s="51" t="str">
        <f t="shared" ref="AH63:AK63" si="421">AH17</f>
        <v>FALSE</v>
      </c>
      <c r="AI63" s="51" t="str">
        <f t="shared" si="421"/>
        <v>FALSE</v>
      </c>
      <c r="AJ63" s="51" t="str">
        <f t="shared" si="421"/>
        <v>FALSE</v>
      </c>
      <c r="AK63" s="51" t="str">
        <f t="shared" si="421"/>
        <v>FALSE</v>
      </c>
      <c r="AL63" s="20" t="str">
        <f t="shared" si="66"/>
        <v/>
      </c>
      <c r="AM63" s="51" t="str">
        <f t="shared" si="67"/>
        <v/>
      </c>
      <c r="AN63" s="20" t="str">
        <f t="shared" si="68"/>
        <v/>
      </c>
      <c r="AO63" s="51" t="str">
        <f t="shared" si="69"/>
        <v>FALSE</v>
      </c>
      <c r="AP63" s="51" t="str">
        <f t="shared" si="69"/>
        <v>FALSE</v>
      </c>
      <c r="AQ63" s="51" t="str">
        <f t="shared" si="69"/>
        <v>FALSE</v>
      </c>
      <c r="AR63" s="51" t="str">
        <f t="shared" si="69"/>
        <v>FALSE</v>
      </c>
      <c r="AS63" s="51" t="str">
        <f t="shared" si="70"/>
        <v/>
      </c>
      <c r="AT63" s="19" t="str">
        <f t="shared" si="71"/>
        <v/>
      </c>
      <c r="AU63" s="20" t="str">
        <f t="shared" si="72"/>
        <v/>
      </c>
      <c r="AV63" s="51" t="str">
        <f t="shared" ref="AV63:AY63" si="422">AV17</f>
        <v>FALSE</v>
      </c>
      <c r="AW63" s="51" t="str">
        <f t="shared" si="422"/>
        <v>FALSE</v>
      </c>
      <c r="AX63" s="51" t="str">
        <f t="shared" si="422"/>
        <v>FALSE</v>
      </c>
      <c r="AY63" s="51" t="str">
        <f t="shared" si="422"/>
        <v>FALSE</v>
      </c>
      <c r="AZ63" s="20" t="str">
        <f t="shared" si="74"/>
        <v/>
      </c>
      <c r="BA63" s="51" t="str">
        <f t="shared" si="75"/>
        <v/>
      </c>
      <c r="BB63" s="20" t="str">
        <f t="shared" si="76"/>
        <v/>
      </c>
      <c r="BC63" s="51" t="str">
        <f t="shared" ref="BC63:BF63" si="423">BC17</f>
        <v>FALSE</v>
      </c>
      <c r="BD63" s="51" t="str">
        <f t="shared" si="423"/>
        <v>FALSE</v>
      </c>
      <c r="BE63" s="51" t="str">
        <f t="shared" si="423"/>
        <v>FALSE</v>
      </c>
      <c r="BF63" s="51" t="str">
        <f t="shared" si="423"/>
        <v>FALSE</v>
      </c>
      <c r="BG63" s="20" t="str">
        <f t="shared" si="77"/>
        <v/>
      </c>
      <c r="BH63" s="51" t="str">
        <f t="shared" si="78"/>
        <v/>
      </c>
      <c r="BI63" s="20" t="str">
        <f t="shared" si="79"/>
        <v/>
      </c>
      <c r="BJ63" s="51" t="str">
        <f t="shared" ref="BJ63:BM63" si="424">BJ17</f>
        <v>FALSE</v>
      </c>
      <c r="BK63" s="51" t="str">
        <f t="shared" si="424"/>
        <v>FALSE</v>
      </c>
      <c r="BL63" s="51" t="str">
        <f t="shared" si="424"/>
        <v>FALSE</v>
      </c>
      <c r="BM63" s="51" t="str">
        <f t="shared" si="424"/>
        <v>FALSE</v>
      </c>
      <c r="BN63" s="51" t="str">
        <f t="shared" si="81"/>
        <v/>
      </c>
      <c r="BO63" s="19" t="str">
        <f t="shared" si="82"/>
        <v/>
      </c>
      <c r="BP63" s="20" t="str">
        <f t="shared" si="83"/>
        <v/>
      </c>
      <c r="BQ63" s="51" t="b">
        <f t="shared" ref="BQ63:BT63" si="425">BQ17</f>
        <v>0</v>
      </c>
      <c r="BR63" s="51" t="b">
        <f t="shared" si="425"/>
        <v>0</v>
      </c>
      <c r="BS63" s="51" t="b">
        <f t="shared" si="425"/>
        <v>0</v>
      </c>
      <c r="BT63" s="51" t="b">
        <f t="shared" si="425"/>
        <v>0</v>
      </c>
      <c r="BU63" s="20" t="str">
        <f t="shared" si="85"/>
        <v/>
      </c>
      <c r="BV63" s="51" t="str">
        <f t="shared" si="86"/>
        <v/>
      </c>
      <c r="BW63" s="20" t="str">
        <f t="shared" si="87"/>
        <v/>
      </c>
      <c r="BX63" s="51" t="b">
        <f t="shared" ref="BX63:BY63" si="426">BX17</f>
        <v>0</v>
      </c>
      <c r="BY63" s="51" t="b">
        <f t="shared" si="426"/>
        <v>0</v>
      </c>
      <c r="BZ63" s="51" t="b">
        <f t="shared" ref="BZ63:CA63" si="427">BZ17</f>
        <v>0</v>
      </c>
      <c r="CA63" s="51" t="b">
        <f t="shared" si="427"/>
        <v>0</v>
      </c>
      <c r="CB63" s="20" t="str">
        <f t="shared" si="88"/>
        <v/>
      </c>
      <c r="CC63" s="51" t="str">
        <f t="shared" si="89"/>
        <v/>
      </c>
      <c r="CD63" s="20" t="str">
        <f t="shared" si="90"/>
        <v/>
      </c>
      <c r="CE63" s="51" t="b">
        <f t="shared" ref="CE63:CH63" si="428">CE17</f>
        <v>0</v>
      </c>
      <c r="CF63" s="51" t="b">
        <f t="shared" si="428"/>
        <v>0</v>
      </c>
      <c r="CG63" s="51" t="b">
        <f t="shared" si="428"/>
        <v>0</v>
      </c>
      <c r="CH63" s="51" t="b">
        <f t="shared" si="428"/>
        <v>0</v>
      </c>
      <c r="CI63" s="51" t="str">
        <f t="shared" si="92"/>
        <v/>
      </c>
      <c r="CJ63" s="19" t="str">
        <f t="shared" si="93"/>
        <v/>
      </c>
      <c r="CK63" s="20" t="str">
        <f t="shared" si="94"/>
        <v/>
      </c>
      <c r="CL63" s="51" t="b">
        <f t="shared" ref="CL63:CO63" si="429">CL17</f>
        <v>0</v>
      </c>
      <c r="CM63" s="51" t="b">
        <f t="shared" si="429"/>
        <v>0</v>
      </c>
      <c r="CN63" s="51" t="b">
        <f t="shared" si="429"/>
        <v>0</v>
      </c>
      <c r="CO63" s="51" t="b">
        <f t="shared" si="429"/>
        <v>0</v>
      </c>
      <c r="CP63" s="20" t="str">
        <f t="shared" si="96"/>
        <v/>
      </c>
      <c r="CQ63" s="51" t="str">
        <f t="shared" si="97"/>
        <v/>
      </c>
      <c r="CR63" s="20" t="str">
        <f t="shared" si="98"/>
        <v/>
      </c>
      <c r="CS63" s="51" t="b">
        <f t="shared" ref="CS63:CT63" si="430">CS17</f>
        <v>0</v>
      </c>
      <c r="CT63" s="51" t="b">
        <f t="shared" si="430"/>
        <v>0</v>
      </c>
      <c r="CU63" s="51" t="b">
        <f t="shared" ref="CU63:CV63" si="431">CU17</f>
        <v>0</v>
      </c>
      <c r="CV63" s="51" t="b">
        <f t="shared" si="431"/>
        <v>0</v>
      </c>
      <c r="CW63" s="20" t="str">
        <f t="shared" si="99"/>
        <v/>
      </c>
      <c r="CX63" s="51" t="str">
        <f t="shared" si="100"/>
        <v/>
      </c>
      <c r="CY63" s="20" t="str">
        <f t="shared" si="101"/>
        <v/>
      </c>
      <c r="CZ63" s="51" t="b">
        <f t="shared" ref="CZ63:DC63" si="432">CZ17</f>
        <v>0</v>
      </c>
      <c r="DA63" s="51" t="b">
        <f t="shared" si="432"/>
        <v>0</v>
      </c>
      <c r="DB63" s="51" t="b">
        <f t="shared" si="432"/>
        <v>0</v>
      </c>
      <c r="DC63" s="51" t="b">
        <f t="shared" si="432"/>
        <v>0</v>
      </c>
      <c r="DD63" s="51" t="str">
        <f t="shared" si="103"/>
        <v/>
      </c>
      <c r="DE63" s="19" t="str">
        <f t="shared" si="104"/>
        <v/>
      </c>
      <c r="DF63" s="20" t="str">
        <f t="shared" si="105"/>
        <v/>
      </c>
      <c r="DG63" s="51" t="b">
        <f t="shared" ref="DG63:DJ63" si="433">DG17</f>
        <v>0</v>
      </c>
      <c r="DH63" s="51" t="b">
        <f t="shared" si="433"/>
        <v>0</v>
      </c>
      <c r="DI63" s="51" t="b">
        <f t="shared" si="433"/>
        <v>0</v>
      </c>
      <c r="DJ63" s="51" t="b">
        <f t="shared" si="433"/>
        <v>0</v>
      </c>
      <c r="DK63" s="20" t="str">
        <f t="shared" si="107"/>
        <v/>
      </c>
      <c r="DL63" s="51" t="str">
        <f t="shared" si="108"/>
        <v/>
      </c>
      <c r="DM63" s="20" t="str">
        <f t="shared" si="109"/>
        <v/>
      </c>
      <c r="DN63" s="51" t="b">
        <f t="shared" ref="DN63:DO63" si="434">DN17</f>
        <v>0</v>
      </c>
      <c r="DO63" s="51" t="b">
        <f t="shared" si="434"/>
        <v>0</v>
      </c>
      <c r="DP63" s="51" t="b">
        <f t="shared" ref="DP63:DQ63" si="435">DP17</f>
        <v>0</v>
      </c>
      <c r="DQ63" s="51" t="b">
        <f t="shared" si="435"/>
        <v>0</v>
      </c>
      <c r="DR63" s="20" t="str">
        <f t="shared" si="110"/>
        <v/>
      </c>
      <c r="DS63" s="51" t="str">
        <f t="shared" si="111"/>
        <v/>
      </c>
      <c r="DT63" s="20" t="str">
        <f t="shared" si="112"/>
        <v/>
      </c>
      <c r="DU63" s="51" t="b">
        <f t="shared" ref="DU63:DX63" si="436">DU17</f>
        <v>0</v>
      </c>
      <c r="DV63" s="51" t="b">
        <f t="shared" si="436"/>
        <v>0</v>
      </c>
      <c r="DW63" s="51" t="b">
        <f t="shared" si="436"/>
        <v>0</v>
      </c>
      <c r="DX63" s="51" t="b">
        <f t="shared" si="436"/>
        <v>0</v>
      </c>
      <c r="DY63" s="51" t="str">
        <f t="shared" si="114"/>
        <v/>
      </c>
      <c r="DZ63" s="19" t="str">
        <f t="shared" si="115"/>
        <v/>
      </c>
      <c r="EA63" s="20" t="str">
        <f t="shared" si="116"/>
        <v/>
      </c>
      <c r="EB63" s="51" t="b">
        <f t="shared" ref="EB63:EE63" si="437">EB17</f>
        <v>0</v>
      </c>
      <c r="EC63" s="51" t="b">
        <f t="shared" si="437"/>
        <v>0</v>
      </c>
      <c r="ED63" s="51" t="b">
        <f t="shared" si="437"/>
        <v>0</v>
      </c>
      <c r="EE63" s="51" t="b">
        <f t="shared" si="437"/>
        <v>0</v>
      </c>
      <c r="EF63" s="20" t="str">
        <f t="shared" si="118"/>
        <v/>
      </c>
      <c r="EG63" s="51" t="str">
        <f t="shared" si="119"/>
        <v/>
      </c>
      <c r="EH63" s="20" t="str">
        <f t="shared" si="120"/>
        <v/>
      </c>
      <c r="EI63" s="51" t="b">
        <f t="shared" ref="EI63:EJ63" si="438">EI17</f>
        <v>0</v>
      </c>
      <c r="EJ63" s="51" t="b">
        <f t="shared" si="438"/>
        <v>0</v>
      </c>
      <c r="EK63" s="51" t="b">
        <f t="shared" ref="EK63:EL63" si="439">EK17</f>
        <v>0</v>
      </c>
      <c r="EL63" s="51" t="b">
        <f t="shared" si="439"/>
        <v>0</v>
      </c>
      <c r="EM63" s="20" t="str">
        <f t="shared" si="121"/>
        <v/>
      </c>
      <c r="EN63" s="51" t="str">
        <f t="shared" si="122"/>
        <v/>
      </c>
      <c r="EO63" s="20" t="str">
        <f t="shared" si="123"/>
        <v/>
      </c>
      <c r="EP63" s="51" t="b">
        <f t="shared" ref="EP63:ES63" si="440">EP17</f>
        <v>0</v>
      </c>
      <c r="EQ63" s="51" t="b">
        <f t="shared" si="440"/>
        <v>0</v>
      </c>
      <c r="ER63" s="51" t="b">
        <f t="shared" si="440"/>
        <v>0</v>
      </c>
      <c r="ES63" s="51" t="b">
        <f t="shared" si="440"/>
        <v>0</v>
      </c>
      <c r="ET63" s="51" t="str">
        <f t="shared" si="125"/>
        <v/>
      </c>
      <c r="EU63" s="19" t="str">
        <f t="shared" si="126"/>
        <v/>
      </c>
      <c r="EV63" s="20" t="str">
        <f t="shared" si="127"/>
        <v/>
      </c>
      <c r="EW63" s="51" t="b">
        <f t="shared" ref="EW63:EZ63" si="441">EW17</f>
        <v>0</v>
      </c>
      <c r="EX63" s="51" t="b">
        <f t="shared" si="441"/>
        <v>0</v>
      </c>
      <c r="EY63" s="51" t="b">
        <f t="shared" si="441"/>
        <v>0</v>
      </c>
      <c r="EZ63" s="51" t="b">
        <f t="shared" si="441"/>
        <v>0</v>
      </c>
      <c r="FA63" s="20" t="str">
        <f t="shared" si="129"/>
        <v/>
      </c>
      <c r="FB63" s="51" t="str">
        <f t="shared" si="130"/>
        <v/>
      </c>
      <c r="FC63" s="20" t="str">
        <f t="shared" si="131"/>
        <v/>
      </c>
      <c r="FD63" s="51" t="b">
        <f t="shared" ref="FD63:FE63" si="442">FD17</f>
        <v>0</v>
      </c>
      <c r="FE63" s="51" t="b">
        <f t="shared" si="442"/>
        <v>0</v>
      </c>
      <c r="FF63" s="51" t="b">
        <f t="shared" ref="FF63:FG63" si="443">FF17</f>
        <v>0</v>
      </c>
      <c r="FG63" s="51" t="b">
        <f t="shared" si="443"/>
        <v>0</v>
      </c>
      <c r="FH63" s="20" t="str">
        <f t="shared" si="132"/>
        <v/>
      </c>
      <c r="FI63" s="51" t="str">
        <f t="shared" si="133"/>
        <v/>
      </c>
      <c r="FJ63" s="20" t="str">
        <f t="shared" si="134"/>
        <v/>
      </c>
      <c r="FK63" s="51" t="b">
        <f t="shared" ref="FK63:FN63" si="444">FK17</f>
        <v>0</v>
      </c>
      <c r="FL63" s="51" t="b">
        <f t="shared" si="444"/>
        <v>0</v>
      </c>
      <c r="FM63" s="51" t="b">
        <f t="shared" si="444"/>
        <v>0</v>
      </c>
      <c r="FN63" s="51" t="b">
        <f t="shared" si="444"/>
        <v>0</v>
      </c>
      <c r="FO63" s="51" t="str">
        <f t="shared" si="136"/>
        <v/>
      </c>
      <c r="FP63" s="19" t="str">
        <f t="shared" si="137"/>
        <v/>
      </c>
      <c r="FQ63" s="20" t="str">
        <f t="shared" si="138"/>
        <v/>
      </c>
      <c r="FR63" s="51" t="b">
        <f t="shared" ref="FR63:FU63" si="445">FR17</f>
        <v>0</v>
      </c>
      <c r="FS63" s="51" t="b">
        <f t="shared" si="445"/>
        <v>0</v>
      </c>
      <c r="FT63" s="51" t="b">
        <f t="shared" si="445"/>
        <v>0</v>
      </c>
      <c r="FU63" s="51" t="b">
        <f t="shared" si="445"/>
        <v>0</v>
      </c>
      <c r="FV63" s="20" t="str">
        <f t="shared" si="140"/>
        <v/>
      </c>
      <c r="FW63" s="51" t="str">
        <f t="shared" si="141"/>
        <v/>
      </c>
      <c r="FX63" s="20" t="str">
        <f t="shared" si="142"/>
        <v/>
      </c>
      <c r="FY63" s="51" t="b">
        <f t="shared" ref="FY63:FZ63" si="446">FY17</f>
        <v>0</v>
      </c>
      <c r="FZ63" s="51" t="b">
        <f t="shared" si="446"/>
        <v>0</v>
      </c>
      <c r="GA63" s="51" t="b">
        <f t="shared" ref="GA63:GB63" si="447">GA17</f>
        <v>0</v>
      </c>
      <c r="GB63" s="51" t="b">
        <f t="shared" si="447"/>
        <v>0</v>
      </c>
      <c r="GC63" s="20" t="str">
        <f t="shared" si="143"/>
        <v/>
      </c>
      <c r="GD63" s="51" t="str">
        <f t="shared" si="144"/>
        <v/>
      </c>
      <c r="GE63" s="20" t="str">
        <f t="shared" si="145"/>
        <v/>
      </c>
      <c r="GF63" s="51" t="b">
        <f t="shared" ref="GF63:GI63" si="448">GF17</f>
        <v>0</v>
      </c>
      <c r="GG63" s="51" t="b">
        <f t="shared" si="448"/>
        <v>0</v>
      </c>
      <c r="GH63" s="51" t="b">
        <f t="shared" si="448"/>
        <v>0</v>
      </c>
      <c r="GI63" s="51" t="b">
        <f t="shared" si="448"/>
        <v>0</v>
      </c>
      <c r="GJ63" s="51" t="str">
        <f t="shared" si="147"/>
        <v/>
      </c>
      <c r="GK63" s="19" t="str">
        <f t="shared" si="148"/>
        <v/>
      </c>
      <c r="GL63" s="20" t="str">
        <f t="shared" si="149"/>
        <v/>
      </c>
      <c r="GM63" s="51" t="b">
        <f t="shared" ref="GM63:GP63" si="449">GM17</f>
        <v>0</v>
      </c>
      <c r="GN63" s="51" t="b">
        <f t="shared" si="449"/>
        <v>0</v>
      </c>
      <c r="GO63" s="51" t="b">
        <f t="shared" si="449"/>
        <v>0</v>
      </c>
      <c r="GP63" s="51" t="b">
        <f t="shared" si="449"/>
        <v>0</v>
      </c>
      <c r="GQ63" s="20" t="str">
        <f t="shared" si="151"/>
        <v/>
      </c>
      <c r="GR63" s="51" t="str">
        <f t="shared" si="152"/>
        <v/>
      </c>
      <c r="GS63" s="20" t="str">
        <f t="shared" si="153"/>
        <v/>
      </c>
      <c r="GT63" s="51" t="b">
        <f t="shared" ref="GT63:GU63" si="450">GT17</f>
        <v>0</v>
      </c>
      <c r="GU63" s="51" t="b">
        <f t="shared" si="450"/>
        <v>0</v>
      </c>
      <c r="GV63" s="51" t="b">
        <f t="shared" ref="GV63:GW63" si="451">GV17</f>
        <v>0</v>
      </c>
      <c r="GW63" s="51" t="b">
        <f t="shared" si="451"/>
        <v>0</v>
      </c>
      <c r="GX63" s="20" t="str">
        <f t="shared" si="154"/>
        <v/>
      </c>
      <c r="GY63" s="51" t="str">
        <f t="shared" si="155"/>
        <v/>
      </c>
      <c r="GZ63" s="20" t="str">
        <f t="shared" si="156"/>
        <v/>
      </c>
      <c r="HA63" s="51" t="b">
        <f t="shared" ref="HA63:HD63" si="452">HA17</f>
        <v>0</v>
      </c>
      <c r="HB63" s="51" t="b">
        <f t="shared" si="452"/>
        <v>0</v>
      </c>
      <c r="HC63" s="51" t="b">
        <f t="shared" si="452"/>
        <v>0</v>
      </c>
      <c r="HD63" s="51" t="b">
        <f t="shared" si="452"/>
        <v>0</v>
      </c>
      <c r="HE63" s="51" t="str">
        <f t="shared" si="158"/>
        <v/>
      </c>
      <c r="HF63" s="19" t="str">
        <f t="shared" si="159"/>
        <v/>
      </c>
      <c r="HG63" s="20" t="str">
        <f t="shared" si="160"/>
        <v/>
      </c>
      <c r="HH63" s="51" t="b">
        <f t="shared" ref="HH63:HK63" si="453">HH17</f>
        <v>0</v>
      </c>
      <c r="HI63" s="51" t="b">
        <f t="shared" si="453"/>
        <v>0</v>
      </c>
      <c r="HJ63" s="51" t="b">
        <f t="shared" si="453"/>
        <v>0</v>
      </c>
      <c r="HK63" s="51" t="b">
        <f t="shared" si="453"/>
        <v>0</v>
      </c>
      <c r="HL63" s="20" t="str">
        <f t="shared" si="162"/>
        <v/>
      </c>
      <c r="HM63" s="51" t="str">
        <f t="shared" si="163"/>
        <v/>
      </c>
      <c r="HN63" s="20" t="str">
        <f t="shared" si="164"/>
        <v/>
      </c>
      <c r="HO63" s="51" t="b">
        <f t="shared" ref="HO63:HP63" si="454">HO17</f>
        <v>0</v>
      </c>
      <c r="HP63" s="51" t="b">
        <f t="shared" si="454"/>
        <v>0</v>
      </c>
      <c r="HQ63" s="51" t="b">
        <f t="shared" ref="HQ63:HR63" si="455">HQ17</f>
        <v>0</v>
      </c>
      <c r="HR63" s="51" t="b">
        <f t="shared" si="455"/>
        <v>0</v>
      </c>
      <c r="HS63" s="20" t="str">
        <f t="shared" si="165"/>
        <v/>
      </c>
      <c r="HT63" s="51" t="str">
        <f t="shared" si="166"/>
        <v/>
      </c>
      <c r="HU63" s="20" t="str">
        <f t="shared" si="167"/>
        <v/>
      </c>
      <c r="HV63" s="51" t="b">
        <f t="shared" ref="HV63:HY63" si="456">HV17</f>
        <v>0</v>
      </c>
      <c r="HW63" s="51" t="b">
        <f t="shared" si="456"/>
        <v>0</v>
      </c>
      <c r="HX63" s="51" t="b">
        <f t="shared" si="456"/>
        <v>0</v>
      </c>
      <c r="HY63" s="51" t="b">
        <f t="shared" si="456"/>
        <v>0</v>
      </c>
      <c r="HZ63" s="51" t="str">
        <f t="shared" si="169"/>
        <v/>
      </c>
      <c r="IA63" s="19" t="str">
        <f t="shared" si="170"/>
        <v/>
      </c>
      <c r="IB63" s="20" t="str">
        <f t="shared" si="171"/>
        <v/>
      </c>
      <c r="IC63" s="51" t="b">
        <f t="shared" ref="IC63:IF63" si="457">IC17</f>
        <v>0</v>
      </c>
      <c r="ID63" s="51" t="b">
        <f t="shared" si="457"/>
        <v>0</v>
      </c>
      <c r="IE63" s="51" t="b">
        <f t="shared" si="457"/>
        <v>0</v>
      </c>
      <c r="IF63" s="51" t="b">
        <f t="shared" si="457"/>
        <v>0</v>
      </c>
      <c r="IG63" s="20" t="str">
        <f t="shared" si="173"/>
        <v/>
      </c>
      <c r="IH63" s="51" t="str">
        <f t="shared" si="174"/>
        <v/>
      </c>
      <c r="II63" s="20" t="str">
        <f t="shared" si="175"/>
        <v/>
      </c>
      <c r="IJ63" s="51" t="b">
        <f t="shared" ref="IJ63:IK63" si="458">IJ17</f>
        <v>0</v>
      </c>
      <c r="IK63" s="51" t="b">
        <f t="shared" si="458"/>
        <v>0</v>
      </c>
      <c r="IL63" s="51" t="b">
        <f t="shared" ref="IL63:IM63" si="459">IL17</f>
        <v>0</v>
      </c>
      <c r="IM63" s="51" t="b">
        <f t="shared" si="459"/>
        <v>0</v>
      </c>
      <c r="IN63" s="20" t="str">
        <f t="shared" si="176"/>
        <v/>
      </c>
      <c r="IO63" s="51" t="str">
        <f t="shared" si="177"/>
        <v/>
      </c>
      <c r="IP63" s="20" t="str">
        <f t="shared" si="178"/>
        <v/>
      </c>
      <c r="IQ63" s="51" t="b">
        <f t="shared" ref="IQ63:IT63" si="460">IQ17</f>
        <v>0</v>
      </c>
      <c r="IR63" s="51" t="b">
        <f t="shared" si="460"/>
        <v>0</v>
      </c>
      <c r="IS63" s="51" t="b">
        <f t="shared" si="460"/>
        <v>0</v>
      </c>
      <c r="IT63" s="51" t="b">
        <f t="shared" si="460"/>
        <v>0</v>
      </c>
      <c r="IU63" s="51" t="str">
        <f t="shared" si="180"/>
        <v/>
      </c>
      <c r="IV63" s="116"/>
    </row>
    <row r="64" spans="1:256" x14ac:dyDescent="0.2">
      <c r="A64" s="13" t="str">
        <f t="shared" si="47"/>
        <v/>
      </c>
      <c r="B64" s="14" t="str">
        <f t="shared" si="47"/>
        <v/>
      </c>
      <c r="C64">
        <v>9</v>
      </c>
      <c r="D64" s="19" t="str">
        <f t="shared" si="48"/>
        <v/>
      </c>
      <c r="E64" s="20" t="str">
        <f t="shared" si="49"/>
        <v/>
      </c>
      <c r="F64" s="51" t="str">
        <f t="shared" si="50"/>
        <v>FALSE</v>
      </c>
      <c r="G64" s="51" t="str">
        <f t="shared" si="50"/>
        <v>FALSE</v>
      </c>
      <c r="H64" s="51" t="str">
        <f t="shared" si="50"/>
        <v>FALSE</v>
      </c>
      <c r="I64" s="51" t="str">
        <f t="shared" si="50"/>
        <v>FALSE</v>
      </c>
      <c r="J64" s="20" t="str">
        <f t="shared" si="51"/>
        <v/>
      </c>
      <c r="K64" s="51" t="str">
        <f t="shared" si="52"/>
        <v/>
      </c>
      <c r="L64" s="20" t="str">
        <f t="shared" si="53"/>
        <v/>
      </c>
      <c r="M64" s="51" t="str">
        <f t="shared" si="54"/>
        <v>FALSE</v>
      </c>
      <c r="N64" s="51" t="str">
        <f t="shared" si="54"/>
        <v>FALSE</v>
      </c>
      <c r="O64" s="51" t="str">
        <f t="shared" si="54"/>
        <v>FALSE</v>
      </c>
      <c r="P64" s="51" t="str">
        <f t="shared" si="54"/>
        <v>FALSE</v>
      </c>
      <c r="Q64" s="20" t="str">
        <f t="shared" si="55"/>
        <v/>
      </c>
      <c r="R64" s="51" t="str">
        <f t="shared" si="56"/>
        <v/>
      </c>
      <c r="S64" s="51" t="str">
        <f t="shared" si="57"/>
        <v/>
      </c>
      <c r="T64" s="51" t="str">
        <f t="shared" si="58"/>
        <v>FALSE</v>
      </c>
      <c r="U64" s="51" t="str">
        <f t="shared" si="58"/>
        <v>FALSE</v>
      </c>
      <c r="V64" s="51" t="str">
        <f t="shared" si="58"/>
        <v>FALSE</v>
      </c>
      <c r="W64" s="51" t="str">
        <f t="shared" si="58"/>
        <v>FALSE</v>
      </c>
      <c r="X64" s="22" t="str">
        <f t="shared" si="59"/>
        <v/>
      </c>
      <c r="Y64" s="19" t="str">
        <f t="shared" si="60"/>
        <v/>
      </c>
      <c r="Z64" s="20" t="str">
        <f t="shared" si="61"/>
        <v/>
      </c>
      <c r="AA64" s="51" t="str">
        <f t="shared" si="62"/>
        <v>FALSE</v>
      </c>
      <c r="AB64" s="51" t="str">
        <f t="shared" si="62"/>
        <v>FALSE</v>
      </c>
      <c r="AC64" s="51" t="str">
        <f t="shared" si="62"/>
        <v>FALSE</v>
      </c>
      <c r="AD64" s="51" t="str">
        <f t="shared" si="62"/>
        <v>FALSE</v>
      </c>
      <c r="AE64" s="20" t="str">
        <f t="shared" si="63"/>
        <v/>
      </c>
      <c r="AF64" s="51" t="str">
        <f t="shared" si="64"/>
        <v/>
      </c>
      <c r="AG64" s="20" t="str">
        <f t="shared" si="65"/>
        <v/>
      </c>
      <c r="AH64" s="51" t="str">
        <f t="shared" ref="AH64:AK64" si="461">AH18</f>
        <v>FALSE</v>
      </c>
      <c r="AI64" s="51" t="str">
        <f t="shared" si="461"/>
        <v>FALSE</v>
      </c>
      <c r="AJ64" s="51" t="str">
        <f t="shared" si="461"/>
        <v>FALSE</v>
      </c>
      <c r="AK64" s="51" t="str">
        <f t="shared" si="461"/>
        <v>FALSE</v>
      </c>
      <c r="AL64" s="20" t="str">
        <f t="shared" si="66"/>
        <v/>
      </c>
      <c r="AM64" s="51" t="str">
        <f t="shared" si="67"/>
        <v/>
      </c>
      <c r="AN64" s="20" t="str">
        <f t="shared" si="68"/>
        <v/>
      </c>
      <c r="AO64" s="51" t="str">
        <f t="shared" si="69"/>
        <v>FALSE</v>
      </c>
      <c r="AP64" s="51" t="str">
        <f t="shared" si="69"/>
        <v>FALSE</v>
      </c>
      <c r="AQ64" s="51" t="str">
        <f t="shared" si="69"/>
        <v>FALSE</v>
      </c>
      <c r="AR64" s="51" t="str">
        <f t="shared" si="69"/>
        <v>FALSE</v>
      </c>
      <c r="AS64" s="51" t="str">
        <f t="shared" si="70"/>
        <v/>
      </c>
      <c r="AT64" s="19" t="str">
        <f t="shared" si="71"/>
        <v/>
      </c>
      <c r="AU64" s="20" t="str">
        <f t="shared" si="72"/>
        <v/>
      </c>
      <c r="AV64" s="51" t="str">
        <f t="shared" ref="AV64:AY64" si="462">AV18</f>
        <v>FALSE</v>
      </c>
      <c r="AW64" s="51" t="str">
        <f t="shared" si="462"/>
        <v>FALSE</v>
      </c>
      <c r="AX64" s="51" t="str">
        <f t="shared" si="462"/>
        <v>FALSE</v>
      </c>
      <c r="AY64" s="51" t="str">
        <f t="shared" si="462"/>
        <v>FALSE</v>
      </c>
      <c r="AZ64" s="20" t="str">
        <f t="shared" si="74"/>
        <v/>
      </c>
      <c r="BA64" s="51" t="str">
        <f t="shared" si="75"/>
        <v/>
      </c>
      <c r="BB64" s="20" t="str">
        <f t="shared" si="76"/>
        <v/>
      </c>
      <c r="BC64" s="51" t="str">
        <f t="shared" ref="BC64:BF64" si="463">BC18</f>
        <v>FALSE</v>
      </c>
      <c r="BD64" s="51" t="str">
        <f t="shared" si="463"/>
        <v>FALSE</v>
      </c>
      <c r="BE64" s="51" t="str">
        <f t="shared" si="463"/>
        <v>FALSE</v>
      </c>
      <c r="BF64" s="51" t="str">
        <f t="shared" si="463"/>
        <v>FALSE</v>
      </c>
      <c r="BG64" s="20" t="str">
        <f t="shared" si="77"/>
        <v/>
      </c>
      <c r="BH64" s="51" t="str">
        <f t="shared" si="78"/>
        <v/>
      </c>
      <c r="BI64" s="20" t="str">
        <f t="shared" si="79"/>
        <v/>
      </c>
      <c r="BJ64" s="51" t="str">
        <f t="shared" ref="BJ64:BM64" si="464">BJ18</f>
        <v>FALSE</v>
      </c>
      <c r="BK64" s="51" t="str">
        <f t="shared" si="464"/>
        <v>FALSE</v>
      </c>
      <c r="BL64" s="51" t="str">
        <f t="shared" si="464"/>
        <v>FALSE</v>
      </c>
      <c r="BM64" s="51" t="str">
        <f t="shared" si="464"/>
        <v>FALSE</v>
      </c>
      <c r="BN64" s="51" t="str">
        <f t="shared" si="81"/>
        <v/>
      </c>
      <c r="BO64" s="19" t="str">
        <f t="shared" si="82"/>
        <v/>
      </c>
      <c r="BP64" s="20" t="str">
        <f t="shared" si="83"/>
        <v/>
      </c>
      <c r="BQ64" s="51" t="b">
        <f t="shared" ref="BQ64:BT64" si="465">BQ18</f>
        <v>0</v>
      </c>
      <c r="BR64" s="51" t="b">
        <f t="shared" si="465"/>
        <v>0</v>
      </c>
      <c r="BS64" s="51" t="b">
        <f t="shared" si="465"/>
        <v>0</v>
      </c>
      <c r="BT64" s="51" t="b">
        <f t="shared" si="465"/>
        <v>0</v>
      </c>
      <c r="BU64" s="20" t="str">
        <f t="shared" si="85"/>
        <v/>
      </c>
      <c r="BV64" s="51" t="str">
        <f t="shared" si="86"/>
        <v/>
      </c>
      <c r="BW64" s="20" t="str">
        <f t="shared" si="87"/>
        <v/>
      </c>
      <c r="BX64" s="51" t="b">
        <f t="shared" ref="BX64:BY64" si="466">BX18</f>
        <v>0</v>
      </c>
      <c r="BY64" s="51" t="b">
        <f t="shared" si="466"/>
        <v>0</v>
      </c>
      <c r="BZ64" s="51" t="b">
        <f t="shared" ref="BZ64:CA64" si="467">BZ18</f>
        <v>0</v>
      </c>
      <c r="CA64" s="51" t="b">
        <f t="shared" si="467"/>
        <v>0</v>
      </c>
      <c r="CB64" s="20" t="str">
        <f t="shared" si="88"/>
        <v/>
      </c>
      <c r="CC64" s="51" t="str">
        <f t="shared" si="89"/>
        <v/>
      </c>
      <c r="CD64" s="20" t="str">
        <f t="shared" si="90"/>
        <v/>
      </c>
      <c r="CE64" s="51" t="b">
        <f t="shared" ref="CE64:CH64" si="468">CE18</f>
        <v>0</v>
      </c>
      <c r="CF64" s="51" t="b">
        <f t="shared" si="468"/>
        <v>0</v>
      </c>
      <c r="CG64" s="51" t="b">
        <f t="shared" si="468"/>
        <v>0</v>
      </c>
      <c r="CH64" s="51" t="b">
        <f t="shared" si="468"/>
        <v>0</v>
      </c>
      <c r="CI64" s="51" t="str">
        <f t="shared" si="92"/>
        <v/>
      </c>
      <c r="CJ64" s="19" t="str">
        <f t="shared" si="93"/>
        <v/>
      </c>
      <c r="CK64" s="20" t="str">
        <f t="shared" si="94"/>
        <v/>
      </c>
      <c r="CL64" s="51" t="b">
        <f t="shared" ref="CL64:CO64" si="469">CL18</f>
        <v>0</v>
      </c>
      <c r="CM64" s="51" t="b">
        <f t="shared" si="469"/>
        <v>0</v>
      </c>
      <c r="CN64" s="51" t="b">
        <f t="shared" si="469"/>
        <v>0</v>
      </c>
      <c r="CO64" s="51" t="b">
        <f t="shared" si="469"/>
        <v>0</v>
      </c>
      <c r="CP64" s="20" t="str">
        <f t="shared" si="96"/>
        <v/>
      </c>
      <c r="CQ64" s="51" t="str">
        <f t="shared" si="97"/>
        <v/>
      </c>
      <c r="CR64" s="20" t="str">
        <f t="shared" si="98"/>
        <v/>
      </c>
      <c r="CS64" s="51" t="b">
        <f t="shared" ref="CS64:CT64" si="470">CS18</f>
        <v>0</v>
      </c>
      <c r="CT64" s="51" t="b">
        <f t="shared" si="470"/>
        <v>0</v>
      </c>
      <c r="CU64" s="51" t="b">
        <f t="shared" ref="CU64:CV64" si="471">CU18</f>
        <v>0</v>
      </c>
      <c r="CV64" s="51" t="b">
        <f t="shared" si="471"/>
        <v>0</v>
      </c>
      <c r="CW64" s="20" t="str">
        <f t="shared" si="99"/>
        <v/>
      </c>
      <c r="CX64" s="51" t="str">
        <f t="shared" si="100"/>
        <v/>
      </c>
      <c r="CY64" s="20" t="str">
        <f t="shared" si="101"/>
        <v/>
      </c>
      <c r="CZ64" s="51" t="b">
        <f t="shared" ref="CZ64:DC64" si="472">CZ18</f>
        <v>0</v>
      </c>
      <c r="DA64" s="51" t="b">
        <f t="shared" si="472"/>
        <v>0</v>
      </c>
      <c r="DB64" s="51" t="b">
        <f t="shared" si="472"/>
        <v>0</v>
      </c>
      <c r="DC64" s="51" t="b">
        <f t="shared" si="472"/>
        <v>0</v>
      </c>
      <c r="DD64" s="51" t="str">
        <f t="shared" si="103"/>
        <v/>
      </c>
      <c r="DE64" s="19" t="str">
        <f t="shared" si="104"/>
        <v/>
      </c>
      <c r="DF64" s="20" t="str">
        <f t="shared" si="105"/>
        <v/>
      </c>
      <c r="DG64" s="51" t="b">
        <f t="shared" ref="DG64:DJ64" si="473">DG18</f>
        <v>0</v>
      </c>
      <c r="DH64" s="51" t="b">
        <f t="shared" si="473"/>
        <v>0</v>
      </c>
      <c r="DI64" s="51" t="b">
        <f t="shared" si="473"/>
        <v>0</v>
      </c>
      <c r="DJ64" s="51" t="b">
        <f t="shared" si="473"/>
        <v>0</v>
      </c>
      <c r="DK64" s="20" t="str">
        <f t="shared" si="107"/>
        <v/>
      </c>
      <c r="DL64" s="51" t="str">
        <f t="shared" si="108"/>
        <v/>
      </c>
      <c r="DM64" s="20" t="str">
        <f t="shared" si="109"/>
        <v/>
      </c>
      <c r="DN64" s="51" t="b">
        <f t="shared" ref="DN64:DO64" si="474">DN18</f>
        <v>0</v>
      </c>
      <c r="DO64" s="51" t="b">
        <f t="shared" si="474"/>
        <v>0</v>
      </c>
      <c r="DP64" s="51" t="b">
        <f t="shared" ref="DP64:DQ64" si="475">DP18</f>
        <v>0</v>
      </c>
      <c r="DQ64" s="51" t="b">
        <f t="shared" si="475"/>
        <v>0</v>
      </c>
      <c r="DR64" s="20" t="str">
        <f t="shared" si="110"/>
        <v/>
      </c>
      <c r="DS64" s="51" t="str">
        <f t="shared" si="111"/>
        <v/>
      </c>
      <c r="DT64" s="20" t="str">
        <f t="shared" si="112"/>
        <v/>
      </c>
      <c r="DU64" s="51" t="b">
        <f t="shared" ref="DU64:DX64" si="476">DU18</f>
        <v>0</v>
      </c>
      <c r="DV64" s="51" t="b">
        <f t="shared" si="476"/>
        <v>0</v>
      </c>
      <c r="DW64" s="51" t="b">
        <f t="shared" si="476"/>
        <v>0</v>
      </c>
      <c r="DX64" s="51" t="b">
        <f t="shared" si="476"/>
        <v>0</v>
      </c>
      <c r="DY64" s="51" t="str">
        <f t="shared" si="114"/>
        <v/>
      </c>
      <c r="DZ64" s="19" t="str">
        <f t="shared" si="115"/>
        <v/>
      </c>
      <c r="EA64" s="20" t="str">
        <f t="shared" si="116"/>
        <v/>
      </c>
      <c r="EB64" s="51" t="b">
        <f t="shared" ref="EB64:EE64" si="477">EB18</f>
        <v>0</v>
      </c>
      <c r="EC64" s="51" t="b">
        <f t="shared" si="477"/>
        <v>0</v>
      </c>
      <c r="ED64" s="51" t="b">
        <f t="shared" si="477"/>
        <v>0</v>
      </c>
      <c r="EE64" s="51" t="b">
        <f t="shared" si="477"/>
        <v>0</v>
      </c>
      <c r="EF64" s="20" t="str">
        <f t="shared" si="118"/>
        <v/>
      </c>
      <c r="EG64" s="51" t="str">
        <f t="shared" si="119"/>
        <v/>
      </c>
      <c r="EH64" s="20" t="str">
        <f t="shared" si="120"/>
        <v/>
      </c>
      <c r="EI64" s="51" t="b">
        <f t="shared" ref="EI64:EJ64" si="478">EI18</f>
        <v>0</v>
      </c>
      <c r="EJ64" s="51" t="b">
        <f t="shared" si="478"/>
        <v>0</v>
      </c>
      <c r="EK64" s="51" t="b">
        <f t="shared" ref="EK64:EL64" si="479">EK18</f>
        <v>0</v>
      </c>
      <c r="EL64" s="51" t="b">
        <f t="shared" si="479"/>
        <v>0</v>
      </c>
      <c r="EM64" s="20" t="str">
        <f t="shared" si="121"/>
        <v/>
      </c>
      <c r="EN64" s="51" t="str">
        <f t="shared" si="122"/>
        <v/>
      </c>
      <c r="EO64" s="20" t="str">
        <f t="shared" si="123"/>
        <v/>
      </c>
      <c r="EP64" s="51" t="b">
        <f t="shared" ref="EP64:ES64" si="480">EP18</f>
        <v>0</v>
      </c>
      <c r="EQ64" s="51" t="b">
        <f t="shared" si="480"/>
        <v>0</v>
      </c>
      <c r="ER64" s="51" t="b">
        <f t="shared" si="480"/>
        <v>0</v>
      </c>
      <c r="ES64" s="51" t="b">
        <f t="shared" si="480"/>
        <v>0</v>
      </c>
      <c r="ET64" s="51" t="str">
        <f t="shared" si="125"/>
        <v/>
      </c>
      <c r="EU64" s="19" t="str">
        <f t="shared" si="126"/>
        <v/>
      </c>
      <c r="EV64" s="20" t="str">
        <f t="shared" si="127"/>
        <v/>
      </c>
      <c r="EW64" s="51" t="b">
        <f t="shared" ref="EW64:EZ64" si="481">EW18</f>
        <v>0</v>
      </c>
      <c r="EX64" s="51" t="b">
        <f t="shared" si="481"/>
        <v>0</v>
      </c>
      <c r="EY64" s="51" t="b">
        <f t="shared" si="481"/>
        <v>0</v>
      </c>
      <c r="EZ64" s="51" t="b">
        <f t="shared" si="481"/>
        <v>0</v>
      </c>
      <c r="FA64" s="20" t="str">
        <f t="shared" si="129"/>
        <v/>
      </c>
      <c r="FB64" s="51" t="str">
        <f t="shared" si="130"/>
        <v/>
      </c>
      <c r="FC64" s="20" t="str">
        <f t="shared" si="131"/>
        <v/>
      </c>
      <c r="FD64" s="51" t="b">
        <f t="shared" ref="FD64:FE64" si="482">FD18</f>
        <v>0</v>
      </c>
      <c r="FE64" s="51" t="b">
        <f t="shared" si="482"/>
        <v>0</v>
      </c>
      <c r="FF64" s="51" t="b">
        <f t="shared" ref="FF64:FG64" si="483">FF18</f>
        <v>0</v>
      </c>
      <c r="FG64" s="51" t="b">
        <f t="shared" si="483"/>
        <v>0</v>
      </c>
      <c r="FH64" s="20" t="str">
        <f t="shared" si="132"/>
        <v/>
      </c>
      <c r="FI64" s="51" t="str">
        <f t="shared" si="133"/>
        <v/>
      </c>
      <c r="FJ64" s="20" t="str">
        <f t="shared" si="134"/>
        <v/>
      </c>
      <c r="FK64" s="51" t="b">
        <f t="shared" ref="FK64:FN64" si="484">FK18</f>
        <v>0</v>
      </c>
      <c r="FL64" s="51" t="b">
        <f t="shared" si="484"/>
        <v>0</v>
      </c>
      <c r="FM64" s="51" t="b">
        <f t="shared" si="484"/>
        <v>0</v>
      </c>
      <c r="FN64" s="51" t="b">
        <f t="shared" si="484"/>
        <v>0</v>
      </c>
      <c r="FO64" s="51" t="str">
        <f t="shared" si="136"/>
        <v/>
      </c>
      <c r="FP64" s="19" t="str">
        <f t="shared" si="137"/>
        <v/>
      </c>
      <c r="FQ64" s="20" t="str">
        <f t="shared" si="138"/>
        <v/>
      </c>
      <c r="FR64" s="51" t="b">
        <f t="shared" ref="FR64:FU64" si="485">FR18</f>
        <v>0</v>
      </c>
      <c r="FS64" s="51" t="b">
        <f t="shared" si="485"/>
        <v>0</v>
      </c>
      <c r="FT64" s="51" t="b">
        <f t="shared" si="485"/>
        <v>0</v>
      </c>
      <c r="FU64" s="51" t="b">
        <f t="shared" si="485"/>
        <v>0</v>
      </c>
      <c r="FV64" s="20" t="str">
        <f t="shared" si="140"/>
        <v/>
      </c>
      <c r="FW64" s="51" t="str">
        <f t="shared" si="141"/>
        <v/>
      </c>
      <c r="FX64" s="20" t="str">
        <f t="shared" si="142"/>
        <v/>
      </c>
      <c r="FY64" s="51" t="b">
        <f t="shared" ref="FY64:FZ64" si="486">FY18</f>
        <v>0</v>
      </c>
      <c r="FZ64" s="51" t="b">
        <f t="shared" si="486"/>
        <v>0</v>
      </c>
      <c r="GA64" s="51" t="b">
        <f t="shared" ref="GA64:GB64" si="487">GA18</f>
        <v>0</v>
      </c>
      <c r="GB64" s="51" t="b">
        <f t="shared" si="487"/>
        <v>0</v>
      </c>
      <c r="GC64" s="20" t="str">
        <f t="shared" si="143"/>
        <v/>
      </c>
      <c r="GD64" s="51" t="str">
        <f t="shared" si="144"/>
        <v/>
      </c>
      <c r="GE64" s="20" t="str">
        <f t="shared" si="145"/>
        <v/>
      </c>
      <c r="GF64" s="51" t="b">
        <f t="shared" ref="GF64:GI64" si="488">GF18</f>
        <v>0</v>
      </c>
      <c r="GG64" s="51" t="b">
        <f t="shared" si="488"/>
        <v>0</v>
      </c>
      <c r="GH64" s="51" t="b">
        <f t="shared" si="488"/>
        <v>0</v>
      </c>
      <c r="GI64" s="51" t="b">
        <f t="shared" si="488"/>
        <v>0</v>
      </c>
      <c r="GJ64" s="51" t="str">
        <f t="shared" si="147"/>
        <v/>
      </c>
      <c r="GK64" s="19" t="str">
        <f t="shared" si="148"/>
        <v/>
      </c>
      <c r="GL64" s="20" t="str">
        <f t="shared" si="149"/>
        <v/>
      </c>
      <c r="GM64" s="51" t="b">
        <f t="shared" ref="GM64:GP64" si="489">GM18</f>
        <v>0</v>
      </c>
      <c r="GN64" s="51" t="b">
        <f t="shared" si="489"/>
        <v>0</v>
      </c>
      <c r="GO64" s="51" t="b">
        <f t="shared" si="489"/>
        <v>0</v>
      </c>
      <c r="GP64" s="51" t="b">
        <f t="shared" si="489"/>
        <v>0</v>
      </c>
      <c r="GQ64" s="20" t="str">
        <f t="shared" si="151"/>
        <v/>
      </c>
      <c r="GR64" s="51" t="str">
        <f t="shared" si="152"/>
        <v/>
      </c>
      <c r="GS64" s="20" t="str">
        <f t="shared" si="153"/>
        <v/>
      </c>
      <c r="GT64" s="51" t="b">
        <f t="shared" ref="GT64:GU64" si="490">GT18</f>
        <v>0</v>
      </c>
      <c r="GU64" s="51" t="b">
        <f t="shared" si="490"/>
        <v>0</v>
      </c>
      <c r="GV64" s="51" t="b">
        <f t="shared" ref="GV64:GW64" si="491">GV18</f>
        <v>0</v>
      </c>
      <c r="GW64" s="51" t="b">
        <f t="shared" si="491"/>
        <v>0</v>
      </c>
      <c r="GX64" s="20" t="str">
        <f t="shared" si="154"/>
        <v/>
      </c>
      <c r="GY64" s="51" t="str">
        <f t="shared" si="155"/>
        <v/>
      </c>
      <c r="GZ64" s="20" t="str">
        <f t="shared" si="156"/>
        <v/>
      </c>
      <c r="HA64" s="51" t="b">
        <f t="shared" ref="HA64:HD64" si="492">HA18</f>
        <v>0</v>
      </c>
      <c r="HB64" s="51" t="b">
        <f t="shared" si="492"/>
        <v>0</v>
      </c>
      <c r="HC64" s="51" t="b">
        <f t="shared" si="492"/>
        <v>0</v>
      </c>
      <c r="HD64" s="51" t="b">
        <f t="shared" si="492"/>
        <v>0</v>
      </c>
      <c r="HE64" s="51" t="str">
        <f t="shared" si="158"/>
        <v/>
      </c>
      <c r="HF64" s="19" t="str">
        <f t="shared" si="159"/>
        <v/>
      </c>
      <c r="HG64" s="20" t="str">
        <f t="shared" si="160"/>
        <v/>
      </c>
      <c r="HH64" s="51" t="b">
        <f t="shared" ref="HH64:HK64" si="493">HH18</f>
        <v>0</v>
      </c>
      <c r="HI64" s="51" t="b">
        <f t="shared" si="493"/>
        <v>0</v>
      </c>
      <c r="HJ64" s="51" t="b">
        <f t="shared" si="493"/>
        <v>0</v>
      </c>
      <c r="HK64" s="51" t="b">
        <f t="shared" si="493"/>
        <v>0</v>
      </c>
      <c r="HL64" s="20" t="str">
        <f t="shared" si="162"/>
        <v/>
      </c>
      <c r="HM64" s="51" t="str">
        <f t="shared" si="163"/>
        <v/>
      </c>
      <c r="HN64" s="20" t="str">
        <f t="shared" si="164"/>
        <v/>
      </c>
      <c r="HO64" s="51" t="b">
        <f t="shared" ref="HO64:HP64" si="494">HO18</f>
        <v>0</v>
      </c>
      <c r="HP64" s="51" t="b">
        <f t="shared" si="494"/>
        <v>0</v>
      </c>
      <c r="HQ64" s="51" t="b">
        <f t="shared" ref="HQ64:HR64" si="495">HQ18</f>
        <v>0</v>
      </c>
      <c r="HR64" s="51" t="b">
        <f t="shared" si="495"/>
        <v>0</v>
      </c>
      <c r="HS64" s="20" t="str">
        <f t="shared" si="165"/>
        <v/>
      </c>
      <c r="HT64" s="51" t="str">
        <f t="shared" si="166"/>
        <v/>
      </c>
      <c r="HU64" s="20" t="str">
        <f t="shared" si="167"/>
        <v/>
      </c>
      <c r="HV64" s="51" t="b">
        <f t="shared" ref="HV64:HY64" si="496">HV18</f>
        <v>0</v>
      </c>
      <c r="HW64" s="51" t="b">
        <f t="shared" si="496"/>
        <v>0</v>
      </c>
      <c r="HX64" s="51" t="b">
        <f t="shared" si="496"/>
        <v>0</v>
      </c>
      <c r="HY64" s="51" t="b">
        <f t="shared" si="496"/>
        <v>0</v>
      </c>
      <c r="HZ64" s="51" t="str">
        <f t="shared" si="169"/>
        <v/>
      </c>
      <c r="IA64" s="19" t="str">
        <f t="shared" si="170"/>
        <v/>
      </c>
      <c r="IB64" s="20" t="str">
        <f t="shared" si="171"/>
        <v/>
      </c>
      <c r="IC64" s="51" t="b">
        <f t="shared" ref="IC64:IF64" si="497">IC18</f>
        <v>0</v>
      </c>
      <c r="ID64" s="51" t="b">
        <f t="shared" si="497"/>
        <v>0</v>
      </c>
      <c r="IE64" s="51" t="b">
        <f t="shared" si="497"/>
        <v>0</v>
      </c>
      <c r="IF64" s="51" t="b">
        <f t="shared" si="497"/>
        <v>0</v>
      </c>
      <c r="IG64" s="20" t="str">
        <f t="shared" si="173"/>
        <v/>
      </c>
      <c r="IH64" s="51" t="str">
        <f t="shared" si="174"/>
        <v/>
      </c>
      <c r="II64" s="20" t="str">
        <f t="shared" si="175"/>
        <v/>
      </c>
      <c r="IJ64" s="51" t="b">
        <f t="shared" ref="IJ64:IK64" si="498">IJ18</f>
        <v>0</v>
      </c>
      <c r="IK64" s="51" t="b">
        <f t="shared" si="498"/>
        <v>0</v>
      </c>
      <c r="IL64" s="51" t="b">
        <f t="shared" ref="IL64:IM64" si="499">IL18</f>
        <v>0</v>
      </c>
      <c r="IM64" s="51" t="b">
        <f t="shared" si="499"/>
        <v>0</v>
      </c>
      <c r="IN64" s="20" t="str">
        <f t="shared" si="176"/>
        <v/>
      </c>
      <c r="IO64" s="51" t="str">
        <f t="shared" si="177"/>
        <v/>
      </c>
      <c r="IP64" s="20" t="str">
        <f t="shared" si="178"/>
        <v/>
      </c>
      <c r="IQ64" s="51" t="b">
        <f t="shared" ref="IQ64:IT64" si="500">IQ18</f>
        <v>0</v>
      </c>
      <c r="IR64" s="51" t="b">
        <f t="shared" si="500"/>
        <v>0</v>
      </c>
      <c r="IS64" s="51" t="b">
        <f t="shared" si="500"/>
        <v>0</v>
      </c>
      <c r="IT64" s="51" t="b">
        <f t="shared" si="500"/>
        <v>0</v>
      </c>
      <c r="IU64" s="51" t="str">
        <f t="shared" si="180"/>
        <v/>
      </c>
      <c r="IV64" s="116"/>
    </row>
    <row r="65" spans="1:256" x14ac:dyDescent="0.2">
      <c r="A65" s="13" t="str">
        <f t="shared" si="47"/>
        <v/>
      </c>
      <c r="B65" s="14" t="str">
        <f t="shared" si="47"/>
        <v/>
      </c>
      <c r="C65">
        <v>10</v>
      </c>
      <c r="D65" s="19" t="str">
        <f t="shared" si="48"/>
        <v/>
      </c>
      <c r="E65" s="20" t="str">
        <f t="shared" si="49"/>
        <v/>
      </c>
      <c r="F65" s="51" t="str">
        <f t="shared" si="50"/>
        <v>FALSE</v>
      </c>
      <c r="G65" s="51" t="str">
        <f t="shared" si="50"/>
        <v>FALSE</v>
      </c>
      <c r="H65" s="51" t="str">
        <f t="shared" si="50"/>
        <v>FALSE</v>
      </c>
      <c r="I65" s="51" t="str">
        <f t="shared" si="50"/>
        <v>FALSE</v>
      </c>
      <c r="J65" s="20" t="str">
        <f t="shared" si="51"/>
        <v/>
      </c>
      <c r="K65" s="51" t="str">
        <f t="shared" si="52"/>
        <v/>
      </c>
      <c r="L65" s="20" t="str">
        <f t="shared" si="53"/>
        <v/>
      </c>
      <c r="M65" s="51" t="str">
        <f t="shared" si="54"/>
        <v>FALSE</v>
      </c>
      <c r="N65" s="51" t="str">
        <f t="shared" si="54"/>
        <v>FALSE</v>
      </c>
      <c r="O65" s="51" t="str">
        <f t="shared" si="54"/>
        <v>FALSE</v>
      </c>
      <c r="P65" s="51" t="str">
        <f t="shared" si="54"/>
        <v>FALSE</v>
      </c>
      <c r="Q65" s="20" t="str">
        <f t="shared" si="55"/>
        <v/>
      </c>
      <c r="R65" s="51" t="str">
        <f t="shared" si="56"/>
        <v/>
      </c>
      <c r="S65" s="51" t="str">
        <f t="shared" si="57"/>
        <v/>
      </c>
      <c r="T65" s="51" t="str">
        <f t="shared" si="58"/>
        <v>FALSE</v>
      </c>
      <c r="U65" s="51" t="str">
        <f t="shared" si="58"/>
        <v>FALSE</v>
      </c>
      <c r="V65" s="51" t="str">
        <f t="shared" si="58"/>
        <v>FALSE</v>
      </c>
      <c r="W65" s="51" t="str">
        <f t="shared" si="58"/>
        <v>FALSE</v>
      </c>
      <c r="X65" s="22" t="str">
        <f t="shared" si="59"/>
        <v/>
      </c>
      <c r="Y65" s="19" t="str">
        <f t="shared" si="60"/>
        <v/>
      </c>
      <c r="Z65" s="20" t="str">
        <f t="shared" si="61"/>
        <v/>
      </c>
      <c r="AA65" s="51" t="str">
        <f t="shared" si="62"/>
        <v>FALSE</v>
      </c>
      <c r="AB65" s="51" t="str">
        <f t="shared" si="62"/>
        <v>FALSE</v>
      </c>
      <c r="AC65" s="51" t="str">
        <f t="shared" si="62"/>
        <v>FALSE</v>
      </c>
      <c r="AD65" s="51" t="str">
        <f t="shared" si="62"/>
        <v>FALSE</v>
      </c>
      <c r="AE65" s="20" t="str">
        <f t="shared" si="63"/>
        <v/>
      </c>
      <c r="AF65" s="51" t="str">
        <f t="shared" si="64"/>
        <v/>
      </c>
      <c r="AG65" s="20" t="str">
        <f t="shared" si="65"/>
        <v/>
      </c>
      <c r="AH65" s="51" t="str">
        <f t="shared" ref="AH65:AK65" si="501">AH19</f>
        <v>FALSE</v>
      </c>
      <c r="AI65" s="51" t="str">
        <f t="shared" si="501"/>
        <v>FALSE</v>
      </c>
      <c r="AJ65" s="51" t="str">
        <f t="shared" si="501"/>
        <v>FALSE</v>
      </c>
      <c r="AK65" s="51" t="str">
        <f t="shared" si="501"/>
        <v>FALSE</v>
      </c>
      <c r="AL65" s="20" t="str">
        <f t="shared" si="66"/>
        <v/>
      </c>
      <c r="AM65" s="51" t="str">
        <f t="shared" si="67"/>
        <v/>
      </c>
      <c r="AN65" s="20" t="str">
        <f t="shared" si="68"/>
        <v/>
      </c>
      <c r="AO65" s="51" t="str">
        <f t="shared" si="69"/>
        <v>FALSE</v>
      </c>
      <c r="AP65" s="51" t="str">
        <f t="shared" si="69"/>
        <v>FALSE</v>
      </c>
      <c r="AQ65" s="51" t="str">
        <f t="shared" si="69"/>
        <v>FALSE</v>
      </c>
      <c r="AR65" s="51" t="str">
        <f t="shared" si="69"/>
        <v>FALSE</v>
      </c>
      <c r="AS65" s="51" t="str">
        <f t="shared" si="70"/>
        <v/>
      </c>
      <c r="AT65" s="19" t="str">
        <f t="shared" si="71"/>
        <v/>
      </c>
      <c r="AU65" s="20" t="str">
        <f t="shared" si="72"/>
        <v/>
      </c>
      <c r="AV65" s="51" t="str">
        <f t="shared" ref="AV65:AY65" si="502">AV19</f>
        <v>FALSE</v>
      </c>
      <c r="AW65" s="51" t="str">
        <f t="shared" si="502"/>
        <v>FALSE</v>
      </c>
      <c r="AX65" s="51" t="str">
        <f t="shared" si="502"/>
        <v>FALSE</v>
      </c>
      <c r="AY65" s="51" t="str">
        <f t="shared" si="502"/>
        <v>FALSE</v>
      </c>
      <c r="AZ65" s="20" t="str">
        <f t="shared" si="74"/>
        <v/>
      </c>
      <c r="BA65" s="51" t="str">
        <f t="shared" si="75"/>
        <v/>
      </c>
      <c r="BB65" s="20" t="str">
        <f t="shared" si="76"/>
        <v/>
      </c>
      <c r="BC65" s="51" t="str">
        <f t="shared" ref="BC65:BF65" si="503">BC19</f>
        <v>FALSE</v>
      </c>
      <c r="BD65" s="51" t="str">
        <f t="shared" si="503"/>
        <v>FALSE</v>
      </c>
      <c r="BE65" s="51" t="str">
        <f t="shared" si="503"/>
        <v>FALSE</v>
      </c>
      <c r="BF65" s="51" t="str">
        <f t="shared" si="503"/>
        <v>FALSE</v>
      </c>
      <c r="BG65" s="20" t="str">
        <f t="shared" si="77"/>
        <v/>
      </c>
      <c r="BH65" s="51" t="str">
        <f t="shared" si="78"/>
        <v/>
      </c>
      <c r="BI65" s="20" t="str">
        <f t="shared" si="79"/>
        <v/>
      </c>
      <c r="BJ65" s="51" t="str">
        <f t="shared" ref="BJ65:BM65" si="504">BJ19</f>
        <v>FALSE</v>
      </c>
      <c r="BK65" s="51" t="str">
        <f t="shared" si="504"/>
        <v>FALSE</v>
      </c>
      <c r="BL65" s="51" t="str">
        <f t="shared" si="504"/>
        <v>FALSE</v>
      </c>
      <c r="BM65" s="51" t="str">
        <f t="shared" si="504"/>
        <v>FALSE</v>
      </c>
      <c r="BN65" s="51" t="str">
        <f t="shared" si="81"/>
        <v/>
      </c>
      <c r="BO65" s="19" t="str">
        <f t="shared" si="82"/>
        <v/>
      </c>
      <c r="BP65" s="20" t="str">
        <f t="shared" si="83"/>
        <v/>
      </c>
      <c r="BQ65" s="51" t="b">
        <f t="shared" ref="BQ65:BT65" si="505">BQ19</f>
        <v>0</v>
      </c>
      <c r="BR65" s="51" t="b">
        <f t="shared" si="505"/>
        <v>0</v>
      </c>
      <c r="BS65" s="51" t="b">
        <f t="shared" si="505"/>
        <v>0</v>
      </c>
      <c r="BT65" s="51" t="b">
        <f t="shared" si="505"/>
        <v>0</v>
      </c>
      <c r="BU65" s="20" t="str">
        <f t="shared" si="85"/>
        <v/>
      </c>
      <c r="BV65" s="51" t="str">
        <f t="shared" si="86"/>
        <v/>
      </c>
      <c r="BW65" s="20" t="str">
        <f t="shared" si="87"/>
        <v/>
      </c>
      <c r="BX65" s="51" t="b">
        <f t="shared" ref="BX65:BY65" si="506">BX19</f>
        <v>0</v>
      </c>
      <c r="BY65" s="51" t="b">
        <f t="shared" si="506"/>
        <v>0</v>
      </c>
      <c r="BZ65" s="51" t="b">
        <f t="shared" ref="BZ65:CA65" si="507">BZ19</f>
        <v>0</v>
      </c>
      <c r="CA65" s="51" t="b">
        <f t="shared" si="507"/>
        <v>0</v>
      </c>
      <c r="CB65" s="20" t="str">
        <f t="shared" si="88"/>
        <v/>
      </c>
      <c r="CC65" s="51" t="str">
        <f t="shared" si="89"/>
        <v/>
      </c>
      <c r="CD65" s="20" t="str">
        <f t="shared" si="90"/>
        <v/>
      </c>
      <c r="CE65" s="51" t="b">
        <f t="shared" ref="CE65:CH65" si="508">CE19</f>
        <v>0</v>
      </c>
      <c r="CF65" s="51" t="b">
        <f t="shared" si="508"/>
        <v>0</v>
      </c>
      <c r="CG65" s="51" t="b">
        <f t="shared" si="508"/>
        <v>0</v>
      </c>
      <c r="CH65" s="51" t="b">
        <f t="shared" si="508"/>
        <v>0</v>
      </c>
      <c r="CI65" s="51" t="str">
        <f t="shared" si="92"/>
        <v/>
      </c>
      <c r="CJ65" s="19" t="str">
        <f t="shared" si="93"/>
        <v/>
      </c>
      <c r="CK65" s="20" t="str">
        <f t="shared" si="94"/>
        <v/>
      </c>
      <c r="CL65" s="51" t="b">
        <f t="shared" ref="CL65:CO65" si="509">CL19</f>
        <v>0</v>
      </c>
      <c r="CM65" s="51" t="b">
        <f t="shared" si="509"/>
        <v>0</v>
      </c>
      <c r="CN65" s="51" t="b">
        <f t="shared" si="509"/>
        <v>0</v>
      </c>
      <c r="CO65" s="51" t="b">
        <f t="shared" si="509"/>
        <v>0</v>
      </c>
      <c r="CP65" s="20" t="str">
        <f t="shared" si="96"/>
        <v/>
      </c>
      <c r="CQ65" s="51" t="str">
        <f t="shared" si="97"/>
        <v/>
      </c>
      <c r="CR65" s="20" t="str">
        <f t="shared" si="98"/>
        <v/>
      </c>
      <c r="CS65" s="51" t="b">
        <f t="shared" ref="CS65:CT65" si="510">CS19</f>
        <v>0</v>
      </c>
      <c r="CT65" s="51" t="b">
        <f t="shared" si="510"/>
        <v>0</v>
      </c>
      <c r="CU65" s="51" t="b">
        <f t="shared" ref="CU65:CV65" si="511">CU19</f>
        <v>0</v>
      </c>
      <c r="CV65" s="51" t="b">
        <f t="shared" si="511"/>
        <v>0</v>
      </c>
      <c r="CW65" s="20" t="str">
        <f t="shared" si="99"/>
        <v/>
      </c>
      <c r="CX65" s="51" t="str">
        <f t="shared" si="100"/>
        <v/>
      </c>
      <c r="CY65" s="20" t="str">
        <f t="shared" si="101"/>
        <v/>
      </c>
      <c r="CZ65" s="51" t="b">
        <f t="shared" ref="CZ65:DC65" si="512">CZ19</f>
        <v>0</v>
      </c>
      <c r="DA65" s="51" t="b">
        <f t="shared" si="512"/>
        <v>0</v>
      </c>
      <c r="DB65" s="51" t="b">
        <f t="shared" si="512"/>
        <v>0</v>
      </c>
      <c r="DC65" s="51" t="b">
        <f t="shared" si="512"/>
        <v>0</v>
      </c>
      <c r="DD65" s="51" t="str">
        <f t="shared" si="103"/>
        <v/>
      </c>
      <c r="DE65" s="19" t="str">
        <f t="shared" si="104"/>
        <v/>
      </c>
      <c r="DF65" s="20" t="str">
        <f t="shared" si="105"/>
        <v/>
      </c>
      <c r="DG65" s="51" t="b">
        <f t="shared" ref="DG65:DJ65" si="513">DG19</f>
        <v>0</v>
      </c>
      <c r="DH65" s="51" t="b">
        <f t="shared" si="513"/>
        <v>0</v>
      </c>
      <c r="DI65" s="51" t="b">
        <f t="shared" si="513"/>
        <v>0</v>
      </c>
      <c r="DJ65" s="51" t="b">
        <f t="shared" si="513"/>
        <v>0</v>
      </c>
      <c r="DK65" s="20" t="str">
        <f t="shared" si="107"/>
        <v/>
      </c>
      <c r="DL65" s="51" t="str">
        <f t="shared" si="108"/>
        <v/>
      </c>
      <c r="DM65" s="20" t="str">
        <f t="shared" si="109"/>
        <v/>
      </c>
      <c r="DN65" s="51" t="b">
        <f t="shared" ref="DN65:DO65" si="514">DN19</f>
        <v>0</v>
      </c>
      <c r="DO65" s="51" t="b">
        <f t="shared" si="514"/>
        <v>0</v>
      </c>
      <c r="DP65" s="51" t="b">
        <f t="shared" ref="DP65:DQ65" si="515">DP19</f>
        <v>0</v>
      </c>
      <c r="DQ65" s="51" t="b">
        <f t="shared" si="515"/>
        <v>0</v>
      </c>
      <c r="DR65" s="20" t="str">
        <f t="shared" si="110"/>
        <v/>
      </c>
      <c r="DS65" s="51" t="str">
        <f t="shared" si="111"/>
        <v/>
      </c>
      <c r="DT65" s="20" t="str">
        <f t="shared" si="112"/>
        <v/>
      </c>
      <c r="DU65" s="51" t="b">
        <f t="shared" ref="DU65:DX65" si="516">DU19</f>
        <v>0</v>
      </c>
      <c r="DV65" s="51" t="b">
        <f t="shared" si="516"/>
        <v>0</v>
      </c>
      <c r="DW65" s="51" t="b">
        <f t="shared" si="516"/>
        <v>0</v>
      </c>
      <c r="DX65" s="51" t="b">
        <f t="shared" si="516"/>
        <v>0</v>
      </c>
      <c r="DY65" s="51" t="str">
        <f t="shared" si="114"/>
        <v/>
      </c>
      <c r="DZ65" s="19" t="str">
        <f t="shared" si="115"/>
        <v/>
      </c>
      <c r="EA65" s="20" t="str">
        <f t="shared" si="116"/>
        <v/>
      </c>
      <c r="EB65" s="51" t="b">
        <f t="shared" ref="EB65:EE65" si="517">EB19</f>
        <v>0</v>
      </c>
      <c r="EC65" s="51" t="b">
        <f t="shared" si="517"/>
        <v>0</v>
      </c>
      <c r="ED65" s="51" t="b">
        <f t="shared" si="517"/>
        <v>0</v>
      </c>
      <c r="EE65" s="51" t="b">
        <f t="shared" si="517"/>
        <v>0</v>
      </c>
      <c r="EF65" s="20" t="str">
        <f t="shared" si="118"/>
        <v/>
      </c>
      <c r="EG65" s="51" t="str">
        <f t="shared" si="119"/>
        <v/>
      </c>
      <c r="EH65" s="20" t="str">
        <f t="shared" si="120"/>
        <v/>
      </c>
      <c r="EI65" s="51" t="b">
        <f t="shared" ref="EI65:EJ65" si="518">EI19</f>
        <v>0</v>
      </c>
      <c r="EJ65" s="51" t="b">
        <f t="shared" si="518"/>
        <v>0</v>
      </c>
      <c r="EK65" s="51" t="b">
        <f t="shared" ref="EK65:EL65" si="519">EK19</f>
        <v>0</v>
      </c>
      <c r="EL65" s="51" t="b">
        <f t="shared" si="519"/>
        <v>0</v>
      </c>
      <c r="EM65" s="20" t="str">
        <f t="shared" si="121"/>
        <v/>
      </c>
      <c r="EN65" s="51" t="str">
        <f t="shared" si="122"/>
        <v/>
      </c>
      <c r="EO65" s="20" t="str">
        <f t="shared" si="123"/>
        <v/>
      </c>
      <c r="EP65" s="51" t="b">
        <f t="shared" ref="EP65:ES65" si="520">EP19</f>
        <v>0</v>
      </c>
      <c r="EQ65" s="51" t="b">
        <f t="shared" si="520"/>
        <v>0</v>
      </c>
      <c r="ER65" s="51" t="b">
        <f t="shared" si="520"/>
        <v>0</v>
      </c>
      <c r="ES65" s="51" t="b">
        <f t="shared" si="520"/>
        <v>0</v>
      </c>
      <c r="ET65" s="51" t="str">
        <f t="shared" si="125"/>
        <v/>
      </c>
      <c r="EU65" s="19" t="str">
        <f t="shared" si="126"/>
        <v/>
      </c>
      <c r="EV65" s="20" t="str">
        <f t="shared" si="127"/>
        <v/>
      </c>
      <c r="EW65" s="51" t="b">
        <f t="shared" ref="EW65:EZ65" si="521">EW19</f>
        <v>0</v>
      </c>
      <c r="EX65" s="51" t="b">
        <f t="shared" si="521"/>
        <v>0</v>
      </c>
      <c r="EY65" s="51" t="b">
        <f t="shared" si="521"/>
        <v>0</v>
      </c>
      <c r="EZ65" s="51" t="b">
        <f t="shared" si="521"/>
        <v>0</v>
      </c>
      <c r="FA65" s="20" t="str">
        <f t="shared" si="129"/>
        <v/>
      </c>
      <c r="FB65" s="51" t="str">
        <f t="shared" si="130"/>
        <v/>
      </c>
      <c r="FC65" s="20" t="str">
        <f t="shared" si="131"/>
        <v/>
      </c>
      <c r="FD65" s="51" t="b">
        <f t="shared" ref="FD65:FE65" si="522">FD19</f>
        <v>0</v>
      </c>
      <c r="FE65" s="51" t="b">
        <f t="shared" si="522"/>
        <v>0</v>
      </c>
      <c r="FF65" s="51" t="b">
        <f t="shared" ref="FF65:FG65" si="523">FF19</f>
        <v>0</v>
      </c>
      <c r="FG65" s="51" t="b">
        <f t="shared" si="523"/>
        <v>0</v>
      </c>
      <c r="FH65" s="20" t="str">
        <f t="shared" si="132"/>
        <v/>
      </c>
      <c r="FI65" s="51" t="str">
        <f t="shared" si="133"/>
        <v/>
      </c>
      <c r="FJ65" s="20" t="str">
        <f t="shared" si="134"/>
        <v/>
      </c>
      <c r="FK65" s="51" t="b">
        <f t="shared" ref="FK65:FN65" si="524">FK19</f>
        <v>0</v>
      </c>
      <c r="FL65" s="51" t="b">
        <f t="shared" si="524"/>
        <v>0</v>
      </c>
      <c r="FM65" s="51" t="b">
        <f t="shared" si="524"/>
        <v>0</v>
      </c>
      <c r="FN65" s="51" t="b">
        <f t="shared" si="524"/>
        <v>0</v>
      </c>
      <c r="FO65" s="51" t="str">
        <f t="shared" si="136"/>
        <v/>
      </c>
      <c r="FP65" s="19" t="str">
        <f t="shared" si="137"/>
        <v/>
      </c>
      <c r="FQ65" s="20" t="str">
        <f t="shared" si="138"/>
        <v/>
      </c>
      <c r="FR65" s="51" t="b">
        <f t="shared" ref="FR65:FU65" si="525">FR19</f>
        <v>0</v>
      </c>
      <c r="FS65" s="51" t="b">
        <f t="shared" si="525"/>
        <v>0</v>
      </c>
      <c r="FT65" s="51" t="b">
        <f t="shared" si="525"/>
        <v>0</v>
      </c>
      <c r="FU65" s="51" t="b">
        <f t="shared" si="525"/>
        <v>0</v>
      </c>
      <c r="FV65" s="20" t="str">
        <f t="shared" si="140"/>
        <v/>
      </c>
      <c r="FW65" s="51" t="str">
        <f t="shared" si="141"/>
        <v/>
      </c>
      <c r="FX65" s="20" t="str">
        <f t="shared" si="142"/>
        <v/>
      </c>
      <c r="FY65" s="51" t="b">
        <f t="shared" ref="FY65:FZ65" si="526">FY19</f>
        <v>0</v>
      </c>
      <c r="FZ65" s="51" t="b">
        <f t="shared" si="526"/>
        <v>0</v>
      </c>
      <c r="GA65" s="51" t="b">
        <f t="shared" ref="GA65:GB65" si="527">GA19</f>
        <v>0</v>
      </c>
      <c r="GB65" s="51" t="b">
        <f t="shared" si="527"/>
        <v>0</v>
      </c>
      <c r="GC65" s="20" t="str">
        <f t="shared" si="143"/>
        <v/>
      </c>
      <c r="GD65" s="51" t="str">
        <f t="shared" si="144"/>
        <v/>
      </c>
      <c r="GE65" s="20" t="str">
        <f t="shared" si="145"/>
        <v/>
      </c>
      <c r="GF65" s="51" t="b">
        <f t="shared" ref="GF65:GI65" si="528">GF19</f>
        <v>0</v>
      </c>
      <c r="GG65" s="51" t="b">
        <f t="shared" si="528"/>
        <v>0</v>
      </c>
      <c r="GH65" s="51" t="b">
        <f t="shared" si="528"/>
        <v>0</v>
      </c>
      <c r="GI65" s="51" t="b">
        <f t="shared" si="528"/>
        <v>0</v>
      </c>
      <c r="GJ65" s="51" t="str">
        <f t="shared" si="147"/>
        <v/>
      </c>
      <c r="GK65" s="19" t="str">
        <f t="shared" si="148"/>
        <v/>
      </c>
      <c r="GL65" s="20" t="str">
        <f t="shared" si="149"/>
        <v/>
      </c>
      <c r="GM65" s="51" t="b">
        <f t="shared" ref="GM65:GP65" si="529">GM19</f>
        <v>0</v>
      </c>
      <c r="GN65" s="51" t="b">
        <f t="shared" si="529"/>
        <v>0</v>
      </c>
      <c r="GO65" s="51" t="b">
        <f t="shared" si="529"/>
        <v>0</v>
      </c>
      <c r="GP65" s="51" t="b">
        <f t="shared" si="529"/>
        <v>0</v>
      </c>
      <c r="GQ65" s="20" t="str">
        <f t="shared" si="151"/>
        <v/>
      </c>
      <c r="GR65" s="51" t="str">
        <f t="shared" si="152"/>
        <v/>
      </c>
      <c r="GS65" s="20" t="str">
        <f t="shared" si="153"/>
        <v/>
      </c>
      <c r="GT65" s="51" t="b">
        <f t="shared" ref="GT65:GU65" si="530">GT19</f>
        <v>0</v>
      </c>
      <c r="GU65" s="51" t="b">
        <f t="shared" si="530"/>
        <v>0</v>
      </c>
      <c r="GV65" s="51" t="b">
        <f t="shared" ref="GV65:GW65" si="531">GV19</f>
        <v>0</v>
      </c>
      <c r="GW65" s="51" t="b">
        <f t="shared" si="531"/>
        <v>0</v>
      </c>
      <c r="GX65" s="20" t="str">
        <f t="shared" si="154"/>
        <v/>
      </c>
      <c r="GY65" s="51" t="str">
        <f t="shared" si="155"/>
        <v/>
      </c>
      <c r="GZ65" s="20" t="str">
        <f t="shared" si="156"/>
        <v/>
      </c>
      <c r="HA65" s="51" t="b">
        <f t="shared" ref="HA65:HD65" si="532">HA19</f>
        <v>0</v>
      </c>
      <c r="HB65" s="51" t="b">
        <f t="shared" si="532"/>
        <v>0</v>
      </c>
      <c r="HC65" s="51" t="b">
        <f t="shared" si="532"/>
        <v>0</v>
      </c>
      <c r="HD65" s="51" t="b">
        <f t="shared" si="532"/>
        <v>0</v>
      </c>
      <c r="HE65" s="51" t="str">
        <f t="shared" si="158"/>
        <v/>
      </c>
      <c r="HF65" s="19" t="str">
        <f t="shared" si="159"/>
        <v/>
      </c>
      <c r="HG65" s="20" t="str">
        <f t="shared" si="160"/>
        <v/>
      </c>
      <c r="HH65" s="51" t="b">
        <f t="shared" ref="HH65:HK65" si="533">HH19</f>
        <v>0</v>
      </c>
      <c r="HI65" s="51" t="b">
        <f t="shared" si="533"/>
        <v>0</v>
      </c>
      <c r="HJ65" s="51" t="b">
        <f t="shared" si="533"/>
        <v>0</v>
      </c>
      <c r="HK65" s="51" t="b">
        <f t="shared" si="533"/>
        <v>0</v>
      </c>
      <c r="HL65" s="20" t="str">
        <f t="shared" si="162"/>
        <v/>
      </c>
      <c r="HM65" s="51" t="str">
        <f t="shared" si="163"/>
        <v/>
      </c>
      <c r="HN65" s="20" t="str">
        <f t="shared" si="164"/>
        <v/>
      </c>
      <c r="HO65" s="51" t="b">
        <f t="shared" ref="HO65:HP65" si="534">HO19</f>
        <v>0</v>
      </c>
      <c r="HP65" s="51" t="b">
        <f t="shared" si="534"/>
        <v>0</v>
      </c>
      <c r="HQ65" s="51" t="b">
        <f t="shared" ref="HQ65:HR65" si="535">HQ19</f>
        <v>0</v>
      </c>
      <c r="HR65" s="51" t="b">
        <f t="shared" si="535"/>
        <v>0</v>
      </c>
      <c r="HS65" s="20" t="str">
        <f t="shared" si="165"/>
        <v/>
      </c>
      <c r="HT65" s="51" t="str">
        <f t="shared" si="166"/>
        <v/>
      </c>
      <c r="HU65" s="20" t="str">
        <f t="shared" si="167"/>
        <v/>
      </c>
      <c r="HV65" s="51" t="b">
        <f t="shared" ref="HV65:HY65" si="536">HV19</f>
        <v>0</v>
      </c>
      <c r="HW65" s="51" t="b">
        <f t="shared" si="536"/>
        <v>0</v>
      </c>
      <c r="HX65" s="51" t="b">
        <f t="shared" si="536"/>
        <v>0</v>
      </c>
      <c r="HY65" s="51" t="b">
        <f t="shared" si="536"/>
        <v>0</v>
      </c>
      <c r="HZ65" s="51" t="str">
        <f t="shared" si="169"/>
        <v/>
      </c>
      <c r="IA65" s="19" t="str">
        <f t="shared" si="170"/>
        <v/>
      </c>
      <c r="IB65" s="20" t="str">
        <f t="shared" si="171"/>
        <v/>
      </c>
      <c r="IC65" s="51" t="b">
        <f t="shared" ref="IC65:IF65" si="537">IC19</f>
        <v>0</v>
      </c>
      <c r="ID65" s="51" t="b">
        <f t="shared" si="537"/>
        <v>0</v>
      </c>
      <c r="IE65" s="51" t="b">
        <f t="shared" si="537"/>
        <v>0</v>
      </c>
      <c r="IF65" s="51" t="b">
        <f t="shared" si="537"/>
        <v>0</v>
      </c>
      <c r="IG65" s="20" t="str">
        <f t="shared" si="173"/>
        <v/>
      </c>
      <c r="IH65" s="51" t="str">
        <f t="shared" si="174"/>
        <v/>
      </c>
      <c r="II65" s="20" t="str">
        <f t="shared" si="175"/>
        <v/>
      </c>
      <c r="IJ65" s="51" t="b">
        <f t="shared" ref="IJ65:IK65" si="538">IJ19</f>
        <v>0</v>
      </c>
      <c r="IK65" s="51" t="b">
        <f t="shared" si="538"/>
        <v>0</v>
      </c>
      <c r="IL65" s="51" t="b">
        <f t="shared" ref="IL65:IM65" si="539">IL19</f>
        <v>0</v>
      </c>
      <c r="IM65" s="51" t="b">
        <f t="shared" si="539"/>
        <v>0</v>
      </c>
      <c r="IN65" s="20" t="str">
        <f t="shared" si="176"/>
        <v/>
      </c>
      <c r="IO65" s="51" t="str">
        <f t="shared" si="177"/>
        <v/>
      </c>
      <c r="IP65" s="20" t="str">
        <f t="shared" si="178"/>
        <v/>
      </c>
      <c r="IQ65" s="51" t="b">
        <f t="shared" ref="IQ65:IT65" si="540">IQ19</f>
        <v>0</v>
      </c>
      <c r="IR65" s="51" t="b">
        <f t="shared" si="540"/>
        <v>0</v>
      </c>
      <c r="IS65" s="51" t="b">
        <f t="shared" si="540"/>
        <v>0</v>
      </c>
      <c r="IT65" s="51" t="b">
        <f t="shared" si="540"/>
        <v>0</v>
      </c>
      <c r="IU65" s="51" t="str">
        <f t="shared" si="180"/>
        <v/>
      </c>
      <c r="IV65" s="116"/>
    </row>
    <row r="66" spans="1:256" x14ac:dyDescent="0.2">
      <c r="A66" s="13" t="str">
        <f t="shared" si="47"/>
        <v/>
      </c>
      <c r="B66" s="14" t="str">
        <f t="shared" si="47"/>
        <v/>
      </c>
      <c r="C66">
        <v>11</v>
      </c>
      <c r="D66" s="19" t="str">
        <f t="shared" si="48"/>
        <v/>
      </c>
      <c r="E66" s="20" t="str">
        <f t="shared" si="49"/>
        <v/>
      </c>
      <c r="F66" s="51" t="str">
        <f t="shared" si="50"/>
        <v>FALSE</v>
      </c>
      <c r="G66" s="51" t="str">
        <f t="shared" si="50"/>
        <v>FALSE</v>
      </c>
      <c r="H66" s="51" t="str">
        <f t="shared" si="50"/>
        <v>FALSE</v>
      </c>
      <c r="I66" s="51" t="str">
        <f t="shared" si="50"/>
        <v>FALSE</v>
      </c>
      <c r="J66" s="20" t="str">
        <f t="shared" si="51"/>
        <v/>
      </c>
      <c r="K66" s="51" t="str">
        <f t="shared" si="52"/>
        <v/>
      </c>
      <c r="L66" s="20" t="str">
        <f t="shared" si="53"/>
        <v/>
      </c>
      <c r="M66" s="51" t="str">
        <f t="shared" si="54"/>
        <v>FALSE</v>
      </c>
      <c r="N66" s="51" t="str">
        <f t="shared" si="54"/>
        <v>FALSE</v>
      </c>
      <c r="O66" s="51" t="str">
        <f t="shared" si="54"/>
        <v>FALSE</v>
      </c>
      <c r="P66" s="51" t="str">
        <f t="shared" si="54"/>
        <v>FALSE</v>
      </c>
      <c r="Q66" s="20" t="str">
        <f t="shared" si="55"/>
        <v/>
      </c>
      <c r="R66" s="51" t="str">
        <f t="shared" si="56"/>
        <v/>
      </c>
      <c r="S66" s="51" t="str">
        <f t="shared" si="57"/>
        <v/>
      </c>
      <c r="T66" s="51" t="str">
        <f t="shared" si="58"/>
        <v>FALSE</v>
      </c>
      <c r="U66" s="51" t="str">
        <f t="shared" si="58"/>
        <v>FALSE</v>
      </c>
      <c r="V66" s="51" t="str">
        <f t="shared" si="58"/>
        <v>FALSE</v>
      </c>
      <c r="W66" s="51" t="str">
        <f t="shared" si="58"/>
        <v>FALSE</v>
      </c>
      <c r="X66" s="22" t="str">
        <f t="shared" si="59"/>
        <v/>
      </c>
      <c r="Y66" s="19" t="str">
        <f t="shared" si="60"/>
        <v/>
      </c>
      <c r="Z66" s="20" t="str">
        <f t="shared" si="61"/>
        <v/>
      </c>
      <c r="AA66" s="51" t="str">
        <f t="shared" si="62"/>
        <v>FALSE</v>
      </c>
      <c r="AB66" s="51" t="str">
        <f t="shared" si="62"/>
        <v>FALSE</v>
      </c>
      <c r="AC66" s="51" t="str">
        <f t="shared" si="62"/>
        <v>FALSE</v>
      </c>
      <c r="AD66" s="51" t="str">
        <f t="shared" si="62"/>
        <v>FALSE</v>
      </c>
      <c r="AE66" s="20" t="str">
        <f t="shared" si="63"/>
        <v/>
      </c>
      <c r="AF66" s="51" t="str">
        <f t="shared" si="64"/>
        <v/>
      </c>
      <c r="AG66" s="20" t="str">
        <f t="shared" si="65"/>
        <v/>
      </c>
      <c r="AH66" s="51" t="str">
        <f t="shared" ref="AH66:AK66" si="541">AH20</f>
        <v>FALSE</v>
      </c>
      <c r="AI66" s="51" t="str">
        <f t="shared" si="541"/>
        <v>FALSE</v>
      </c>
      <c r="AJ66" s="51" t="str">
        <f t="shared" si="541"/>
        <v>FALSE</v>
      </c>
      <c r="AK66" s="51" t="str">
        <f t="shared" si="541"/>
        <v>FALSE</v>
      </c>
      <c r="AL66" s="20" t="str">
        <f t="shared" si="66"/>
        <v/>
      </c>
      <c r="AM66" s="51" t="str">
        <f t="shared" si="67"/>
        <v/>
      </c>
      <c r="AN66" s="20" t="str">
        <f t="shared" si="68"/>
        <v/>
      </c>
      <c r="AO66" s="51" t="str">
        <f t="shared" si="69"/>
        <v>FALSE</v>
      </c>
      <c r="AP66" s="51" t="str">
        <f t="shared" si="69"/>
        <v>FALSE</v>
      </c>
      <c r="AQ66" s="51" t="str">
        <f t="shared" si="69"/>
        <v>FALSE</v>
      </c>
      <c r="AR66" s="51" t="str">
        <f t="shared" si="69"/>
        <v>FALSE</v>
      </c>
      <c r="AS66" s="51" t="str">
        <f t="shared" si="70"/>
        <v/>
      </c>
      <c r="AT66" s="19" t="str">
        <f t="shared" si="71"/>
        <v/>
      </c>
      <c r="AU66" s="20" t="str">
        <f t="shared" si="72"/>
        <v/>
      </c>
      <c r="AV66" s="51" t="str">
        <f t="shared" ref="AV66:AY66" si="542">AV20</f>
        <v>FALSE</v>
      </c>
      <c r="AW66" s="51" t="str">
        <f t="shared" si="542"/>
        <v>FALSE</v>
      </c>
      <c r="AX66" s="51" t="str">
        <f t="shared" si="542"/>
        <v>FALSE</v>
      </c>
      <c r="AY66" s="51" t="str">
        <f t="shared" si="542"/>
        <v>FALSE</v>
      </c>
      <c r="AZ66" s="20" t="str">
        <f t="shared" si="74"/>
        <v/>
      </c>
      <c r="BA66" s="51" t="str">
        <f t="shared" si="75"/>
        <v/>
      </c>
      <c r="BB66" s="20" t="str">
        <f t="shared" si="76"/>
        <v/>
      </c>
      <c r="BC66" s="51" t="str">
        <f t="shared" ref="BC66:BF66" si="543">BC20</f>
        <v>FALSE</v>
      </c>
      <c r="BD66" s="51" t="str">
        <f t="shared" si="543"/>
        <v>FALSE</v>
      </c>
      <c r="BE66" s="51" t="str">
        <f t="shared" si="543"/>
        <v>FALSE</v>
      </c>
      <c r="BF66" s="51" t="str">
        <f t="shared" si="543"/>
        <v>FALSE</v>
      </c>
      <c r="BG66" s="20" t="str">
        <f t="shared" si="77"/>
        <v/>
      </c>
      <c r="BH66" s="51" t="str">
        <f t="shared" si="78"/>
        <v/>
      </c>
      <c r="BI66" s="20" t="str">
        <f t="shared" si="79"/>
        <v/>
      </c>
      <c r="BJ66" s="51" t="str">
        <f t="shared" ref="BJ66:BM66" si="544">BJ20</f>
        <v>FALSE</v>
      </c>
      <c r="BK66" s="51" t="str">
        <f t="shared" si="544"/>
        <v>FALSE</v>
      </c>
      <c r="BL66" s="51" t="str">
        <f t="shared" si="544"/>
        <v>FALSE</v>
      </c>
      <c r="BM66" s="51" t="str">
        <f t="shared" si="544"/>
        <v>FALSE</v>
      </c>
      <c r="BN66" s="51" t="str">
        <f t="shared" si="81"/>
        <v/>
      </c>
      <c r="BO66" s="19" t="str">
        <f t="shared" si="82"/>
        <v/>
      </c>
      <c r="BP66" s="20" t="str">
        <f t="shared" si="83"/>
        <v/>
      </c>
      <c r="BQ66" s="51" t="b">
        <f t="shared" ref="BQ66:BT66" si="545">BQ20</f>
        <v>0</v>
      </c>
      <c r="BR66" s="51" t="b">
        <f t="shared" si="545"/>
        <v>0</v>
      </c>
      <c r="BS66" s="51" t="b">
        <f t="shared" si="545"/>
        <v>0</v>
      </c>
      <c r="BT66" s="51" t="b">
        <f t="shared" si="545"/>
        <v>0</v>
      </c>
      <c r="BU66" s="20" t="str">
        <f t="shared" si="85"/>
        <v/>
      </c>
      <c r="BV66" s="51" t="str">
        <f t="shared" si="86"/>
        <v/>
      </c>
      <c r="BW66" s="20" t="str">
        <f t="shared" si="87"/>
        <v/>
      </c>
      <c r="BX66" s="51" t="b">
        <f t="shared" ref="BX66:BY66" si="546">BX20</f>
        <v>0</v>
      </c>
      <c r="BY66" s="51" t="b">
        <f t="shared" si="546"/>
        <v>0</v>
      </c>
      <c r="BZ66" s="51" t="b">
        <f t="shared" ref="BZ66:CA66" si="547">BZ20</f>
        <v>0</v>
      </c>
      <c r="CA66" s="51" t="b">
        <f t="shared" si="547"/>
        <v>0</v>
      </c>
      <c r="CB66" s="20" t="str">
        <f t="shared" si="88"/>
        <v/>
      </c>
      <c r="CC66" s="51" t="str">
        <f t="shared" si="89"/>
        <v/>
      </c>
      <c r="CD66" s="20" t="str">
        <f t="shared" si="90"/>
        <v/>
      </c>
      <c r="CE66" s="51" t="b">
        <f t="shared" ref="CE66:CH66" si="548">CE20</f>
        <v>0</v>
      </c>
      <c r="CF66" s="51" t="b">
        <f t="shared" si="548"/>
        <v>0</v>
      </c>
      <c r="CG66" s="51" t="b">
        <f t="shared" si="548"/>
        <v>0</v>
      </c>
      <c r="CH66" s="51" t="b">
        <f t="shared" si="548"/>
        <v>0</v>
      </c>
      <c r="CI66" s="51" t="str">
        <f t="shared" si="92"/>
        <v/>
      </c>
      <c r="CJ66" s="19" t="str">
        <f t="shared" si="93"/>
        <v/>
      </c>
      <c r="CK66" s="20" t="str">
        <f t="shared" si="94"/>
        <v/>
      </c>
      <c r="CL66" s="51" t="b">
        <f t="shared" ref="CL66:CO66" si="549">CL20</f>
        <v>0</v>
      </c>
      <c r="CM66" s="51" t="b">
        <f t="shared" si="549"/>
        <v>0</v>
      </c>
      <c r="CN66" s="51" t="b">
        <f t="shared" si="549"/>
        <v>0</v>
      </c>
      <c r="CO66" s="51" t="b">
        <f t="shared" si="549"/>
        <v>0</v>
      </c>
      <c r="CP66" s="20" t="str">
        <f t="shared" si="96"/>
        <v/>
      </c>
      <c r="CQ66" s="51" t="str">
        <f t="shared" si="97"/>
        <v/>
      </c>
      <c r="CR66" s="20" t="str">
        <f t="shared" si="98"/>
        <v/>
      </c>
      <c r="CS66" s="51" t="b">
        <f t="shared" ref="CS66:CT66" si="550">CS20</f>
        <v>0</v>
      </c>
      <c r="CT66" s="51" t="b">
        <f t="shared" si="550"/>
        <v>0</v>
      </c>
      <c r="CU66" s="51" t="b">
        <f t="shared" ref="CU66:CV66" si="551">CU20</f>
        <v>0</v>
      </c>
      <c r="CV66" s="51" t="b">
        <f t="shared" si="551"/>
        <v>0</v>
      </c>
      <c r="CW66" s="20" t="str">
        <f t="shared" si="99"/>
        <v/>
      </c>
      <c r="CX66" s="51" t="str">
        <f t="shared" si="100"/>
        <v/>
      </c>
      <c r="CY66" s="20" t="str">
        <f t="shared" si="101"/>
        <v/>
      </c>
      <c r="CZ66" s="51" t="b">
        <f t="shared" ref="CZ66:DC66" si="552">CZ20</f>
        <v>0</v>
      </c>
      <c r="DA66" s="51" t="b">
        <f t="shared" si="552"/>
        <v>0</v>
      </c>
      <c r="DB66" s="51" t="b">
        <f t="shared" si="552"/>
        <v>0</v>
      </c>
      <c r="DC66" s="51" t="b">
        <f t="shared" si="552"/>
        <v>0</v>
      </c>
      <c r="DD66" s="51" t="str">
        <f t="shared" si="103"/>
        <v/>
      </c>
      <c r="DE66" s="19" t="str">
        <f t="shared" si="104"/>
        <v/>
      </c>
      <c r="DF66" s="20" t="str">
        <f t="shared" si="105"/>
        <v/>
      </c>
      <c r="DG66" s="51" t="b">
        <f t="shared" ref="DG66:DJ66" si="553">DG20</f>
        <v>0</v>
      </c>
      <c r="DH66" s="51" t="b">
        <f t="shared" si="553"/>
        <v>0</v>
      </c>
      <c r="DI66" s="51" t="b">
        <f t="shared" si="553"/>
        <v>0</v>
      </c>
      <c r="DJ66" s="51" t="b">
        <f t="shared" si="553"/>
        <v>0</v>
      </c>
      <c r="DK66" s="20" t="str">
        <f t="shared" si="107"/>
        <v/>
      </c>
      <c r="DL66" s="51" t="str">
        <f t="shared" si="108"/>
        <v/>
      </c>
      <c r="DM66" s="20" t="str">
        <f t="shared" si="109"/>
        <v/>
      </c>
      <c r="DN66" s="51" t="b">
        <f t="shared" ref="DN66:DO66" si="554">DN20</f>
        <v>0</v>
      </c>
      <c r="DO66" s="51" t="b">
        <f t="shared" si="554"/>
        <v>0</v>
      </c>
      <c r="DP66" s="51" t="b">
        <f t="shared" ref="DP66:DQ66" si="555">DP20</f>
        <v>0</v>
      </c>
      <c r="DQ66" s="51" t="b">
        <f t="shared" si="555"/>
        <v>0</v>
      </c>
      <c r="DR66" s="20" t="str">
        <f t="shared" si="110"/>
        <v/>
      </c>
      <c r="DS66" s="51" t="str">
        <f t="shared" si="111"/>
        <v/>
      </c>
      <c r="DT66" s="20" t="str">
        <f t="shared" si="112"/>
        <v/>
      </c>
      <c r="DU66" s="51" t="b">
        <f t="shared" ref="DU66:DX66" si="556">DU20</f>
        <v>0</v>
      </c>
      <c r="DV66" s="51" t="b">
        <f t="shared" si="556"/>
        <v>0</v>
      </c>
      <c r="DW66" s="51" t="b">
        <f t="shared" si="556"/>
        <v>0</v>
      </c>
      <c r="DX66" s="51" t="b">
        <f t="shared" si="556"/>
        <v>0</v>
      </c>
      <c r="DY66" s="51" t="str">
        <f t="shared" si="114"/>
        <v/>
      </c>
      <c r="DZ66" s="19" t="str">
        <f t="shared" si="115"/>
        <v/>
      </c>
      <c r="EA66" s="20" t="str">
        <f t="shared" si="116"/>
        <v/>
      </c>
      <c r="EB66" s="51" t="b">
        <f t="shared" ref="EB66:EE66" si="557">EB20</f>
        <v>0</v>
      </c>
      <c r="EC66" s="51" t="b">
        <f t="shared" si="557"/>
        <v>0</v>
      </c>
      <c r="ED66" s="51" t="b">
        <f t="shared" si="557"/>
        <v>0</v>
      </c>
      <c r="EE66" s="51" t="b">
        <f t="shared" si="557"/>
        <v>0</v>
      </c>
      <c r="EF66" s="20" t="str">
        <f t="shared" si="118"/>
        <v/>
      </c>
      <c r="EG66" s="51" t="str">
        <f t="shared" si="119"/>
        <v/>
      </c>
      <c r="EH66" s="20" t="str">
        <f t="shared" si="120"/>
        <v/>
      </c>
      <c r="EI66" s="51" t="b">
        <f t="shared" ref="EI66:EJ66" si="558">EI20</f>
        <v>0</v>
      </c>
      <c r="EJ66" s="51" t="b">
        <f t="shared" si="558"/>
        <v>0</v>
      </c>
      <c r="EK66" s="51" t="b">
        <f t="shared" ref="EK66:EL66" si="559">EK20</f>
        <v>0</v>
      </c>
      <c r="EL66" s="51" t="b">
        <f t="shared" si="559"/>
        <v>0</v>
      </c>
      <c r="EM66" s="20" t="str">
        <f t="shared" si="121"/>
        <v/>
      </c>
      <c r="EN66" s="51" t="str">
        <f t="shared" si="122"/>
        <v/>
      </c>
      <c r="EO66" s="20" t="str">
        <f t="shared" si="123"/>
        <v/>
      </c>
      <c r="EP66" s="51" t="b">
        <f t="shared" ref="EP66:ES66" si="560">EP20</f>
        <v>0</v>
      </c>
      <c r="EQ66" s="51" t="b">
        <f t="shared" si="560"/>
        <v>0</v>
      </c>
      <c r="ER66" s="51" t="b">
        <f t="shared" si="560"/>
        <v>0</v>
      </c>
      <c r="ES66" s="51" t="b">
        <f t="shared" si="560"/>
        <v>0</v>
      </c>
      <c r="ET66" s="51" t="str">
        <f t="shared" si="125"/>
        <v/>
      </c>
      <c r="EU66" s="19" t="str">
        <f t="shared" si="126"/>
        <v/>
      </c>
      <c r="EV66" s="20" t="str">
        <f t="shared" si="127"/>
        <v/>
      </c>
      <c r="EW66" s="51" t="b">
        <f t="shared" ref="EW66:EZ66" si="561">EW20</f>
        <v>0</v>
      </c>
      <c r="EX66" s="51" t="b">
        <f t="shared" si="561"/>
        <v>0</v>
      </c>
      <c r="EY66" s="51" t="b">
        <f t="shared" si="561"/>
        <v>0</v>
      </c>
      <c r="EZ66" s="51" t="b">
        <f t="shared" si="561"/>
        <v>0</v>
      </c>
      <c r="FA66" s="20" t="str">
        <f t="shared" si="129"/>
        <v/>
      </c>
      <c r="FB66" s="51" t="str">
        <f t="shared" si="130"/>
        <v/>
      </c>
      <c r="FC66" s="20" t="str">
        <f t="shared" si="131"/>
        <v/>
      </c>
      <c r="FD66" s="51" t="b">
        <f t="shared" ref="FD66:FE66" si="562">FD20</f>
        <v>0</v>
      </c>
      <c r="FE66" s="51" t="b">
        <f t="shared" si="562"/>
        <v>0</v>
      </c>
      <c r="FF66" s="51" t="b">
        <f t="shared" ref="FF66:FG66" si="563">FF20</f>
        <v>0</v>
      </c>
      <c r="FG66" s="51" t="b">
        <f t="shared" si="563"/>
        <v>0</v>
      </c>
      <c r="FH66" s="20" t="str">
        <f t="shared" si="132"/>
        <v/>
      </c>
      <c r="FI66" s="51" t="str">
        <f t="shared" si="133"/>
        <v/>
      </c>
      <c r="FJ66" s="20" t="str">
        <f t="shared" si="134"/>
        <v/>
      </c>
      <c r="FK66" s="51" t="b">
        <f t="shared" ref="FK66:FN66" si="564">FK20</f>
        <v>0</v>
      </c>
      <c r="FL66" s="51" t="b">
        <f t="shared" si="564"/>
        <v>0</v>
      </c>
      <c r="FM66" s="51" t="b">
        <f t="shared" si="564"/>
        <v>0</v>
      </c>
      <c r="FN66" s="51" t="b">
        <f t="shared" si="564"/>
        <v>0</v>
      </c>
      <c r="FO66" s="51" t="str">
        <f t="shared" si="136"/>
        <v/>
      </c>
      <c r="FP66" s="19" t="str">
        <f t="shared" si="137"/>
        <v/>
      </c>
      <c r="FQ66" s="20" t="str">
        <f t="shared" si="138"/>
        <v/>
      </c>
      <c r="FR66" s="51" t="b">
        <f t="shared" ref="FR66:FU66" si="565">FR20</f>
        <v>0</v>
      </c>
      <c r="FS66" s="51" t="b">
        <f t="shared" si="565"/>
        <v>0</v>
      </c>
      <c r="FT66" s="51" t="b">
        <f t="shared" si="565"/>
        <v>0</v>
      </c>
      <c r="FU66" s="51" t="b">
        <f t="shared" si="565"/>
        <v>0</v>
      </c>
      <c r="FV66" s="20" t="str">
        <f t="shared" si="140"/>
        <v/>
      </c>
      <c r="FW66" s="51" t="str">
        <f t="shared" si="141"/>
        <v/>
      </c>
      <c r="FX66" s="20" t="str">
        <f t="shared" si="142"/>
        <v/>
      </c>
      <c r="FY66" s="51" t="b">
        <f t="shared" ref="FY66:FZ66" si="566">FY20</f>
        <v>0</v>
      </c>
      <c r="FZ66" s="51" t="b">
        <f t="shared" si="566"/>
        <v>0</v>
      </c>
      <c r="GA66" s="51" t="b">
        <f t="shared" ref="GA66:GB66" si="567">GA20</f>
        <v>0</v>
      </c>
      <c r="GB66" s="51" t="b">
        <f t="shared" si="567"/>
        <v>0</v>
      </c>
      <c r="GC66" s="20" t="str">
        <f t="shared" si="143"/>
        <v/>
      </c>
      <c r="GD66" s="51" t="str">
        <f t="shared" si="144"/>
        <v/>
      </c>
      <c r="GE66" s="20" t="str">
        <f t="shared" si="145"/>
        <v/>
      </c>
      <c r="GF66" s="51" t="b">
        <f t="shared" ref="GF66:GI66" si="568">GF20</f>
        <v>0</v>
      </c>
      <c r="GG66" s="51" t="b">
        <f t="shared" si="568"/>
        <v>0</v>
      </c>
      <c r="GH66" s="51" t="b">
        <f t="shared" si="568"/>
        <v>0</v>
      </c>
      <c r="GI66" s="51" t="b">
        <f t="shared" si="568"/>
        <v>0</v>
      </c>
      <c r="GJ66" s="51" t="str">
        <f t="shared" si="147"/>
        <v/>
      </c>
      <c r="GK66" s="19" t="str">
        <f t="shared" si="148"/>
        <v/>
      </c>
      <c r="GL66" s="20" t="str">
        <f t="shared" si="149"/>
        <v/>
      </c>
      <c r="GM66" s="51" t="b">
        <f t="shared" ref="GM66:GP66" si="569">GM20</f>
        <v>0</v>
      </c>
      <c r="GN66" s="51" t="b">
        <f t="shared" si="569"/>
        <v>0</v>
      </c>
      <c r="GO66" s="51" t="b">
        <f t="shared" si="569"/>
        <v>0</v>
      </c>
      <c r="GP66" s="51" t="b">
        <f t="shared" si="569"/>
        <v>0</v>
      </c>
      <c r="GQ66" s="20" t="str">
        <f t="shared" si="151"/>
        <v/>
      </c>
      <c r="GR66" s="51" t="str">
        <f t="shared" si="152"/>
        <v/>
      </c>
      <c r="GS66" s="20" t="str">
        <f t="shared" si="153"/>
        <v/>
      </c>
      <c r="GT66" s="51" t="b">
        <f t="shared" ref="GT66:GU66" si="570">GT20</f>
        <v>0</v>
      </c>
      <c r="GU66" s="51" t="b">
        <f t="shared" si="570"/>
        <v>0</v>
      </c>
      <c r="GV66" s="51" t="b">
        <f t="shared" ref="GV66:GW66" si="571">GV20</f>
        <v>0</v>
      </c>
      <c r="GW66" s="51" t="b">
        <f t="shared" si="571"/>
        <v>0</v>
      </c>
      <c r="GX66" s="20" t="str">
        <f t="shared" si="154"/>
        <v/>
      </c>
      <c r="GY66" s="51" t="str">
        <f t="shared" si="155"/>
        <v/>
      </c>
      <c r="GZ66" s="20" t="str">
        <f t="shared" si="156"/>
        <v/>
      </c>
      <c r="HA66" s="51" t="b">
        <f t="shared" ref="HA66:HD66" si="572">HA20</f>
        <v>0</v>
      </c>
      <c r="HB66" s="51" t="b">
        <f t="shared" si="572"/>
        <v>0</v>
      </c>
      <c r="HC66" s="51" t="b">
        <f t="shared" si="572"/>
        <v>0</v>
      </c>
      <c r="HD66" s="51" t="b">
        <f t="shared" si="572"/>
        <v>0</v>
      </c>
      <c r="HE66" s="51" t="str">
        <f t="shared" si="158"/>
        <v/>
      </c>
      <c r="HF66" s="19" t="str">
        <f t="shared" si="159"/>
        <v/>
      </c>
      <c r="HG66" s="20" t="str">
        <f t="shared" si="160"/>
        <v/>
      </c>
      <c r="HH66" s="51" t="b">
        <f t="shared" ref="HH66:HK66" si="573">HH20</f>
        <v>0</v>
      </c>
      <c r="HI66" s="51" t="b">
        <f t="shared" si="573"/>
        <v>0</v>
      </c>
      <c r="HJ66" s="51" t="b">
        <f t="shared" si="573"/>
        <v>0</v>
      </c>
      <c r="HK66" s="51" t="b">
        <f t="shared" si="573"/>
        <v>0</v>
      </c>
      <c r="HL66" s="20" t="str">
        <f t="shared" si="162"/>
        <v/>
      </c>
      <c r="HM66" s="51" t="str">
        <f t="shared" si="163"/>
        <v/>
      </c>
      <c r="HN66" s="20" t="str">
        <f t="shared" si="164"/>
        <v/>
      </c>
      <c r="HO66" s="51" t="b">
        <f t="shared" ref="HO66:HP66" si="574">HO20</f>
        <v>0</v>
      </c>
      <c r="HP66" s="51" t="b">
        <f t="shared" si="574"/>
        <v>0</v>
      </c>
      <c r="HQ66" s="51" t="b">
        <f t="shared" ref="HQ66:HR66" si="575">HQ20</f>
        <v>0</v>
      </c>
      <c r="HR66" s="51" t="b">
        <f t="shared" si="575"/>
        <v>0</v>
      </c>
      <c r="HS66" s="20" t="str">
        <f t="shared" si="165"/>
        <v/>
      </c>
      <c r="HT66" s="51" t="str">
        <f t="shared" si="166"/>
        <v/>
      </c>
      <c r="HU66" s="20" t="str">
        <f t="shared" si="167"/>
        <v/>
      </c>
      <c r="HV66" s="51" t="b">
        <f t="shared" ref="HV66:HY66" si="576">HV20</f>
        <v>0</v>
      </c>
      <c r="HW66" s="51" t="b">
        <f t="shared" si="576"/>
        <v>0</v>
      </c>
      <c r="HX66" s="51" t="b">
        <f t="shared" si="576"/>
        <v>0</v>
      </c>
      <c r="HY66" s="51" t="b">
        <f t="shared" si="576"/>
        <v>0</v>
      </c>
      <c r="HZ66" s="51" t="str">
        <f t="shared" si="169"/>
        <v/>
      </c>
      <c r="IA66" s="19" t="str">
        <f t="shared" si="170"/>
        <v/>
      </c>
      <c r="IB66" s="20" t="str">
        <f t="shared" si="171"/>
        <v/>
      </c>
      <c r="IC66" s="51" t="b">
        <f t="shared" ref="IC66:IF66" si="577">IC20</f>
        <v>0</v>
      </c>
      <c r="ID66" s="51" t="b">
        <f t="shared" si="577"/>
        <v>0</v>
      </c>
      <c r="IE66" s="51" t="b">
        <f t="shared" si="577"/>
        <v>0</v>
      </c>
      <c r="IF66" s="51" t="b">
        <f t="shared" si="577"/>
        <v>0</v>
      </c>
      <c r="IG66" s="20" t="str">
        <f t="shared" si="173"/>
        <v/>
      </c>
      <c r="IH66" s="51" t="str">
        <f t="shared" si="174"/>
        <v/>
      </c>
      <c r="II66" s="20" t="str">
        <f t="shared" si="175"/>
        <v/>
      </c>
      <c r="IJ66" s="51" t="b">
        <f t="shared" ref="IJ66:IK66" si="578">IJ20</f>
        <v>0</v>
      </c>
      <c r="IK66" s="51" t="b">
        <f t="shared" si="578"/>
        <v>0</v>
      </c>
      <c r="IL66" s="51" t="b">
        <f t="shared" ref="IL66:IM66" si="579">IL20</f>
        <v>0</v>
      </c>
      <c r="IM66" s="51" t="b">
        <f t="shared" si="579"/>
        <v>0</v>
      </c>
      <c r="IN66" s="20" t="str">
        <f t="shared" si="176"/>
        <v/>
      </c>
      <c r="IO66" s="51" t="str">
        <f t="shared" si="177"/>
        <v/>
      </c>
      <c r="IP66" s="20" t="str">
        <f t="shared" si="178"/>
        <v/>
      </c>
      <c r="IQ66" s="51" t="b">
        <f t="shared" ref="IQ66:IT66" si="580">IQ20</f>
        <v>0</v>
      </c>
      <c r="IR66" s="51" t="b">
        <f t="shared" si="580"/>
        <v>0</v>
      </c>
      <c r="IS66" s="51" t="b">
        <f t="shared" si="580"/>
        <v>0</v>
      </c>
      <c r="IT66" s="51" t="b">
        <f t="shared" si="580"/>
        <v>0</v>
      </c>
      <c r="IU66" s="51" t="str">
        <f t="shared" si="180"/>
        <v/>
      </c>
      <c r="IV66" s="116"/>
    </row>
    <row r="67" spans="1:256" x14ac:dyDescent="0.2">
      <c r="A67" s="15" t="str">
        <f t="shared" si="47"/>
        <v/>
      </c>
      <c r="B67" s="16" t="str">
        <f t="shared" si="47"/>
        <v/>
      </c>
      <c r="C67">
        <v>12</v>
      </c>
      <c r="D67" s="19" t="str">
        <f t="shared" si="48"/>
        <v/>
      </c>
      <c r="E67" s="20" t="str">
        <f t="shared" si="49"/>
        <v/>
      </c>
      <c r="F67" s="51" t="str">
        <f t="shared" si="50"/>
        <v>FALSE</v>
      </c>
      <c r="G67" s="51" t="str">
        <f t="shared" si="50"/>
        <v>FALSE</v>
      </c>
      <c r="H67" s="51" t="str">
        <f t="shared" si="50"/>
        <v>FALSE</v>
      </c>
      <c r="I67" s="51" t="str">
        <f t="shared" si="50"/>
        <v>FALSE</v>
      </c>
      <c r="J67" s="20" t="str">
        <f t="shared" si="51"/>
        <v/>
      </c>
      <c r="K67" s="51" t="str">
        <f t="shared" si="52"/>
        <v/>
      </c>
      <c r="L67" s="20" t="str">
        <f t="shared" si="53"/>
        <v/>
      </c>
      <c r="M67" s="51" t="str">
        <f t="shared" si="54"/>
        <v>FALSE</v>
      </c>
      <c r="N67" s="51" t="str">
        <f t="shared" si="54"/>
        <v>FALSE</v>
      </c>
      <c r="O67" s="51" t="str">
        <f t="shared" si="54"/>
        <v>FALSE</v>
      </c>
      <c r="P67" s="51" t="str">
        <f t="shared" si="54"/>
        <v>FALSE</v>
      </c>
      <c r="Q67" s="20" t="str">
        <f t="shared" si="55"/>
        <v/>
      </c>
      <c r="R67" s="51" t="str">
        <f t="shared" si="56"/>
        <v/>
      </c>
      <c r="S67" s="51" t="str">
        <f t="shared" si="57"/>
        <v/>
      </c>
      <c r="T67" s="51" t="str">
        <f t="shared" si="58"/>
        <v>FALSE</v>
      </c>
      <c r="U67" s="51" t="str">
        <f t="shared" si="58"/>
        <v>FALSE</v>
      </c>
      <c r="V67" s="51" t="str">
        <f t="shared" si="58"/>
        <v>FALSE</v>
      </c>
      <c r="W67" s="51" t="str">
        <f t="shared" si="58"/>
        <v>FALSE</v>
      </c>
      <c r="X67" s="22" t="str">
        <f t="shared" si="59"/>
        <v/>
      </c>
      <c r="Y67" s="19" t="str">
        <f t="shared" si="60"/>
        <v/>
      </c>
      <c r="Z67" s="20" t="str">
        <f t="shared" si="61"/>
        <v/>
      </c>
      <c r="AA67" s="51" t="str">
        <f t="shared" si="62"/>
        <v>FALSE</v>
      </c>
      <c r="AB67" s="51" t="str">
        <f t="shared" si="62"/>
        <v>FALSE</v>
      </c>
      <c r="AC67" s="51" t="str">
        <f t="shared" si="62"/>
        <v>FALSE</v>
      </c>
      <c r="AD67" s="51" t="str">
        <f t="shared" si="62"/>
        <v>FALSE</v>
      </c>
      <c r="AE67" s="20" t="str">
        <f t="shared" si="63"/>
        <v/>
      </c>
      <c r="AF67" s="51" t="str">
        <f t="shared" si="64"/>
        <v/>
      </c>
      <c r="AG67" s="20" t="str">
        <f t="shared" si="65"/>
        <v/>
      </c>
      <c r="AH67" s="51" t="str">
        <f t="shared" ref="AH67:AK67" si="581">AH21</f>
        <v>FALSE</v>
      </c>
      <c r="AI67" s="51" t="str">
        <f t="shared" si="581"/>
        <v>FALSE</v>
      </c>
      <c r="AJ67" s="51" t="str">
        <f t="shared" si="581"/>
        <v>FALSE</v>
      </c>
      <c r="AK67" s="51" t="str">
        <f t="shared" si="581"/>
        <v>FALSE</v>
      </c>
      <c r="AL67" s="20" t="str">
        <f t="shared" si="66"/>
        <v/>
      </c>
      <c r="AM67" s="51" t="str">
        <f t="shared" si="67"/>
        <v/>
      </c>
      <c r="AN67" s="20" t="str">
        <f t="shared" si="68"/>
        <v/>
      </c>
      <c r="AO67" s="51" t="str">
        <f t="shared" si="69"/>
        <v>FALSE</v>
      </c>
      <c r="AP67" s="51" t="str">
        <f t="shared" si="69"/>
        <v>FALSE</v>
      </c>
      <c r="AQ67" s="51" t="str">
        <f t="shared" si="69"/>
        <v>FALSE</v>
      </c>
      <c r="AR67" s="51" t="str">
        <f t="shared" si="69"/>
        <v>FALSE</v>
      </c>
      <c r="AS67" s="51" t="str">
        <f t="shared" si="70"/>
        <v/>
      </c>
      <c r="AT67" s="19" t="str">
        <f t="shared" si="71"/>
        <v/>
      </c>
      <c r="AU67" s="20" t="str">
        <f t="shared" si="72"/>
        <v/>
      </c>
      <c r="AV67" s="51" t="str">
        <f t="shared" ref="AV67:AY67" si="582">AV21</f>
        <v>FALSE</v>
      </c>
      <c r="AW67" s="51" t="str">
        <f t="shared" si="582"/>
        <v>FALSE</v>
      </c>
      <c r="AX67" s="51" t="str">
        <f t="shared" si="582"/>
        <v>FALSE</v>
      </c>
      <c r="AY67" s="51" t="str">
        <f t="shared" si="582"/>
        <v>FALSE</v>
      </c>
      <c r="AZ67" s="20" t="str">
        <f t="shared" si="74"/>
        <v/>
      </c>
      <c r="BA67" s="51" t="str">
        <f t="shared" si="75"/>
        <v/>
      </c>
      <c r="BB67" s="20" t="str">
        <f t="shared" si="76"/>
        <v/>
      </c>
      <c r="BC67" s="51" t="str">
        <f t="shared" ref="BC67:BF67" si="583">BC21</f>
        <v>FALSE</v>
      </c>
      <c r="BD67" s="51" t="str">
        <f t="shared" si="583"/>
        <v>FALSE</v>
      </c>
      <c r="BE67" s="51" t="str">
        <f t="shared" si="583"/>
        <v>FALSE</v>
      </c>
      <c r="BF67" s="51" t="str">
        <f t="shared" si="583"/>
        <v>FALSE</v>
      </c>
      <c r="BG67" s="20" t="str">
        <f t="shared" si="77"/>
        <v/>
      </c>
      <c r="BH67" s="51" t="str">
        <f t="shared" si="78"/>
        <v/>
      </c>
      <c r="BI67" s="20" t="str">
        <f t="shared" si="79"/>
        <v/>
      </c>
      <c r="BJ67" s="51" t="str">
        <f t="shared" ref="BJ67:BM67" si="584">BJ21</f>
        <v>FALSE</v>
      </c>
      <c r="BK67" s="51" t="str">
        <f t="shared" si="584"/>
        <v>FALSE</v>
      </c>
      <c r="BL67" s="51" t="str">
        <f t="shared" si="584"/>
        <v>FALSE</v>
      </c>
      <c r="BM67" s="51" t="str">
        <f t="shared" si="584"/>
        <v>FALSE</v>
      </c>
      <c r="BN67" s="51" t="str">
        <f t="shared" si="81"/>
        <v/>
      </c>
      <c r="BO67" s="19" t="str">
        <f t="shared" si="82"/>
        <v/>
      </c>
      <c r="BP67" s="20" t="str">
        <f t="shared" si="83"/>
        <v/>
      </c>
      <c r="BQ67" s="51" t="b">
        <f t="shared" ref="BQ67:BT67" si="585">BQ21</f>
        <v>0</v>
      </c>
      <c r="BR67" s="51" t="b">
        <f t="shared" si="585"/>
        <v>0</v>
      </c>
      <c r="BS67" s="51" t="b">
        <f t="shared" si="585"/>
        <v>0</v>
      </c>
      <c r="BT67" s="51" t="b">
        <f t="shared" si="585"/>
        <v>0</v>
      </c>
      <c r="BU67" s="20" t="str">
        <f t="shared" si="85"/>
        <v/>
      </c>
      <c r="BV67" s="51" t="str">
        <f t="shared" si="86"/>
        <v/>
      </c>
      <c r="BW67" s="20" t="str">
        <f t="shared" si="87"/>
        <v/>
      </c>
      <c r="BX67" s="51" t="b">
        <f t="shared" ref="BX67:BY67" si="586">BX21</f>
        <v>0</v>
      </c>
      <c r="BY67" s="51" t="b">
        <f t="shared" si="586"/>
        <v>0</v>
      </c>
      <c r="BZ67" s="51" t="b">
        <f t="shared" ref="BZ67:CA67" si="587">BZ21</f>
        <v>0</v>
      </c>
      <c r="CA67" s="51" t="b">
        <f t="shared" si="587"/>
        <v>0</v>
      </c>
      <c r="CB67" s="20" t="str">
        <f t="shared" si="88"/>
        <v/>
      </c>
      <c r="CC67" s="51" t="str">
        <f t="shared" si="89"/>
        <v/>
      </c>
      <c r="CD67" s="20" t="str">
        <f t="shared" si="90"/>
        <v/>
      </c>
      <c r="CE67" s="51" t="b">
        <f t="shared" ref="CE67:CH67" si="588">CE21</f>
        <v>0</v>
      </c>
      <c r="CF67" s="51" t="b">
        <f t="shared" si="588"/>
        <v>0</v>
      </c>
      <c r="CG67" s="51" t="b">
        <f t="shared" si="588"/>
        <v>0</v>
      </c>
      <c r="CH67" s="51" t="b">
        <f t="shared" si="588"/>
        <v>0</v>
      </c>
      <c r="CI67" s="51" t="str">
        <f t="shared" si="92"/>
        <v/>
      </c>
      <c r="CJ67" s="19" t="str">
        <f t="shared" si="93"/>
        <v/>
      </c>
      <c r="CK67" s="20" t="str">
        <f t="shared" si="94"/>
        <v/>
      </c>
      <c r="CL67" s="51" t="b">
        <f t="shared" ref="CL67:CO67" si="589">CL21</f>
        <v>0</v>
      </c>
      <c r="CM67" s="51" t="b">
        <f t="shared" si="589"/>
        <v>0</v>
      </c>
      <c r="CN67" s="51" t="b">
        <f t="shared" si="589"/>
        <v>0</v>
      </c>
      <c r="CO67" s="51" t="b">
        <f t="shared" si="589"/>
        <v>0</v>
      </c>
      <c r="CP67" s="20" t="str">
        <f t="shared" si="96"/>
        <v/>
      </c>
      <c r="CQ67" s="51" t="str">
        <f t="shared" si="97"/>
        <v/>
      </c>
      <c r="CR67" s="20" t="str">
        <f t="shared" si="98"/>
        <v/>
      </c>
      <c r="CS67" s="51" t="b">
        <f t="shared" ref="CS67:CT67" si="590">CS21</f>
        <v>0</v>
      </c>
      <c r="CT67" s="51" t="b">
        <f t="shared" si="590"/>
        <v>0</v>
      </c>
      <c r="CU67" s="51" t="b">
        <f t="shared" ref="CU67:CV67" si="591">CU21</f>
        <v>0</v>
      </c>
      <c r="CV67" s="51" t="b">
        <f t="shared" si="591"/>
        <v>0</v>
      </c>
      <c r="CW67" s="20" t="str">
        <f t="shared" si="99"/>
        <v/>
      </c>
      <c r="CX67" s="51" t="str">
        <f t="shared" si="100"/>
        <v/>
      </c>
      <c r="CY67" s="20" t="str">
        <f t="shared" si="101"/>
        <v/>
      </c>
      <c r="CZ67" s="51" t="b">
        <f t="shared" ref="CZ67:DC67" si="592">CZ21</f>
        <v>0</v>
      </c>
      <c r="DA67" s="51" t="b">
        <f t="shared" si="592"/>
        <v>0</v>
      </c>
      <c r="DB67" s="51" t="b">
        <f t="shared" si="592"/>
        <v>0</v>
      </c>
      <c r="DC67" s="51" t="b">
        <f t="shared" si="592"/>
        <v>0</v>
      </c>
      <c r="DD67" s="51" t="str">
        <f t="shared" si="103"/>
        <v/>
      </c>
      <c r="DE67" s="19" t="str">
        <f t="shared" si="104"/>
        <v/>
      </c>
      <c r="DF67" s="20" t="str">
        <f t="shared" si="105"/>
        <v/>
      </c>
      <c r="DG67" s="51" t="b">
        <f t="shared" ref="DG67:DJ67" si="593">DG21</f>
        <v>0</v>
      </c>
      <c r="DH67" s="51" t="b">
        <f t="shared" si="593"/>
        <v>0</v>
      </c>
      <c r="DI67" s="51" t="b">
        <f t="shared" si="593"/>
        <v>0</v>
      </c>
      <c r="DJ67" s="51" t="b">
        <f t="shared" si="593"/>
        <v>0</v>
      </c>
      <c r="DK67" s="20" t="str">
        <f t="shared" si="107"/>
        <v/>
      </c>
      <c r="DL67" s="51" t="str">
        <f t="shared" si="108"/>
        <v/>
      </c>
      <c r="DM67" s="20" t="str">
        <f t="shared" si="109"/>
        <v/>
      </c>
      <c r="DN67" s="51" t="b">
        <f t="shared" ref="DN67:DO67" si="594">DN21</f>
        <v>0</v>
      </c>
      <c r="DO67" s="51" t="b">
        <f t="shared" si="594"/>
        <v>0</v>
      </c>
      <c r="DP67" s="51" t="b">
        <f t="shared" ref="DP67:DQ67" si="595">DP21</f>
        <v>0</v>
      </c>
      <c r="DQ67" s="51" t="b">
        <f t="shared" si="595"/>
        <v>0</v>
      </c>
      <c r="DR67" s="20" t="str">
        <f t="shared" si="110"/>
        <v/>
      </c>
      <c r="DS67" s="51" t="str">
        <f t="shared" si="111"/>
        <v/>
      </c>
      <c r="DT67" s="20" t="str">
        <f t="shared" si="112"/>
        <v/>
      </c>
      <c r="DU67" s="51" t="b">
        <f t="shared" ref="DU67:DX67" si="596">DU21</f>
        <v>0</v>
      </c>
      <c r="DV67" s="51" t="b">
        <f t="shared" si="596"/>
        <v>0</v>
      </c>
      <c r="DW67" s="51" t="b">
        <f t="shared" si="596"/>
        <v>0</v>
      </c>
      <c r="DX67" s="51" t="b">
        <f t="shared" si="596"/>
        <v>0</v>
      </c>
      <c r="DY67" s="51" t="str">
        <f t="shared" si="114"/>
        <v/>
      </c>
      <c r="DZ67" s="19" t="str">
        <f t="shared" si="115"/>
        <v/>
      </c>
      <c r="EA67" s="20" t="str">
        <f t="shared" si="116"/>
        <v/>
      </c>
      <c r="EB67" s="51" t="b">
        <f t="shared" ref="EB67:EE67" si="597">EB21</f>
        <v>0</v>
      </c>
      <c r="EC67" s="51" t="b">
        <f t="shared" si="597"/>
        <v>0</v>
      </c>
      <c r="ED67" s="51" t="b">
        <f t="shared" si="597"/>
        <v>0</v>
      </c>
      <c r="EE67" s="51" t="b">
        <f t="shared" si="597"/>
        <v>0</v>
      </c>
      <c r="EF67" s="20" t="str">
        <f t="shared" si="118"/>
        <v/>
      </c>
      <c r="EG67" s="51" t="str">
        <f t="shared" si="119"/>
        <v/>
      </c>
      <c r="EH67" s="20" t="str">
        <f t="shared" si="120"/>
        <v/>
      </c>
      <c r="EI67" s="51" t="b">
        <f t="shared" ref="EI67:EJ67" si="598">EI21</f>
        <v>0</v>
      </c>
      <c r="EJ67" s="51" t="b">
        <f t="shared" si="598"/>
        <v>0</v>
      </c>
      <c r="EK67" s="51" t="b">
        <f t="shared" ref="EK67:EL67" si="599">EK21</f>
        <v>0</v>
      </c>
      <c r="EL67" s="51" t="b">
        <f t="shared" si="599"/>
        <v>0</v>
      </c>
      <c r="EM67" s="20" t="str">
        <f t="shared" si="121"/>
        <v/>
      </c>
      <c r="EN67" s="51" t="str">
        <f t="shared" si="122"/>
        <v/>
      </c>
      <c r="EO67" s="20" t="str">
        <f t="shared" si="123"/>
        <v/>
      </c>
      <c r="EP67" s="51" t="b">
        <f t="shared" ref="EP67:ES67" si="600">EP21</f>
        <v>0</v>
      </c>
      <c r="EQ67" s="51" t="b">
        <f t="shared" si="600"/>
        <v>0</v>
      </c>
      <c r="ER67" s="51" t="b">
        <f t="shared" si="600"/>
        <v>0</v>
      </c>
      <c r="ES67" s="51" t="b">
        <f t="shared" si="600"/>
        <v>0</v>
      </c>
      <c r="ET67" s="51" t="str">
        <f t="shared" si="125"/>
        <v/>
      </c>
      <c r="EU67" s="19" t="str">
        <f t="shared" si="126"/>
        <v/>
      </c>
      <c r="EV67" s="20" t="str">
        <f t="shared" si="127"/>
        <v/>
      </c>
      <c r="EW67" s="51" t="b">
        <f t="shared" ref="EW67:EZ67" si="601">EW21</f>
        <v>0</v>
      </c>
      <c r="EX67" s="51" t="b">
        <f t="shared" si="601"/>
        <v>0</v>
      </c>
      <c r="EY67" s="51" t="b">
        <f t="shared" si="601"/>
        <v>0</v>
      </c>
      <c r="EZ67" s="51" t="b">
        <f t="shared" si="601"/>
        <v>0</v>
      </c>
      <c r="FA67" s="20" t="str">
        <f t="shared" si="129"/>
        <v/>
      </c>
      <c r="FB67" s="51" t="str">
        <f t="shared" si="130"/>
        <v/>
      </c>
      <c r="FC67" s="20" t="str">
        <f t="shared" si="131"/>
        <v/>
      </c>
      <c r="FD67" s="51" t="b">
        <f t="shared" ref="FD67:FE67" si="602">FD21</f>
        <v>0</v>
      </c>
      <c r="FE67" s="51" t="b">
        <f t="shared" si="602"/>
        <v>0</v>
      </c>
      <c r="FF67" s="51" t="b">
        <f t="shared" ref="FF67:FG67" si="603">FF21</f>
        <v>0</v>
      </c>
      <c r="FG67" s="51" t="b">
        <f t="shared" si="603"/>
        <v>0</v>
      </c>
      <c r="FH67" s="20" t="str">
        <f t="shared" si="132"/>
        <v/>
      </c>
      <c r="FI67" s="51" t="str">
        <f t="shared" si="133"/>
        <v/>
      </c>
      <c r="FJ67" s="20" t="str">
        <f t="shared" si="134"/>
        <v/>
      </c>
      <c r="FK67" s="51" t="b">
        <f t="shared" ref="FK67:FN67" si="604">FK21</f>
        <v>0</v>
      </c>
      <c r="FL67" s="51" t="b">
        <f t="shared" si="604"/>
        <v>0</v>
      </c>
      <c r="FM67" s="51" t="b">
        <f t="shared" si="604"/>
        <v>0</v>
      </c>
      <c r="FN67" s="51" t="b">
        <f t="shared" si="604"/>
        <v>0</v>
      </c>
      <c r="FO67" s="51" t="str">
        <f t="shared" si="136"/>
        <v/>
      </c>
      <c r="FP67" s="19" t="str">
        <f t="shared" si="137"/>
        <v/>
      </c>
      <c r="FQ67" s="20" t="str">
        <f t="shared" si="138"/>
        <v/>
      </c>
      <c r="FR67" s="51" t="b">
        <f t="shared" ref="FR67:FU67" si="605">FR21</f>
        <v>0</v>
      </c>
      <c r="FS67" s="51" t="b">
        <f t="shared" si="605"/>
        <v>0</v>
      </c>
      <c r="FT67" s="51" t="b">
        <f t="shared" si="605"/>
        <v>0</v>
      </c>
      <c r="FU67" s="51" t="b">
        <f t="shared" si="605"/>
        <v>0</v>
      </c>
      <c r="FV67" s="20" t="str">
        <f t="shared" si="140"/>
        <v/>
      </c>
      <c r="FW67" s="51" t="str">
        <f t="shared" si="141"/>
        <v/>
      </c>
      <c r="FX67" s="20" t="str">
        <f t="shared" si="142"/>
        <v/>
      </c>
      <c r="FY67" s="51" t="b">
        <f t="shared" ref="FY67:FZ67" si="606">FY21</f>
        <v>0</v>
      </c>
      <c r="FZ67" s="51" t="b">
        <f t="shared" si="606"/>
        <v>0</v>
      </c>
      <c r="GA67" s="51" t="b">
        <f t="shared" ref="GA67:GB67" si="607">GA21</f>
        <v>0</v>
      </c>
      <c r="GB67" s="51" t="b">
        <f t="shared" si="607"/>
        <v>0</v>
      </c>
      <c r="GC67" s="20" t="str">
        <f t="shared" si="143"/>
        <v/>
      </c>
      <c r="GD67" s="51" t="str">
        <f t="shared" si="144"/>
        <v/>
      </c>
      <c r="GE67" s="20" t="str">
        <f t="shared" si="145"/>
        <v/>
      </c>
      <c r="GF67" s="51" t="b">
        <f t="shared" ref="GF67:GI67" si="608">GF21</f>
        <v>0</v>
      </c>
      <c r="GG67" s="51" t="b">
        <f t="shared" si="608"/>
        <v>0</v>
      </c>
      <c r="GH67" s="51" t="b">
        <f t="shared" si="608"/>
        <v>0</v>
      </c>
      <c r="GI67" s="51" t="b">
        <f t="shared" si="608"/>
        <v>0</v>
      </c>
      <c r="GJ67" s="51" t="str">
        <f t="shared" si="147"/>
        <v/>
      </c>
      <c r="GK67" s="19" t="str">
        <f t="shared" si="148"/>
        <v/>
      </c>
      <c r="GL67" s="20" t="str">
        <f t="shared" si="149"/>
        <v/>
      </c>
      <c r="GM67" s="51" t="b">
        <f t="shared" ref="GM67:GP67" si="609">GM21</f>
        <v>0</v>
      </c>
      <c r="GN67" s="51" t="b">
        <f t="shared" si="609"/>
        <v>0</v>
      </c>
      <c r="GO67" s="51" t="b">
        <f t="shared" si="609"/>
        <v>0</v>
      </c>
      <c r="GP67" s="51" t="b">
        <f t="shared" si="609"/>
        <v>0</v>
      </c>
      <c r="GQ67" s="20" t="str">
        <f t="shared" si="151"/>
        <v/>
      </c>
      <c r="GR67" s="51" t="str">
        <f t="shared" si="152"/>
        <v/>
      </c>
      <c r="GS67" s="20" t="str">
        <f t="shared" si="153"/>
        <v/>
      </c>
      <c r="GT67" s="51" t="b">
        <f t="shared" ref="GT67:GU67" si="610">GT21</f>
        <v>0</v>
      </c>
      <c r="GU67" s="51" t="b">
        <f t="shared" si="610"/>
        <v>0</v>
      </c>
      <c r="GV67" s="51" t="b">
        <f t="shared" ref="GV67:GW67" si="611">GV21</f>
        <v>0</v>
      </c>
      <c r="GW67" s="51" t="b">
        <f t="shared" si="611"/>
        <v>0</v>
      </c>
      <c r="GX67" s="20" t="str">
        <f t="shared" si="154"/>
        <v/>
      </c>
      <c r="GY67" s="51" t="str">
        <f t="shared" si="155"/>
        <v/>
      </c>
      <c r="GZ67" s="20" t="str">
        <f t="shared" si="156"/>
        <v/>
      </c>
      <c r="HA67" s="51" t="b">
        <f t="shared" ref="HA67:HD67" si="612">HA21</f>
        <v>0</v>
      </c>
      <c r="HB67" s="51" t="b">
        <f t="shared" si="612"/>
        <v>0</v>
      </c>
      <c r="HC67" s="51" t="b">
        <f t="shared" si="612"/>
        <v>0</v>
      </c>
      <c r="HD67" s="51" t="b">
        <f t="shared" si="612"/>
        <v>0</v>
      </c>
      <c r="HE67" s="51" t="str">
        <f t="shared" si="158"/>
        <v/>
      </c>
      <c r="HF67" s="19" t="str">
        <f t="shared" si="159"/>
        <v/>
      </c>
      <c r="HG67" s="20" t="str">
        <f t="shared" si="160"/>
        <v/>
      </c>
      <c r="HH67" s="51" t="b">
        <f t="shared" ref="HH67:HK67" si="613">HH21</f>
        <v>0</v>
      </c>
      <c r="HI67" s="51" t="b">
        <f t="shared" si="613"/>
        <v>0</v>
      </c>
      <c r="HJ67" s="51" t="b">
        <f t="shared" si="613"/>
        <v>0</v>
      </c>
      <c r="HK67" s="51" t="b">
        <f t="shared" si="613"/>
        <v>0</v>
      </c>
      <c r="HL67" s="20" t="str">
        <f t="shared" si="162"/>
        <v/>
      </c>
      <c r="HM67" s="51" t="str">
        <f t="shared" si="163"/>
        <v/>
      </c>
      <c r="HN67" s="20" t="str">
        <f t="shared" si="164"/>
        <v/>
      </c>
      <c r="HO67" s="51" t="b">
        <f t="shared" ref="HO67:HP67" si="614">HO21</f>
        <v>0</v>
      </c>
      <c r="HP67" s="51" t="b">
        <f t="shared" si="614"/>
        <v>0</v>
      </c>
      <c r="HQ67" s="51" t="b">
        <f t="shared" ref="HQ67:HR67" si="615">HQ21</f>
        <v>0</v>
      </c>
      <c r="HR67" s="51" t="b">
        <f t="shared" si="615"/>
        <v>0</v>
      </c>
      <c r="HS67" s="20" t="str">
        <f t="shared" si="165"/>
        <v/>
      </c>
      <c r="HT67" s="51" t="str">
        <f t="shared" si="166"/>
        <v/>
      </c>
      <c r="HU67" s="20" t="str">
        <f t="shared" si="167"/>
        <v/>
      </c>
      <c r="HV67" s="51" t="b">
        <f t="shared" ref="HV67:HY67" si="616">HV21</f>
        <v>0</v>
      </c>
      <c r="HW67" s="51" t="b">
        <f t="shared" si="616"/>
        <v>0</v>
      </c>
      <c r="HX67" s="51" t="b">
        <f t="shared" si="616"/>
        <v>0</v>
      </c>
      <c r="HY67" s="51" t="b">
        <f t="shared" si="616"/>
        <v>0</v>
      </c>
      <c r="HZ67" s="51" t="str">
        <f t="shared" si="169"/>
        <v/>
      </c>
      <c r="IA67" s="19" t="str">
        <f t="shared" si="170"/>
        <v/>
      </c>
      <c r="IB67" s="20" t="str">
        <f t="shared" si="171"/>
        <v/>
      </c>
      <c r="IC67" s="51" t="b">
        <f t="shared" ref="IC67:IF67" si="617">IC21</f>
        <v>0</v>
      </c>
      <c r="ID67" s="51" t="b">
        <f t="shared" si="617"/>
        <v>0</v>
      </c>
      <c r="IE67" s="51" t="b">
        <f t="shared" si="617"/>
        <v>0</v>
      </c>
      <c r="IF67" s="51" t="b">
        <f t="shared" si="617"/>
        <v>0</v>
      </c>
      <c r="IG67" s="20" t="str">
        <f t="shared" si="173"/>
        <v/>
      </c>
      <c r="IH67" s="51" t="str">
        <f t="shared" si="174"/>
        <v/>
      </c>
      <c r="II67" s="20" t="str">
        <f t="shared" si="175"/>
        <v/>
      </c>
      <c r="IJ67" s="51" t="b">
        <f t="shared" ref="IJ67:IK67" si="618">IJ21</f>
        <v>0</v>
      </c>
      <c r="IK67" s="51" t="b">
        <f t="shared" si="618"/>
        <v>0</v>
      </c>
      <c r="IL67" s="51" t="b">
        <f t="shared" ref="IL67:IM67" si="619">IL21</f>
        <v>0</v>
      </c>
      <c r="IM67" s="51" t="b">
        <f t="shared" si="619"/>
        <v>0</v>
      </c>
      <c r="IN67" s="20" t="str">
        <f t="shared" si="176"/>
        <v/>
      </c>
      <c r="IO67" s="51" t="str">
        <f t="shared" si="177"/>
        <v/>
      </c>
      <c r="IP67" s="20" t="str">
        <f t="shared" si="178"/>
        <v/>
      </c>
      <c r="IQ67" s="51" t="b">
        <f t="shared" ref="IQ67:IT67" si="620">IQ21</f>
        <v>0</v>
      </c>
      <c r="IR67" s="51" t="b">
        <f t="shared" si="620"/>
        <v>0</v>
      </c>
      <c r="IS67" s="51" t="b">
        <f t="shared" si="620"/>
        <v>0</v>
      </c>
      <c r="IT67" s="51" t="b">
        <f t="shared" si="620"/>
        <v>0</v>
      </c>
      <c r="IU67" s="51" t="str">
        <f t="shared" si="180"/>
        <v/>
      </c>
      <c r="IV67" s="116"/>
    </row>
    <row r="68" spans="1:256" x14ac:dyDescent="0.2">
      <c r="C68">
        <v>13</v>
      </c>
      <c r="D68" s="19" t="str">
        <f t="shared" si="48"/>
        <v/>
      </c>
      <c r="E68" s="20" t="str">
        <f t="shared" si="49"/>
        <v/>
      </c>
      <c r="F68" s="51" t="str">
        <f t="shared" si="50"/>
        <v>FALSE</v>
      </c>
      <c r="G68" s="51" t="str">
        <f t="shared" si="50"/>
        <v>FALSE</v>
      </c>
      <c r="H68" s="51" t="str">
        <f t="shared" si="50"/>
        <v>FALSE</v>
      </c>
      <c r="I68" s="51" t="str">
        <f t="shared" si="50"/>
        <v>FALSE</v>
      </c>
      <c r="J68" s="20" t="str">
        <f t="shared" si="51"/>
        <v/>
      </c>
      <c r="K68" s="51" t="str">
        <f t="shared" si="52"/>
        <v/>
      </c>
      <c r="L68" s="20" t="str">
        <f t="shared" si="53"/>
        <v/>
      </c>
      <c r="M68" s="51" t="str">
        <f t="shared" si="54"/>
        <v>FALSE</v>
      </c>
      <c r="N68" s="51" t="str">
        <f t="shared" si="54"/>
        <v>FALSE</v>
      </c>
      <c r="O68" s="51" t="str">
        <f t="shared" si="54"/>
        <v>FALSE</v>
      </c>
      <c r="P68" s="51" t="str">
        <f t="shared" si="54"/>
        <v>FALSE</v>
      </c>
      <c r="Q68" s="20" t="str">
        <f t="shared" si="55"/>
        <v/>
      </c>
      <c r="R68" s="51" t="str">
        <f t="shared" si="56"/>
        <v/>
      </c>
      <c r="S68" s="51" t="str">
        <f t="shared" si="57"/>
        <v/>
      </c>
      <c r="T68" s="51" t="str">
        <f t="shared" si="58"/>
        <v>FALSE</v>
      </c>
      <c r="U68" s="51" t="str">
        <f t="shared" si="58"/>
        <v>FALSE</v>
      </c>
      <c r="V68" s="51" t="str">
        <f t="shared" si="58"/>
        <v>FALSE</v>
      </c>
      <c r="W68" s="51" t="str">
        <f t="shared" si="58"/>
        <v>FALSE</v>
      </c>
      <c r="X68" s="22" t="str">
        <f t="shared" si="59"/>
        <v/>
      </c>
      <c r="Y68" s="19" t="str">
        <f t="shared" si="60"/>
        <v/>
      </c>
      <c r="Z68" s="20" t="str">
        <f t="shared" si="61"/>
        <v/>
      </c>
      <c r="AA68" s="51" t="str">
        <f t="shared" si="62"/>
        <v>FALSE</v>
      </c>
      <c r="AB68" s="51" t="str">
        <f t="shared" si="62"/>
        <v>FALSE</v>
      </c>
      <c r="AC68" s="51" t="str">
        <f t="shared" si="62"/>
        <v>FALSE</v>
      </c>
      <c r="AD68" s="51" t="str">
        <f t="shared" si="62"/>
        <v>FALSE</v>
      </c>
      <c r="AE68" s="20" t="str">
        <f t="shared" si="63"/>
        <v/>
      </c>
      <c r="AF68" s="51" t="str">
        <f t="shared" si="64"/>
        <v/>
      </c>
      <c r="AG68" s="20" t="str">
        <f t="shared" si="65"/>
        <v/>
      </c>
      <c r="AH68" s="51" t="str">
        <f t="shared" ref="AH68:AK68" si="621">AH22</f>
        <v>FALSE</v>
      </c>
      <c r="AI68" s="51" t="str">
        <f t="shared" si="621"/>
        <v>FALSE</v>
      </c>
      <c r="AJ68" s="51" t="str">
        <f t="shared" si="621"/>
        <v>FALSE</v>
      </c>
      <c r="AK68" s="51" t="str">
        <f t="shared" si="621"/>
        <v>FALSE</v>
      </c>
      <c r="AL68" s="20" t="str">
        <f t="shared" si="66"/>
        <v/>
      </c>
      <c r="AM68" s="51" t="str">
        <f t="shared" si="67"/>
        <v/>
      </c>
      <c r="AN68" s="20" t="str">
        <f t="shared" si="68"/>
        <v/>
      </c>
      <c r="AO68" s="51" t="str">
        <f t="shared" si="69"/>
        <v>FALSE</v>
      </c>
      <c r="AP68" s="51" t="str">
        <f t="shared" si="69"/>
        <v>FALSE</v>
      </c>
      <c r="AQ68" s="51" t="str">
        <f t="shared" si="69"/>
        <v>FALSE</v>
      </c>
      <c r="AR68" s="51" t="str">
        <f t="shared" si="69"/>
        <v>FALSE</v>
      </c>
      <c r="AS68" s="51" t="str">
        <f t="shared" si="70"/>
        <v/>
      </c>
      <c r="AT68" s="19" t="str">
        <f t="shared" si="71"/>
        <v/>
      </c>
      <c r="AU68" s="20" t="str">
        <f t="shared" si="72"/>
        <v/>
      </c>
      <c r="AV68" s="51" t="str">
        <f t="shared" ref="AV68:AY68" si="622">AV22</f>
        <v>FALSE</v>
      </c>
      <c r="AW68" s="51" t="str">
        <f t="shared" si="622"/>
        <v>FALSE</v>
      </c>
      <c r="AX68" s="51" t="str">
        <f t="shared" si="622"/>
        <v>FALSE</v>
      </c>
      <c r="AY68" s="51" t="str">
        <f t="shared" si="622"/>
        <v>FALSE</v>
      </c>
      <c r="AZ68" s="20" t="str">
        <f t="shared" si="74"/>
        <v/>
      </c>
      <c r="BA68" s="51" t="str">
        <f t="shared" si="75"/>
        <v/>
      </c>
      <c r="BB68" s="20" t="str">
        <f t="shared" si="76"/>
        <v/>
      </c>
      <c r="BC68" s="51" t="str">
        <f t="shared" ref="BC68:BF68" si="623">BC22</f>
        <v>FALSE</v>
      </c>
      <c r="BD68" s="51" t="str">
        <f t="shared" si="623"/>
        <v>FALSE</v>
      </c>
      <c r="BE68" s="51" t="str">
        <f t="shared" si="623"/>
        <v>FALSE</v>
      </c>
      <c r="BF68" s="51" t="str">
        <f t="shared" si="623"/>
        <v>FALSE</v>
      </c>
      <c r="BG68" s="20" t="str">
        <f t="shared" si="77"/>
        <v/>
      </c>
      <c r="BH68" s="51" t="str">
        <f t="shared" si="78"/>
        <v/>
      </c>
      <c r="BI68" s="20" t="str">
        <f t="shared" si="79"/>
        <v/>
      </c>
      <c r="BJ68" s="51" t="str">
        <f t="shared" ref="BJ68:BM68" si="624">BJ22</f>
        <v>FALSE</v>
      </c>
      <c r="BK68" s="51" t="str">
        <f t="shared" si="624"/>
        <v>FALSE</v>
      </c>
      <c r="BL68" s="51" t="str">
        <f t="shared" si="624"/>
        <v>FALSE</v>
      </c>
      <c r="BM68" s="51" t="str">
        <f t="shared" si="624"/>
        <v>FALSE</v>
      </c>
      <c r="BN68" s="51" t="str">
        <f t="shared" si="81"/>
        <v/>
      </c>
      <c r="BO68" s="19" t="str">
        <f t="shared" si="82"/>
        <v/>
      </c>
      <c r="BP68" s="20" t="str">
        <f t="shared" si="83"/>
        <v/>
      </c>
      <c r="BQ68" s="51" t="b">
        <f t="shared" ref="BQ68:BT68" si="625">BQ22</f>
        <v>0</v>
      </c>
      <c r="BR68" s="51" t="b">
        <f t="shared" si="625"/>
        <v>0</v>
      </c>
      <c r="BS68" s="51" t="b">
        <f t="shared" si="625"/>
        <v>0</v>
      </c>
      <c r="BT68" s="51" t="b">
        <f t="shared" si="625"/>
        <v>0</v>
      </c>
      <c r="BU68" s="20" t="str">
        <f t="shared" si="85"/>
        <v/>
      </c>
      <c r="BV68" s="51" t="str">
        <f t="shared" si="86"/>
        <v/>
      </c>
      <c r="BW68" s="20" t="str">
        <f t="shared" si="87"/>
        <v/>
      </c>
      <c r="BX68" s="51" t="b">
        <f t="shared" ref="BX68:BY68" si="626">BX22</f>
        <v>0</v>
      </c>
      <c r="BY68" s="51" t="b">
        <f t="shared" si="626"/>
        <v>0</v>
      </c>
      <c r="BZ68" s="51" t="b">
        <f t="shared" ref="BZ68:CA68" si="627">BZ22</f>
        <v>0</v>
      </c>
      <c r="CA68" s="51" t="b">
        <f t="shared" si="627"/>
        <v>0</v>
      </c>
      <c r="CB68" s="20" t="str">
        <f t="shared" si="88"/>
        <v/>
      </c>
      <c r="CC68" s="51" t="str">
        <f t="shared" si="89"/>
        <v/>
      </c>
      <c r="CD68" s="20" t="str">
        <f t="shared" si="90"/>
        <v/>
      </c>
      <c r="CE68" s="51" t="b">
        <f t="shared" ref="CE68:CH68" si="628">CE22</f>
        <v>0</v>
      </c>
      <c r="CF68" s="51" t="b">
        <f t="shared" si="628"/>
        <v>0</v>
      </c>
      <c r="CG68" s="51" t="b">
        <f t="shared" si="628"/>
        <v>0</v>
      </c>
      <c r="CH68" s="51" t="b">
        <f t="shared" si="628"/>
        <v>0</v>
      </c>
      <c r="CI68" s="51" t="str">
        <f t="shared" si="92"/>
        <v/>
      </c>
      <c r="CJ68" s="19" t="str">
        <f t="shared" si="93"/>
        <v/>
      </c>
      <c r="CK68" s="20" t="str">
        <f t="shared" si="94"/>
        <v/>
      </c>
      <c r="CL68" s="51" t="b">
        <f t="shared" ref="CL68:CO68" si="629">CL22</f>
        <v>0</v>
      </c>
      <c r="CM68" s="51" t="b">
        <f t="shared" si="629"/>
        <v>0</v>
      </c>
      <c r="CN68" s="51" t="b">
        <f t="shared" si="629"/>
        <v>0</v>
      </c>
      <c r="CO68" s="51" t="b">
        <f t="shared" si="629"/>
        <v>0</v>
      </c>
      <c r="CP68" s="20" t="str">
        <f t="shared" si="96"/>
        <v/>
      </c>
      <c r="CQ68" s="51" t="str">
        <f t="shared" si="97"/>
        <v/>
      </c>
      <c r="CR68" s="20" t="str">
        <f t="shared" si="98"/>
        <v/>
      </c>
      <c r="CS68" s="51" t="b">
        <f t="shared" ref="CS68:CT68" si="630">CS22</f>
        <v>0</v>
      </c>
      <c r="CT68" s="51" t="b">
        <f t="shared" si="630"/>
        <v>0</v>
      </c>
      <c r="CU68" s="51" t="b">
        <f t="shared" ref="CU68:CV68" si="631">CU22</f>
        <v>0</v>
      </c>
      <c r="CV68" s="51" t="b">
        <f t="shared" si="631"/>
        <v>0</v>
      </c>
      <c r="CW68" s="20" t="str">
        <f t="shared" si="99"/>
        <v/>
      </c>
      <c r="CX68" s="51" t="str">
        <f t="shared" si="100"/>
        <v/>
      </c>
      <c r="CY68" s="20" t="str">
        <f t="shared" si="101"/>
        <v/>
      </c>
      <c r="CZ68" s="51" t="b">
        <f t="shared" ref="CZ68:DC68" si="632">CZ22</f>
        <v>0</v>
      </c>
      <c r="DA68" s="51" t="b">
        <f t="shared" si="632"/>
        <v>0</v>
      </c>
      <c r="DB68" s="51" t="b">
        <f t="shared" si="632"/>
        <v>0</v>
      </c>
      <c r="DC68" s="51" t="b">
        <f t="shared" si="632"/>
        <v>0</v>
      </c>
      <c r="DD68" s="51" t="str">
        <f t="shared" si="103"/>
        <v/>
      </c>
      <c r="DE68" s="19" t="str">
        <f t="shared" si="104"/>
        <v/>
      </c>
      <c r="DF68" s="20" t="str">
        <f t="shared" si="105"/>
        <v/>
      </c>
      <c r="DG68" s="51" t="b">
        <f t="shared" ref="DG68:DJ68" si="633">DG22</f>
        <v>0</v>
      </c>
      <c r="DH68" s="51" t="b">
        <f t="shared" si="633"/>
        <v>0</v>
      </c>
      <c r="DI68" s="51" t="b">
        <f t="shared" si="633"/>
        <v>0</v>
      </c>
      <c r="DJ68" s="51" t="b">
        <f t="shared" si="633"/>
        <v>0</v>
      </c>
      <c r="DK68" s="20" t="str">
        <f t="shared" si="107"/>
        <v/>
      </c>
      <c r="DL68" s="51" t="str">
        <f t="shared" si="108"/>
        <v/>
      </c>
      <c r="DM68" s="20" t="str">
        <f t="shared" si="109"/>
        <v/>
      </c>
      <c r="DN68" s="51" t="b">
        <f t="shared" ref="DN68:DO68" si="634">DN22</f>
        <v>0</v>
      </c>
      <c r="DO68" s="51" t="b">
        <f t="shared" si="634"/>
        <v>0</v>
      </c>
      <c r="DP68" s="51" t="b">
        <f t="shared" ref="DP68:DQ68" si="635">DP22</f>
        <v>0</v>
      </c>
      <c r="DQ68" s="51" t="b">
        <f t="shared" si="635"/>
        <v>0</v>
      </c>
      <c r="DR68" s="20" t="str">
        <f t="shared" si="110"/>
        <v/>
      </c>
      <c r="DS68" s="51" t="str">
        <f t="shared" si="111"/>
        <v/>
      </c>
      <c r="DT68" s="20" t="str">
        <f t="shared" si="112"/>
        <v/>
      </c>
      <c r="DU68" s="51" t="b">
        <f t="shared" ref="DU68:DX68" si="636">DU22</f>
        <v>0</v>
      </c>
      <c r="DV68" s="51" t="b">
        <f t="shared" si="636"/>
        <v>0</v>
      </c>
      <c r="DW68" s="51" t="b">
        <f t="shared" si="636"/>
        <v>0</v>
      </c>
      <c r="DX68" s="51" t="b">
        <f t="shared" si="636"/>
        <v>0</v>
      </c>
      <c r="DY68" s="51" t="str">
        <f t="shared" si="114"/>
        <v/>
      </c>
      <c r="DZ68" s="19" t="str">
        <f t="shared" si="115"/>
        <v/>
      </c>
      <c r="EA68" s="20" t="str">
        <f t="shared" si="116"/>
        <v/>
      </c>
      <c r="EB68" s="51" t="b">
        <f t="shared" ref="EB68:EE68" si="637">EB22</f>
        <v>0</v>
      </c>
      <c r="EC68" s="51" t="b">
        <f t="shared" si="637"/>
        <v>0</v>
      </c>
      <c r="ED68" s="51" t="b">
        <f t="shared" si="637"/>
        <v>0</v>
      </c>
      <c r="EE68" s="51" t="b">
        <f t="shared" si="637"/>
        <v>0</v>
      </c>
      <c r="EF68" s="20" t="str">
        <f t="shared" si="118"/>
        <v/>
      </c>
      <c r="EG68" s="51" t="str">
        <f t="shared" si="119"/>
        <v/>
      </c>
      <c r="EH68" s="20" t="str">
        <f t="shared" si="120"/>
        <v/>
      </c>
      <c r="EI68" s="51" t="b">
        <f t="shared" ref="EI68:EJ68" si="638">EI22</f>
        <v>0</v>
      </c>
      <c r="EJ68" s="51" t="b">
        <f t="shared" si="638"/>
        <v>0</v>
      </c>
      <c r="EK68" s="51" t="b">
        <f t="shared" ref="EK68:EL68" si="639">EK22</f>
        <v>0</v>
      </c>
      <c r="EL68" s="51" t="b">
        <f t="shared" si="639"/>
        <v>0</v>
      </c>
      <c r="EM68" s="20" t="str">
        <f t="shared" si="121"/>
        <v/>
      </c>
      <c r="EN68" s="51" t="str">
        <f t="shared" si="122"/>
        <v/>
      </c>
      <c r="EO68" s="20" t="str">
        <f t="shared" si="123"/>
        <v/>
      </c>
      <c r="EP68" s="51" t="b">
        <f t="shared" ref="EP68:ES68" si="640">EP22</f>
        <v>0</v>
      </c>
      <c r="EQ68" s="51" t="b">
        <f t="shared" si="640"/>
        <v>0</v>
      </c>
      <c r="ER68" s="51" t="b">
        <f t="shared" si="640"/>
        <v>0</v>
      </c>
      <c r="ES68" s="51" t="b">
        <f t="shared" si="640"/>
        <v>0</v>
      </c>
      <c r="ET68" s="51" t="str">
        <f t="shared" si="125"/>
        <v/>
      </c>
      <c r="EU68" s="19" t="str">
        <f t="shared" si="126"/>
        <v/>
      </c>
      <c r="EV68" s="20" t="str">
        <f t="shared" si="127"/>
        <v/>
      </c>
      <c r="EW68" s="51" t="b">
        <f t="shared" ref="EW68:EZ68" si="641">EW22</f>
        <v>0</v>
      </c>
      <c r="EX68" s="51" t="b">
        <f t="shared" si="641"/>
        <v>0</v>
      </c>
      <c r="EY68" s="51" t="b">
        <f t="shared" si="641"/>
        <v>0</v>
      </c>
      <c r="EZ68" s="51" t="b">
        <f t="shared" si="641"/>
        <v>0</v>
      </c>
      <c r="FA68" s="20" t="str">
        <f t="shared" si="129"/>
        <v/>
      </c>
      <c r="FB68" s="51" t="str">
        <f t="shared" si="130"/>
        <v/>
      </c>
      <c r="FC68" s="20" t="str">
        <f t="shared" si="131"/>
        <v/>
      </c>
      <c r="FD68" s="51" t="b">
        <f t="shared" ref="FD68:FE68" si="642">FD22</f>
        <v>0</v>
      </c>
      <c r="FE68" s="51" t="b">
        <f t="shared" si="642"/>
        <v>0</v>
      </c>
      <c r="FF68" s="51" t="b">
        <f t="shared" ref="FF68:FG68" si="643">FF22</f>
        <v>0</v>
      </c>
      <c r="FG68" s="51" t="b">
        <f t="shared" si="643"/>
        <v>0</v>
      </c>
      <c r="FH68" s="20" t="str">
        <f t="shared" si="132"/>
        <v/>
      </c>
      <c r="FI68" s="51" t="str">
        <f t="shared" si="133"/>
        <v/>
      </c>
      <c r="FJ68" s="20" t="str">
        <f t="shared" si="134"/>
        <v/>
      </c>
      <c r="FK68" s="51" t="b">
        <f t="shared" ref="FK68:FN68" si="644">FK22</f>
        <v>0</v>
      </c>
      <c r="FL68" s="51" t="b">
        <f t="shared" si="644"/>
        <v>0</v>
      </c>
      <c r="FM68" s="51" t="b">
        <f t="shared" si="644"/>
        <v>0</v>
      </c>
      <c r="FN68" s="51" t="b">
        <f t="shared" si="644"/>
        <v>0</v>
      </c>
      <c r="FO68" s="51" t="str">
        <f t="shared" si="136"/>
        <v/>
      </c>
      <c r="FP68" s="19" t="str">
        <f t="shared" si="137"/>
        <v/>
      </c>
      <c r="FQ68" s="20" t="str">
        <f t="shared" si="138"/>
        <v/>
      </c>
      <c r="FR68" s="51" t="b">
        <f t="shared" ref="FR68:FU68" si="645">FR22</f>
        <v>0</v>
      </c>
      <c r="FS68" s="51" t="b">
        <f t="shared" si="645"/>
        <v>0</v>
      </c>
      <c r="FT68" s="51" t="b">
        <f t="shared" si="645"/>
        <v>0</v>
      </c>
      <c r="FU68" s="51" t="b">
        <f t="shared" si="645"/>
        <v>0</v>
      </c>
      <c r="FV68" s="20" t="str">
        <f t="shared" si="140"/>
        <v/>
      </c>
      <c r="FW68" s="51" t="str">
        <f t="shared" si="141"/>
        <v/>
      </c>
      <c r="FX68" s="20" t="str">
        <f t="shared" si="142"/>
        <v/>
      </c>
      <c r="FY68" s="51" t="b">
        <f t="shared" ref="FY68:FZ68" si="646">FY22</f>
        <v>0</v>
      </c>
      <c r="FZ68" s="51" t="b">
        <f t="shared" si="646"/>
        <v>0</v>
      </c>
      <c r="GA68" s="51" t="b">
        <f t="shared" ref="GA68:GB68" si="647">GA22</f>
        <v>0</v>
      </c>
      <c r="GB68" s="51" t="b">
        <f t="shared" si="647"/>
        <v>0</v>
      </c>
      <c r="GC68" s="20" t="str">
        <f t="shared" si="143"/>
        <v/>
      </c>
      <c r="GD68" s="51" t="str">
        <f t="shared" si="144"/>
        <v/>
      </c>
      <c r="GE68" s="20" t="str">
        <f t="shared" si="145"/>
        <v/>
      </c>
      <c r="GF68" s="51" t="b">
        <f t="shared" ref="GF68:GI68" si="648">GF22</f>
        <v>0</v>
      </c>
      <c r="GG68" s="51" t="b">
        <f t="shared" si="648"/>
        <v>0</v>
      </c>
      <c r="GH68" s="51" t="b">
        <f t="shared" si="648"/>
        <v>0</v>
      </c>
      <c r="GI68" s="51" t="b">
        <f t="shared" si="648"/>
        <v>0</v>
      </c>
      <c r="GJ68" s="51" t="str">
        <f t="shared" si="147"/>
        <v/>
      </c>
      <c r="GK68" s="19" t="str">
        <f t="shared" si="148"/>
        <v/>
      </c>
      <c r="GL68" s="20" t="str">
        <f t="shared" si="149"/>
        <v/>
      </c>
      <c r="GM68" s="51" t="b">
        <f t="shared" ref="GM68:GP68" si="649">GM22</f>
        <v>0</v>
      </c>
      <c r="GN68" s="51" t="b">
        <f t="shared" si="649"/>
        <v>0</v>
      </c>
      <c r="GO68" s="51" t="b">
        <f t="shared" si="649"/>
        <v>0</v>
      </c>
      <c r="GP68" s="51" t="b">
        <f t="shared" si="649"/>
        <v>0</v>
      </c>
      <c r="GQ68" s="20" t="str">
        <f t="shared" si="151"/>
        <v/>
      </c>
      <c r="GR68" s="51" t="str">
        <f t="shared" si="152"/>
        <v/>
      </c>
      <c r="GS68" s="20" t="str">
        <f t="shared" si="153"/>
        <v/>
      </c>
      <c r="GT68" s="51" t="b">
        <f t="shared" ref="GT68:GU68" si="650">GT22</f>
        <v>0</v>
      </c>
      <c r="GU68" s="51" t="b">
        <f t="shared" si="650"/>
        <v>0</v>
      </c>
      <c r="GV68" s="51" t="b">
        <f t="shared" ref="GV68:GW68" si="651">GV22</f>
        <v>0</v>
      </c>
      <c r="GW68" s="51" t="b">
        <f t="shared" si="651"/>
        <v>0</v>
      </c>
      <c r="GX68" s="20" t="str">
        <f t="shared" si="154"/>
        <v/>
      </c>
      <c r="GY68" s="51" t="str">
        <f t="shared" si="155"/>
        <v/>
      </c>
      <c r="GZ68" s="20" t="str">
        <f t="shared" si="156"/>
        <v/>
      </c>
      <c r="HA68" s="51" t="b">
        <f t="shared" ref="HA68:HD68" si="652">HA22</f>
        <v>0</v>
      </c>
      <c r="HB68" s="51" t="b">
        <f t="shared" si="652"/>
        <v>0</v>
      </c>
      <c r="HC68" s="51" t="b">
        <f t="shared" si="652"/>
        <v>0</v>
      </c>
      <c r="HD68" s="51" t="b">
        <f t="shared" si="652"/>
        <v>0</v>
      </c>
      <c r="HE68" s="51" t="str">
        <f t="shared" si="158"/>
        <v/>
      </c>
      <c r="HF68" s="19" t="str">
        <f t="shared" si="159"/>
        <v/>
      </c>
      <c r="HG68" s="20" t="str">
        <f t="shared" si="160"/>
        <v/>
      </c>
      <c r="HH68" s="51" t="b">
        <f t="shared" ref="HH68:HK68" si="653">HH22</f>
        <v>0</v>
      </c>
      <c r="HI68" s="51" t="b">
        <f t="shared" si="653"/>
        <v>0</v>
      </c>
      <c r="HJ68" s="51" t="b">
        <f t="shared" si="653"/>
        <v>0</v>
      </c>
      <c r="HK68" s="51" t="b">
        <f t="shared" si="653"/>
        <v>0</v>
      </c>
      <c r="HL68" s="20" t="str">
        <f t="shared" si="162"/>
        <v/>
      </c>
      <c r="HM68" s="51" t="str">
        <f t="shared" si="163"/>
        <v/>
      </c>
      <c r="HN68" s="20" t="str">
        <f t="shared" si="164"/>
        <v/>
      </c>
      <c r="HO68" s="51" t="b">
        <f t="shared" ref="HO68:HP68" si="654">HO22</f>
        <v>0</v>
      </c>
      <c r="HP68" s="51" t="b">
        <f t="shared" si="654"/>
        <v>0</v>
      </c>
      <c r="HQ68" s="51" t="b">
        <f t="shared" ref="HQ68:HR68" si="655">HQ22</f>
        <v>0</v>
      </c>
      <c r="HR68" s="51" t="b">
        <f t="shared" si="655"/>
        <v>0</v>
      </c>
      <c r="HS68" s="20" t="str">
        <f t="shared" si="165"/>
        <v/>
      </c>
      <c r="HT68" s="51" t="str">
        <f t="shared" si="166"/>
        <v/>
      </c>
      <c r="HU68" s="20" t="str">
        <f t="shared" si="167"/>
        <v/>
      </c>
      <c r="HV68" s="51" t="b">
        <f t="shared" ref="HV68:HY68" si="656">HV22</f>
        <v>0</v>
      </c>
      <c r="HW68" s="51" t="b">
        <f t="shared" si="656"/>
        <v>0</v>
      </c>
      <c r="HX68" s="51" t="b">
        <f t="shared" si="656"/>
        <v>0</v>
      </c>
      <c r="HY68" s="51" t="b">
        <f t="shared" si="656"/>
        <v>0</v>
      </c>
      <c r="HZ68" s="51" t="str">
        <f t="shared" si="169"/>
        <v/>
      </c>
      <c r="IA68" s="19" t="str">
        <f t="shared" si="170"/>
        <v/>
      </c>
      <c r="IB68" s="20" t="str">
        <f t="shared" si="171"/>
        <v/>
      </c>
      <c r="IC68" s="51" t="b">
        <f t="shared" ref="IC68:IF68" si="657">IC22</f>
        <v>0</v>
      </c>
      <c r="ID68" s="51" t="b">
        <f t="shared" si="657"/>
        <v>0</v>
      </c>
      <c r="IE68" s="51" t="b">
        <f t="shared" si="657"/>
        <v>0</v>
      </c>
      <c r="IF68" s="51" t="b">
        <f t="shared" si="657"/>
        <v>0</v>
      </c>
      <c r="IG68" s="20" t="str">
        <f t="shared" si="173"/>
        <v/>
      </c>
      <c r="IH68" s="51" t="str">
        <f t="shared" si="174"/>
        <v/>
      </c>
      <c r="II68" s="20" t="str">
        <f t="shared" si="175"/>
        <v/>
      </c>
      <c r="IJ68" s="51" t="b">
        <f t="shared" ref="IJ68:IK68" si="658">IJ22</f>
        <v>0</v>
      </c>
      <c r="IK68" s="51" t="b">
        <f t="shared" si="658"/>
        <v>0</v>
      </c>
      <c r="IL68" s="51" t="b">
        <f t="shared" ref="IL68:IM68" si="659">IL22</f>
        <v>0</v>
      </c>
      <c r="IM68" s="51" t="b">
        <f t="shared" si="659"/>
        <v>0</v>
      </c>
      <c r="IN68" s="20" t="str">
        <f t="shared" si="176"/>
        <v/>
      </c>
      <c r="IO68" s="51" t="str">
        <f t="shared" si="177"/>
        <v/>
      </c>
      <c r="IP68" s="20" t="str">
        <f t="shared" si="178"/>
        <v/>
      </c>
      <c r="IQ68" s="51" t="b">
        <f t="shared" ref="IQ68:IT68" si="660">IQ22</f>
        <v>0</v>
      </c>
      <c r="IR68" s="51" t="b">
        <f t="shared" si="660"/>
        <v>0</v>
      </c>
      <c r="IS68" s="51" t="b">
        <f t="shared" si="660"/>
        <v>0</v>
      </c>
      <c r="IT68" s="51" t="b">
        <f t="shared" si="660"/>
        <v>0</v>
      </c>
      <c r="IU68" s="51" t="str">
        <f t="shared" si="180"/>
        <v/>
      </c>
      <c r="IV68" s="116"/>
    </row>
    <row r="69" spans="1:256" x14ac:dyDescent="0.2">
      <c r="C69">
        <v>14</v>
      </c>
      <c r="D69" s="19" t="str">
        <f t="shared" si="48"/>
        <v/>
      </c>
      <c r="E69" s="20" t="str">
        <f t="shared" si="49"/>
        <v/>
      </c>
      <c r="F69" s="51" t="str">
        <f t="shared" si="50"/>
        <v>FALSE</v>
      </c>
      <c r="G69" s="51" t="str">
        <f t="shared" si="50"/>
        <v>FALSE</v>
      </c>
      <c r="H69" s="51" t="str">
        <f t="shared" si="50"/>
        <v>FALSE</v>
      </c>
      <c r="I69" s="51" t="str">
        <f t="shared" si="50"/>
        <v>FALSE</v>
      </c>
      <c r="J69" s="20" t="str">
        <f t="shared" si="51"/>
        <v/>
      </c>
      <c r="K69" s="51" t="str">
        <f t="shared" si="52"/>
        <v/>
      </c>
      <c r="L69" s="20" t="str">
        <f t="shared" si="53"/>
        <v/>
      </c>
      <c r="M69" s="51" t="str">
        <f t="shared" si="54"/>
        <v>FALSE</v>
      </c>
      <c r="N69" s="51" t="str">
        <f t="shared" si="54"/>
        <v>FALSE</v>
      </c>
      <c r="O69" s="51" t="str">
        <f t="shared" si="54"/>
        <v>FALSE</v>
      </c>
      <c r="P69" s="51" t="str">
        <f t="shared" si="54"/>
        <v>FALSE</v>
      </c>
      <c r="Q69" s="20" t="str">
        <f t="shared" si="55"/>
        <v/>
      </c>
      <c r="R69" s="51" t="str">
        <f t="shared" si="56"/>
        <v/>
      </c>
      <c r="S69" s="51" t="str">
        <f t="shared" si="57"/>
        <v/>
      </c>
      <c r="T69" s="51" t="str">
        <f t="shared" si="58"/>
        <v>FALSE</v>
      </c>
      <c r="U69" s="51" t="str">
        <f t="shared" si="58"/>
        <v>FALSE</v>
      </c>
      <c r="V69" s="51" t="str">
        <f t="shared" si="58"/>
        <v>FALSE</v>
      </c>
      <c r="W69" s="51" t="str">
        <f t="shared" si="58"/>
        <v>FALSE</v>
      </c>
      <c r="X69" s="22" t="str">
        <f t="shared" si="59"/>
        <v/>
      </c>
      <c r="Y69" s="19" t="str">
        <f t="shared" si="60"/>
        <v/>
      </c>
      <c r="Z69" s="20" t="str">
        <f t="shared" si="61"/>
        <v/>
      </c>
      <c r="AA69" s="51" t="str">
        <f t="shared" si="62"/>
        <v>FALSE</v>
      </c>
      <c r="AB69" s="51" t="str">
        <f t="shared" si="62"/>
        <v>FALSE</v>
      </c>
      <c r="AC69" s="51" t="str">
        <f t="shared" si="62"/>
        <v>FALSE</v>
      </c>
      <c r="AD69" s="51" t="str">
        <f t="shared" si="62"/>
        <v>FALSE</v>
      </c>
      <c r="AE69" s="20" t="str">
        <f t="shared" si="63"/>
        <v/>
      </c>
      <c r="AF69" s="51" t="str">
        <f t="shared" si="64"/>
        <v/>
      </c>
      <c r="AG69" s="20" t="str">
        <f t="shared" si="65"/>
        <v/>
      </c>
      <c r="AH69" s="51" t="str">
        <f t="shared" ref="AH69:AK69" si="661">AH23</f>
        <v>FALSE</v>
      </c>
      <c r="AI69" s="51" t="str">
        <f t="shared" si="661"/>
        <v>FALSE</v>
      </c>
      <c r="AJ69" s="51" t="str">
        <f t="shared" si="661"/>
        <v>FALSE</v>
      </c>
      <c r="AK69" s="51" t="str">
        <f t="shared" si="661"/>
        <v>FALSE</v>
      </c>
      <c r="AL69" s="20" t="str">
        <f t="shared" si="66"/>
        <v/>
      </c>
      <c r="AM69" s="51" t="str">
        <f t="shared" si="67"/>
        <v/>
      </c>
      <c r="AN69" s="20" t="str">
        <f t="shared" si="68"/>
        <v/>
      </c>
      <c r="AO69" s="51" t="str">
        <f t="shared" si="69"/>
        <v>FALSE</v>
      </c>
      <c r="AP69" s="51" t="str">
        <f t="shared" si="69"/>
        <v>FALSE</v>
      </c>
      <c r="AQ69" s="51" t="str">
        <f t="shared" si="69"/>
        <v>FALSE</v>
      </c>
      <c r="AR69" s="51" t="str">
        <f t="shared" si="69"/>
        <v>FALSE</v>
      </c>
      <c r="AS69" s="51" t="str">
        <f t="shared" si="70"/>
        <v/>
      </c>
      <c r="AT69" s="19" t="str">
        <f t="shared" si="71"/>
        <v/>
      </c>
      <c r="AU69" s="20" t="str">
        <f t="shared" si="72"/>
        <v/>
      </c>
      <c r="AV69" s="51" t="str">
        <f t="shared" ref="AV69:AY69" si="662">AV23</f>
        <v>FALSE</v>
      </c>
      <c r="AW69" s="51" t="str">
        <f t="shared" si="662"/>
        <v>FALSE</v>
      </c>
      <c r="AX69" s="51" t="str">
        <f t="shared" si="662"/>
        <v>FALSE</v>
      </c>
      <c r="AY69" s="51" t="str">
        <f t="shared" si="662"/>
        <v>FALSE</v>
      </c>
      <c r="AZ69" s="20" t="str">
        <f t="shared" si="74"/>
        <v/>
      </c>
      <c r="BA69" s="51" t="str">
        <f t="shared" si="75"/>
        <v/>
      </c>
      <c r="BB69" s="20" t="str">
        <f t="shared" si="76"/>
        <v/>
      </c>
      <c r="BC69" s="51" t="str">
        <f t="shared" ref="BC69:BF69" si="663">BC23</f>
        <v>FALSE</v>
      </c>
      <c r="BD69" s="51" t="str">
        <f t="shared" si="663"/>
        <v>FALSE</v>
      </c>
      <c r="BE69" s="51" t="str">
        <f t="shared" si="663"/>
        <v>FALSE</v>
      </c>
      <c r="BF69" s="51" t="str">
        <f t="shared" si="663"/>
        <v>FALSE</v>
      </c>
      <c r="BG69" s="20" t="str">
        <f t="shared" si="77"/>
        <v/>
      </c>
      <c r="BH69" s="51" t="str">
        <f t="shared" si="78"/>
        <v/>
      </c>
      <c r="BI69" s="20" t="str">
        <f t="shared" si="79"/>
        <v/>
      </c>
      <c r="BJ69" s="51" t="str">
        <f t="shared" ref="BJ69:BM69" si="664">BJ23</f>
        <v>FALSE</v>
      </c>
      <c r="BK69" s="51" t="str">
        <f t="shared" si="664"/>
        <v>FALSE</v>
      </c>
      <c r="BL69" s="51" t="str">
        <f t="shared" si="664"/>
        <v>FALSE</v>
      </c>
      <c r="BM69" s="51" t="str">
        <f t="shared" si="664"/>
        <v>FALSE</v>
      </c>
      <c r="BN69" s="51" t="str">
        <f t="shared" si="81"/>
        <v/>
      </c>
      <c r="BO69" s="19" t="str">
        <f t="shared" si="82"/>
        <v/>
      </c>
      <c r="BP69" s="20" t="str">
        <f t="shared" si="83"/>
        <v/>
      </c>
      <c r="BQ69" s="51" t="b">
        <f t="shared" ref="BQ69:BT69" si="665">BQ23</f>
        <v>0</v>
      </c>
      <c r="BR69" s="51" t="b">
        <f t="shared" si="665"/>
        <v>0</v>
      </c>
      <c r="BS69" s="51" t="b">
        <f t="shared" si="665"/>
        <v>0</v>
      </c>
      <c r="BT69" s="51" t="b">
        <f t="shared" si="665"/>
        <v>0</v>
      </c>
      <c r="BU69" s="20" t="str">
        <f t="shared" si="85"/>
        <v/>
      </c>
      <c r="BV69" s="51" t="str">
        <f t="shared" si="86"/>
        <v/>
      </c>
      <c r="BW69" s="20" t="str">
        <f t="shared" si="87"/>
        <v/>
      </c>
      <c r="BX69" s="51" t="b">
        <f t="shared" ref="BX69:BY69" si="666">BX23</f>
        <v>0</v>
      </c>
      <c r="BY69" s="51" t="b">
        <f t="shared" si="666"/>
        <v>0</v>
      </c>
      <c r="BZ69" s="51" t="b">
        <f t="shared" ref="BZ69:CA69" si="667">BZ23</f>
        <v>0</v>
      </c>
      <c r="CA69" s="51" t="b">
        <f t="shared" si="667"/>
        <v>0</v>
      </c>
      <c r="CB69" s="20" t="str">
        <f t="shared" si="88"/>
        <v/>
      </c>
      <c r="CC69" s="51" t="str">
        <f t="shared" si="89"/>
        <v/>
      </c>
      <c r="CD69" s="20" t="str">
        <f t="shared" si="90"/>
        <v/>
      </c>
      <c r="CE69" s="51" t="b">
        <f t="shared" ref="CE69:CH69" si="668">CE23</f>
        <v>0</v>
      </c>
      <c r="CF69" s="51" t="b">
        <f t="shared" si="668"/>
        <v>0</v>
      </c>
      <c r="CG69" s="51" t="b">
        <f t="shared" si="668"/>
        <v>0</v>
      </c>
      <c r="CH69" s="51" t="b">
        <f t="shared" si="668"/>
        <v>0</v>
      </c>
      <c r="CI69" s="51" t="str">
        <f t="shared" si="92"/>
        <v/>
      </c>
      <c r="CJ69" s="19" t="str">
        <f t="shared" si="93"/>
        <v/>
      </c>
      <c r="CK69" s="20" t="str">
        <f t="shared" si="94"/>
        <v/>
      </c>
      <c r="CL69" s="51" t="b">
        <f t="shared" ref="CL69:CO69" si="669">CL23</f>
        <v>0</v>
      </c>
      <c r="CM69" s="51" t="b">
        <f t="shared" si="669"/>
        <v>0</v>
      </c>
      <c r="CN69" s="51" t="b">
        <f t="shared" si="669"/>
        <v>0</v>
      </c>
      <c r="CO69" s="51" t="b">
        <f t="shared" si="669"/>
        <v>0</v>
      </c>
      <c r="CP69" s="20" t="str">
        <f t="shared" si="96"/>
        <v/>
      </c>
      <c r="CQ69" s="51" t="str">
        <f t="shared" si="97"/>
        <v/>
      </c>
      <c r="CR69" s="20" t="str">
        <f t="shared" si="98"/>
        <v/>
      </c>
      <c r="CS69" s="51" t="b">
        <f t="shared" ref="CS69:CT69" si="670">CS23</f>
        <v>0</v>
      </c>
      <c r="CT69" s="51" t="b">
        <f t="shared" si="670"/>
        <v>0</v>
      </c>
      <c r="CU69" s="51" t="b">
        <f t="shared" ref="CU69:CV69" si="671">CU23</f>
        <v>0</v>
      </c>
      <c r="CV69" s="51" t="b">
        <f t="shared" si="671"/>
        <v>0</v>
      </c>
      <c r="CW69" s="20" t="str">
        <f t="shared" si="99"/>
        <v/>
      </c>
      <c r="CX69" s="51" t="str">
        <f t="shared" si="100"/>
        <v/>
      </c>
      <c r="CY69" s="20" t="str">
        <f t="shared" si="101"/>
        <v/>
      </c>
      <c r="CZ69" s="51" t="b">
        <f t="shared" ref="CZ69:DC69" si="672">CZ23</f>
        <v>0</v>
      </c>
      <c r="DA69" s="51" t="b">
        <f t="shared" si="672"/>
        <v>0</v>
      </c>
      <c r="DB69" s="51" t="b">
        <f t="shared" si="672"/>
        <v>0</v>
      </c>
      <c r="DC69" s="51" t="b">
        <f t="shared" si="672"/>
        <v>0</v>
      </c>
      <c r="DD69" s="51" t="str">
        <f t="shared" si="103"/>
        <v/>
      </c>
      <c r="DE69" s="19" t="str">
        <f t="shared" si="104"/>
        <v/>
      </c>
      <c r="DF69" s="20" t="str">
        <f t="shared" si="105"/>
        <v/>
      </c>
      <c r="DG69" s="51" t="b">
        <f t="shared" ref="DG69:DJ69" si="673">DG23</f>
        <v>0</v>
      </c>
      <c r="DH69" s="51" t="b">
        <f t="shared" si="673"/>
        <v>0</v>
      </c>
      <c r="DI69" s="51" t="b">
        <f t="shared" si="673"/>
        <v>0</v>
      </c>
      <c r="DJ69" s="51" t="b">
        <f t="shared" si="673"/>
        <v>0</v>
      </c>
      <c r="DK69" s="20" t="str">
        <f t="shared" si="107"/>
        <v/>
      </c>
      <c r="DL69" s="51" t="str">
        <f t="shared" si="108"/>
        <v/>
      </c>
      <c r="DM69" s="20" t="str">
        <f t="shared" si="109"/>
        <v/>
      </c>
      <c r="DN69" s="51" t="b">
        <f t="shared" ref="DN69:DO69" si="674">DN23</f>
        <v>0</v>
      </c>
      <c r="DO69" s="51" t="b">
        <f t="shared" si="674"/>
        <v>0</v>
      </c>
      <c r="DP69" s="51" t="b">
        <f t="shared" ref="DP69:DQ69" si="675">DP23</f>
        <v>0</v>
      </c>
      <c r="DQ69" s="51" t="b">
        <f t="shared" si="675"/>
        <v>0</v>
      </c>
      <c r="DR69" s="20" t="str">
        <f t="shared" si="110"/>
        <v/>
      </c>
      <c r="DS69" s="51" t="str">
        <f t="shared" si="111"/>
        <v/>
      </c>
      <c r="DT69" s="20" t="str">
        <f t="shared" si="112"/>
        <v/>
      </c>
      <c r="DU69" s="51" t="b">
        <f t="shared" ref="DU69:DX69" si="676">DU23</f>
        <v>0</v>
      </c>
      <c r="DV69" s="51" t="b">
        <f t="shared" si="676"/>
        <v>0</v>
      </c>
      <c r="DW69" s="51" t="b">
        <f t="shared" si="676"/>
        <v>0</v>
      </c>
      <c r="DX69" s="51" t="b">
        <f t="shared" si="676"/>
        <v>0</v>
      </c>
      <c r="DY69" s="51" t="str">
        <f t="shared" si="114"/>
        <v/>
      </c>
      <c r="DZ69" s="19" t="str">
        <f t="shared" si="115"/>
        <v/>
      </c>
      <c r="EA69" s="20" t="str">
        <f t="shared" si="116"/>
        <v/>
      </c>
      <c r="EB69" s="51" t="b">
        <f t="shared" ref="EB69:EE69" si="677">EB23</f>
        <v>0</v>
      </c>
      <c r="EC69" s="51" t="b">
        <f t="shared" si="677"/>
        <v>0</v>
      </c>
      <c r="ED69" s="51" t="b">
        <f t="shared" si="677"/>
        <v>0</v>
      </c>
      <c r="EE69" s="51" t="b">
        <f t="shared" si="677"/>
        <v>0</v>
      </c>
      <c r="EF69" s="20" t="str">
        <f t="shared" si="118"/>
        <v/>
      </c>
      <c r="EG69" s="51" t="str">
        <f t="shared" si="119"/>
        <v/>
      </c>
      <c r="EH69" s="20" t="str">
        <f t="shared" si="120"/>
        <v/>
      </c>
      <c r="EI69" s="51" t="b">
        <f t="shared" ref="EI69:EJ69" si="678">EI23</f>
        <v>0</v>
      </c>
      <c r="EJ69" s="51" t="b">
        <f t="shared" si="678"/>
        <v>0</v>
      </c>
      <c r="EK69" s="51" t="b">
        <f t="shared" ref="EK69:EL69" si="679">EK23</f>
        <v>0</v>
      </c>
      <c r="EL69" s="51" t="b">
        <f t="shared" si="679"/>
        <v>0</v>
      </c>
      <c r="EM69" s="20" t="str">
        <f t="shared" si="121"/>
        <v/>
      </c>
      <c r="EN69" s="51" t="str">
        <f t="shared" si="122"/>
        <v/>
      </c>
      <c r="EO69" s="20" t="str">
        <f t="shared" si="123"/>
        <v/>
      </c>
      <c r="EP69" s="51" t="b">
        <f t="shared" ref="EP69:ES69" si="680">EP23</f>
        <v>0</v>
      </c>
      <c r="EQ69" s="51" t="b">
        <f t="shared" si="680"/>
        <v>0</v>
      </c>
      <c r="ER69" s="51" t="b">
        <f t="shared" si="680"/>
        <v>0</v>
      </c>
      <c r="ES69" s="51" t="b">
        <f t="shared" si="680"/>
        <v>0</v>
      </c>
      <c r="ET69" s="51" t="str">
        <f t="shared" si="125"/>
        <v/>
      </c>
      <c r="EU69" s="19" t="str">
        <f t="shared" si="126"/>
        <v/>
      </c>
      <c r="EV69" s="20" t="str">
        <f t="shared" si="127"/>
        <v/>
      </c>
      <c r="EW69" s="51" t="b">
        <f t="shared" ref="EW69:EZ69" si="681">EW23</f>
        <v>0</v>
      </c>
      <c r="EX69" s="51" t="b">
        <f t="shared" si="681"/>
        <v>0</v>
      </c>
      <c r="EY69" s="51" t="b">
        <f t="shared" si="681"/>
        <v>0</v>
      </c>
      <c r="EZ69" s="51" t="b">
        <f t="shared" si="681"/>
        <v>0</v>
      </c>
      <c r="FA69" s="20" t="str">
        <f t="shared" si="129"/>
        <v/>
      </c>
      <c r="FB69" s="51" t="str">
        <f t="shared" si="130"/>
        <v/>
      </c>
      <c r="FC69" s="20" t="str">
        <f t="shared" si="131"/>
        <v/>
      </c>
      <c r="FD69" s="51" t="b">
        <f t="shared" ref="FD69:FE69" si="682">FD23</f>
        <v>0</v>
      </c>
      <c r="FE69" s="51" t="b">
        <f t="shared" si="682"/>
        <v>0</v>
      </c>
      <c r="FF69" s="51" t="b">
        <f t="shared" ref="FF69:FG69" si="683">FF23</f>
        <v>0</v>
      </c>
      <c r="FG69" s="51" t="b">
        <f t="shared" si="683"/>
        <v>0</v>
      </c>
      <c r="FH69" s="20" t="str">
        <f t="shared" si="132"/>
        <v/>
      </c>
      <c r="FI69" s="51" t="str">
        <f t="shared" si="133"/>
        <v/>
      </c>
      <c r="FJ69" s="20" t="str">
        <f t="shared" si="134"/>
        <v/>
      </c>
      <c r="FK69" s="51" t="b">
        <f t="shared" ref="FK69:FN69" si="684">FK23</f>
        <v>0</v>
      </c>
      <c r="FL69" s="51" t="b">
        <f t="shared" si="684"/>
        <v>0</v>
      </c>
      <c r="FM69" s="51" t="b">
        <f t="shared" si="684"/>
        <v>0</v>
      </c>
      <c r="FN69" s="51" t="b">
        <f t="shared" si="684"/>
        <v>0</v>
      </c>
      <c r="FO69" s="51" t="str">
        <f t="shared" si="136"/>
        <v/>
      </c>
      <c r="FP69" s="19" t="str">
        <f t="shared" si="137"/>
        <v/>
      </c>
      <c r="FQ69" s="20" t="str">
        <f t="shared" si="138"/>
        <v/>
      </c>
      <c r="FR69" s="51" t="b">
        <f t="shared" ref="FR69:FU69" si="685">FR23</f>
        <v>0</v>
      </c>
      <c r="FS69" s="51" t="b">
        <f t="shared" si="685"/>
        <v>0</v>
      </c>
      <c r="FT69" s="51" t="b">
        <f t="shared" si="685"/>
        <v>0</v>
      </c>
      <c r="FU69" s="51" t="b">
        <f t="shared" si="685"/>
        <v>0</v>
      </c>
      <c r="FV69" s="20" t="str">
        <f t="shared" si="140"/>
        <v/>
      </c>
      <c r="FW69" s="51" t="str">
        <f t="shared" si="141"/>
        <v/>
      </c>
      <c r="FX69" s="20" t="str">
        <f t="shared" si="142"/>
        <v/>
      </c>
      <c r="FY69" s="51" t="b">
        <f t="shared" ref="FY69:FZ69" si="686">FY23</f>
        <v>0</v>
      </c>
      <c r="FZ69" s="51" t="b">
        <f t="shared" si="686"/>
        <v>0</v>
      </c>
      <c r="GA69" s="51" t="b">
        <f t="shared" ref="GA69:GB69" si="687">GA23</f>
        <v>0</v>
      </c>
      <c r="GB69" s="51" t="b">
        <f t="shared" si="687"/>
        <v>0</v>
      </c>
      <c r="GC69" s="20" t="str">
        <f t="shared" si="143"/>
        <v/>
      </c>
      <c r="GD69" s="51" t="str">
        <f t="shared" si="144"/>
        <v/>
      </c>
      <c r="GE69" s="20" t="str">
        <f t="shared" si="145"/>
        <v/>
      </c>
      <c r="GF69" s="51" t="b">
        <f t="shared" ref="GF69:GI69" si="688">GF23</f>
        <v>0</v>
      </c>
      <c r="GG69" s="51" t="b">
        <f t="shared" si="688"/>
        <v>0</v>
      </c>
      <c r="GH69" s="51" t="b">
        <f t="shared" si="688"/>
        <v>0</v>
      </c>
      <c r="GI69" s="51" t="b">
        <f t="shared" si="688"/>
        <v>0</v>
      </c>
      <c r="GJ69" s="51" t="str">
        <f t="shared" si="147"/>
        <v/>
      </c>
      <c r="GK69" s="19" t="str">
        <f t="shared" si="148"/>
        <v/>
      </c>
      <c r="GL69" s="20" t="str">
        <f t="shared" si="149"/>
        <v/>
      </c>
      <c r="GM69" s="51" t="b">
        <f t="shared" ref="GM69:GP69" si="689">GM23</f>
        <v>0</v>
      </c>
      <c r="GN69" s="51" t="b">
        <f t="shared" si="689"/>
        <v>0</v>
      </c>
      <c r="GO69" s="51" t="b">
        <f t="shared" si="689"/>
        <v>0</v>
      </c>
      <c r="GP69" s="51" t="b">
        <f t="shared" si="689"/>
        <v>0</v>
      </c>
      <c r="GQ69" s="20" t="str">
        <f t="shared" si="151"/>
        <v/>
      </c>
      <c r="GR69" s="51" t="str">
        <f t="shared" si="152"/>
        <v/>
      </c>
      <c r="GS69" s="20" t="str">
        <f t="shared" si="153"/>
        <v/>
      </c>
      <c r="GT69" s="51" t="b">
        <f t="shared" ref="GT69:GU69" si="690">GT23</f>
        <v>0</v>
      </c>
      <c r="GU69" s="51" t="b">
        <f t="shared" si="690"/>
        <v>0</v>
      </c>
      <c r="GV69" s="51" t="b">
        <f t="shared" ref="GV69:GW69" si="691">GV23</f>
        <v>0</v>
      </c>
      <c r="GW69" s="51" t="b">
        <f t="shared" si="691"/>
        <v>0</v>
      </c>
      <c r="GX69" s="20" t="str">
        <f t="shared" si="154"/>
        <v/>
      </c>
      <c r="GY69" s="51" t="str">
        <f t="shared" si="155"/>
        <v/>
      </c>
      <c r="GZ69" s="20" t="str">
        <f t="shared" si="156"/>
        <v/>
      </c>
      <c r="HA69" s="51" t="b">
        <f t="shared" ref="HA69:HD69" si="692">HA23</f>
        <v>0</v>
      </c>
      <c r="HB69" s="51" t="b">
        <f t="shared" si="692"/>
        <v>0</v>
      </c>
      <c r="HC69" s="51" t="b">
        <f t="shared" si="692"/>
        <v>0</v>
      </c>
      <c r="HD69" s="51" t="b">
        <f t="shared" si="692"/>
        <v>0</v>
      </c>
      <c r="HE69" s="51" t="str">
        <f t="shared" si="158"/>
        <v/>
      </c>
      <c r="HF69" s="19" t="str">
        <f t="shared" si="159"/>
        <v/>
      </c>
      <c r="HG69" s="20" t="str">
        <f t="shared" si="160"/>
        <v/>
      </c>
      <c r="HH69" s="51" t="b">
        <f t="shared" ref="HH69:HK69" si="693">HH23</f>
        <v>0</v>
      </c>
      <c r="HI69" s="51" t="b">
        <f t="shared" si="693"/>
        <v>0</v>
      </c>
      <c r="HJ69" s="51" t="b">
        <f t="shared" si="693"/>
        <v>0</v>
      </c>
      <c r="HK69" s="51" t="b">
        <f t="shared" si="693"/>
        <v>0</v>
      </c>
      <c r="HL69" s="20" t="str">
        <f t="shared" si="162"/>
        <v/>
      </c>
      <c r="HM69" s="51" t="str">
        <f t="shared" si="163"/>
        <v/>
      </c>
      <c r="HN69" s="20" t="str">
        <f t="shared" si="164"/>
        <v/>
      </c>
      <c r="HO69" s="51" t="b">
        <f t="shared" ref="HO69:HP69" si="694">HO23</f>
        <v>0</v>
      </c>
      <c r="HP69" s="51" t="b">
        <f t="shared" si="694"/>
        <v>0</v>
      </c>
      <c r="HQ69" s="51" t="b">
        <f t="shared" ref="HQ69:HR69" si="695">HQ23</f>
        <v>0</v>
      </c>
      <c r="HR69" s="51" t="b">
        <f t="shared" si="695"/>
        <v>0</v>
      </c>
      <c r="HS69" s="20" t="str">
        <f t="shared" si="165"/>
        <v/>
      </c>
      <c r="HT69" s="51" t="str">
        <f t="shared" si="166"/>
        <v/>
      </c>
      <c r="HU69" s="20" t="str">
        <f t="shared" si="167"/>
        <v/>
      </c>
      <c r="HV69" s="51" t="b">
        <f t="shared" ref="HV69:HY69" si="696">HV23</f>
        <v>0</v>
      </c>
      <c r="HW69" s="51" t="b">
        <f t="shared" si="696"/>
        <v>0</v>
      </c>
      <c r="HX69" s="51" t="b">
        <f t="shared" si="696"/>
        <v>0</v>
      </c>
      <c r="HY69" s="51" t="b">
        <f t="shared" si="696"/>
        <v>0</v>
      </c>
      <c r="HZ69" s="51" t="str">
        <f t="shared" si="169"/>
        <v/>
      </c>
      <c r="IA69" s="19" t="str">
        <f t="shared" si="170"/>
        <v/>
      </c>
      <c r="IB69" s="20" t="str">
        <f t="shared" si="171"/>
        <v/>
      </c>
      <c r="IC69" s="51" t="b">
        <f t="shared" ref="IC69:IF69" si="697">IC23</f>
        <v>0</v>
      </c>
      <c r="ID69" s="51" t="b">
        <f t="shared" si="697"/>
        <v>0</v>
      </c>
      <c r="IE69" s="51" t="b">
        <f t="shared" si="697"/>
        <v>0</v>
      </c>
      <c r="IF69" s="51" t="b">
        <f t="shared" si="697"/>
        <v>0</v>
      </c>
      <c r="IG69" s="20" t="str">
        <f t="shared" si="173"/>
        <v/>
      </c>
      <c r="IH69" s="51" t="str">
        <f t="shared" si="174"/>
        <v/>
      </c>
      <c r="II69" s="20" t="str">
        <f t="shared" si="175"/>
        <v/>
      </c>
      <c r="IJ69" s="51" t="b">
        <f t="shared" ref="IJ69:IK69" si="698">IJ23</f>
        <v>0</v>
      </c>
      <c r="IK69" s="51" t="b">
        <f t="shared" si="698"/>
        <v>0</v>
      </c>
      <c r="IL69" s="51" t="b">
        <f t="shared" ref="IL69:IM69" si="699">IL23</f>
        <v>0</v>
      </c>
      <c r="IM69" s="51" t="b">
        <f t="shared" si="699"/>
        <v>0</v>
      </c>
      <c r="IN69" s="20" t="str">
        <f t="shared" si="176"/>
        <v/>
      </c>
      <c r="IO69" s="51" t="str">
        <f t="shared" si="177"/>
        <v/>
      </c>
      <c r="IP69" s="20" t="str">
        <f t="shared" si="178"/>
        <v/>
      </c>
      <c r="IQ69" s="51" t="b">
        <f t="shared" ref="IQ69:IT69" si="700">IQ23</f>
        <v>0</v>
      </c>
      <c r="IR69" s="51" t="b">
        <f t="shared" si="700"/>
        <v>0</v>
      </c>
      <c r="IS69" s="51" t="b">
        <f t="shared" si="700"/>
        <v>0</v>
      </c>
      <c r="IT69" s="51" t="b">
        <f t="shared" si="700"/>
        <v>0</v>
      </c>
      <c r="IU69" s="51" t="str">
        <f t="shared" si="180"/>
        <v/>
      </c>
      <c r="IV69" s="116"/>
    </row>
    <row r="70" spans="1:256" x14ac:dyDescent="0.2">
      <c r="C70">
        <v>15</v>
      </c>
      <c r="D70" s="19" t="str">
        <f t="shared" si="48"/>
        <v/>
      </c>
      <c r="E70" s="20" t="str">
        <f t="shared" si="49"/>
        <v/>
      </c>
      <c r="F70" s="51" t="str">
        <f t="shared" si="50"/>
        <v>FALSE</v>
      </c>
      <c r="G70" s="51" t="str">
        <f t="shared" si="50"/>
        <v>FALSE</v>
      </c>
      <c r="H70" s="51" t="str">
        <f t="shared" si="50"/>
        <v>FALSE</v>
      </c>
      <c r="I70" s="51" t="str">
        <f t="shared" si="50"/>
        <v>FALSE</v>
      </c>
      <c r="J70" s="20" t="str">
        <f t="shared" si="51"/>
        <v/>
      </c>
      <c r="K70" s="51" t="str">
        <f t="shared" si="52"/>
        <v/>
      </c>
      <c r="L70" s="20" t="str">
        <f t="shared" si="53"/>
        <v/>
      </c>
      <c r="M70" s="51" t="str">
        <f t="shared" si="54"/>
        <v>FALSE</v>
      </c>
      <c r="N70" s="51" t="str">
        <f t="shared" si="54"/>
        <v>FALSE</v>
      </c>
      <c r="O70" s="51" t="str">
        <f t="shared" si="54"/>
        <v>FALSE</v>
      </c>
      <c r="P70" s="51" t="str">
        <f t="shared" si="54"/>
        <v>FALSE</v>
      </c>
      <c r="Q70" s="20" t="str">
        <f t="shared" si="55"/>
        <v/>
      </c>
      <c r="R70" s="51" t="str">
        <f t="shared" si="56"/>
        <v/>
      </c>
      <c r="S70" s="51" t="str">
        <f t="shared" si="57"/>
        <v/>
      </c>
      <c r="T70" s="51" t="str">
        <f t="shared" si="58"/>
        <v>FALSE</v>
      </c>
      <c r="U70" s="51" t="str">
        <f t="shared" si="58"/>
        <v>FALSE</v>
      </c>
      <c r="V70" s="51" t="str">
        <f t="shared" si="58"/>
        <v>FALSE</v>
      </c>
      <c r="W70" s="51" t="str">
        <f t="shared" si="58"/>
        <v>FALSE</v>
      </c>
      <c r="X70" s="22" t="str">
        <f t="shared" si="59"/>
        <v/>
      </c>
      <c r="Y70" s="19" t="str">
        <f t="shared" si="60"/>
        <v/>
      </c>
      <c r="Z70" s="20" t="str">
        <f t="shared" si="61"/>
        <v/>
      </c>
      <c r="AA70" s="51" t="str">
        <f t="shared" si="62"/>
        <v>FALSE</v>
      </c>
      <c r="AB70" s="51" t="str">
        <f t="shared" si="62"/>
        <v>FALSE</v>
      </c>
      <c r="AC70" s="51" t="str">
        <f t="shared" si="62"/>
        <v>FALSE</v>
      </c>
      <c r="AD70" s="51" t="str">
        <f t="shared" si="62"/>
        <v>FALSE</v>
      </c>
      <c r="AE70" s="20" t="str">
        <f t="shared" si="63"/>
        <v/>
      </c>
      <c r="AF70" s="51" t="str">
        <f t="shared" si="64"/>
        <v/>
      </c>
      <c r="AG70" s="20" t="str">
        <f t="shared" si="65"/>
        <v/>
      </c>
      <c r="AH70" s="51" t="str">
        <f t="shared" ref="AH70:AK70" si="701">AH24</f>
        <v>FALSE</v>
      </c>
      <c r="AI70" s="51" t="str">
        <f t="shared" si="701"/>
        <v>FALSE</v>
      </c>
      <c r="AJ70" s="51" t="str">
        <f t="shared" si="701"/>
        <v>FALSE</v>
      </c>
      <c r="AK70" s="51" t="str">
        <f t="shared" si="701"/>
        <v>FALSE</v>
      </c>
      <c r="AL70" s="20" t="str">
        <f t="shared" si="66"/>
        <v/>
      </c>
      <c r="AM70" s="51" t="str">
        <f t="shared" si="67"/>
        <v/>
      </c>
      <c r="AN70" s="20" t="str">
        <f t="shared" si="68"/>
        <v/>
      </c>
      <c r="AO70" s="51" t="str">
        <f t="shared" si="69"/>
        <v>FALSE</v>
      </c>
      <c r="AP70" s="51" t="str">
        <f t="shared" si="69"/>
        <v>FALSE</v>
      </c>
      <c r="AQ70" s="51" t="str">
        <f t="shared" si="69"/>
        <v>FALSE</v>
      </c>
      <c r="AR70" s="51" t="str">
        <f t="shared" si="69"/>
        <v>FALSE</v>
      </c>
      <c r="AS70" s="51" t="str">
        <f t="shared" si="70"/>
        <v/>
      </c>
      <c r="AT70" s="19" t="str">
        <f t="shared" si="71"/>
        <v/>
      </c>
      <c r="AU70" s="20" t="str">
        <f t="shared" si="72"/>
        <v/>
      </c>
      <c r="AV70" s="51" t="str">
        <f t="shared" ref="AV70:AY70" si="702">AV24</f>
        <v>FALSE</v>
      </c>
      <c r="AW70" s="51" t="str">
        <f t="shared" si="702"/>
        <v>FALSE</v>
      </c>
      <c r="AX70" s="51" t="str">
        <f t="shared" si="702"/>
        <v>FALSE</v>
      </c>
      <c r="AY70" s="51" t="str">
        <f t="shared" si="702"/>
        <v>FALSE</v>
      </c>
      <c r="AZ70" s="20" t="str">
        <f t="shared" si="74"/>
        <v/>
      </c>
      <c r="BA70" s="51" t="str">
        <f t="shared" si="75"/>
        <v/>
      </c>
      <c r="BB70" s="20" t="str">
        <f t="shared" si="76"/>
        <v/>
      </c>
      <c r="BC70" s="51" t="str">
        <f t="shared" ref="BC70:BF70" si="703">BC24</f>
        <v>FALSE</v>
      </c>
      <c r="BD70" s="51" t="str">
        <f t="shared" si="703"/>
        <v>FALSE</v>
      </c>
      <c r="BE70" s="51" t="str">
        <f t="shared" si="703"/>
        <v>FALSE</v>
      </c>
      <c r="BF70" s="51" t="str">
        <f t="shared" si="703"/>
        <v>FALSE</v>
      </c>
      <c r="BG70" s="20" t="str">
        <f t="shared" si="77"/>
        <v/>
      </c>
      <c r="BH70" s="51" t="str">
        <f t="shared" si="78"/>
        <v/>
      </c>
      <c r="BI70" s="20" t="str">
        <f t="shared" si="79"/>
        <v/>
      </c>
      <c r="BJ70" s="51" t="str">
        <f t="shared" ref="BJ70:BM70" si="704">BJ24</f>
        <v>FALSE</v>
      </c>
      <c r="BK70" s="51" t="str">
        <f t="shared" si="704"/>
        <v>FALSE</v>
      </c>
      <c r="BL70" s="51" t="str">
        <f t="shared" si="704"/>
        <v>FALSE</v>
      </c>
      <c r="BM70" s="51" t="str">
        <f t="shared" si="704"/>
        <v>FALSE</v>
      </c>
      <c r="BN70" s="51" t="str">
        <f t="shared" si="81"/>
        <v/>
      </c>
      <c r="BO70" s="19" t="str">
        <f t="shared" si="82"/>
        <v/>
      </c>
      <c r="BP70" s="20" t="str">
        <f t="shared" si="83"/>
        <v/>
      </c>
      <c r="BQ70" s="51" t="b">
        <f t="shared" ref="BQ70:BT70" si="705">BQ24</f>
        <v>0</v>
      </c>
      <c r="BR70" s="51" t="b">
        <f t="shared" si="705"/>
        <v>0</v>
      </c>
      <c r="BS70" s="51" t="b">
        <f t="shared" si="705"/>
        <v>0</v>
      </c>
      <c r="BT70" s="51" t="b">
        <f t="shared" si="705"/>
        <v>0</v>
      </c>
      <c r="BU70" s="20" t="str">
        <f t="shared" si="85"/>
        <v/>
      </c>
      <c r="BV70" s="51" t="str">
        <f t="shared" si="86"/>
        <v/>
      </c>
      <c r="BW70" s="20" t="str">
        <f t="shared" si="87"/>
        <v/>
      </c>
      <c r="BX70" s="51" t="b">
        <f t="shared" ref="BX70:BY70" si="706">BX24</f>
        <v>0</v>
      </c>
      <c r="BY70" s="51" t="b">
        <f t="shared" si="706"/>
        <v>0</v>
      </c>
      <c r="BZ70" s="51" t="b">
        <f t="shared" ref="BZ70:CA70" si="707">BZ24</f>
        <v>0</v>
      </c>
      <c r="CA70" s="51" t="b">
        <f t="shared" si="707"/>
        <v>0</v>
      </c>
      <c r="CB70" s="20" t="str">
        <f t="shared" si="88"/>
        <v/>
      </c>
      <c r="CC70" s="51" t="str">
        <f t="shared" si="89"/>
        <v/>
      </c>
      <c r="CD70" s="20" t="str">
        <f t="shared" si="90"/>
        <v/>
      </c>
      <c r="CE70" s="51" t="b">
        <f t="shared" ref="CE70:CH70" si="708">CE24</f>
        <v>0</v>
      </c>
      <c r="CF70" s="51" t="b">
        <f t="shared" si="708"/>
        <v>0</v>
      </c>
      <c r="CG70" s="51" t="b">
        <f t="shared" si="708"/>
        <v>0</v>
      </c>
      <c r="CH70" s="51" t="b">
        <f t="shared" si="708"/>
        <v>0</v>
      </c>
      <c r="CI70" s="51" t="str">
        <f t="shared" si="92"/>
        <v/>
      </c>
      <c r="CJ70" s="19" t="str">
        <f t="shared" si="93"/>
        <v/>
      </c>
      <c r="CK70" s="20" t="str">
        <f t="shared" si="94"/>
        <v/>
      </c>
      <c r="CL70" s="51" t="b">
        <f t="shared" ref="CL70:CO70" si="709">CL24</f>
        <v>0</v>
      </c>
      <c r="CM70" s="51" t="b">
        <f t="shared" si="709"/>
        <v>0</v>
      </c>
      <c r="CN70" s="51" t="b">
        <f t="shared" si="709"/>
        <v>0</v>
      </c>
      <c r="CO70" s="51" t="b">
        <f t="shared" si="709"/>
        <v>0</v>
      </c>
      <c r="CP70" s="20" t="str">
        <f t="shared" si="96"/>
        <v/>
      </c>
      <c r="CQ70" s="51" t="str">
        <f t="shared" si="97"/>
        <v/>
      </c>
      <c r="CR70" s="20" t="str">
        <f t="shared" si="98"/>
        <v/>
      </c>
      <c r="CS70" s="51" t="b">
        <f t="shared" ref="CS70:CT70" si="710">CS24</f>
        <v>0</v>
      </c>
      <c r="CT70" s="51" t="b">
        <f t="shared" si="710"/>
        <v>0</v>
      </c>
      <c r="CU70" s="51" t="b">
        <f t="shared" ref="CU70:CV70" si="711">CU24</f>
        <v>0</v>
      </c>
      <c r="CV70" s="51" t="b">
        <f t="shared" si="711"/>
        <v>0</v>
      </c>
      <c r="CW70" s="20" t="str">
        <f t="shared" si="99"/>
        <v/>
      </c>
      <c r="CX70" s="51" t="str">
        <f t="shared" si="100"/>
        <v/>
      </c>
      <c r="CY70" s="20" t="str">
        <f t="shared" si="101"/>
        <v/>
      </c>
      <c r="CZ70" s="51" t="b">
        <f t="shared" ref="CZ70:DC70" si="712">CZ24</f>
        <v>0</v>
      </c>
      <c r="DA70" s="51" t="b">
        <f t="shared" si="712"/>
        <v>0</v>
      </c>
      <c r="DB70" s="51" t="b">
        <f t="shared" si="712"/>
        <v>0</v>
      </c>
      <c r="DC70" s="51" t="b">
        <f t="shared" si="712"/>
        <v>0</v>
      </c>
      <c r="DD70" s="51" t="str">
        <f t="shared" si="103"/>
        <v/>
      </c>
      <c r="DE70" s="19" t="str">
        <f t="shared" si="104"/>
        <v/>
      </c>
      <c r="DF70" s="20" t="str">
        <f t="shared" si="105"/>
        <v/>
      </c>
      <c r="DG70" s="51" t="b">
        <f t="shared" ref="DG70:DJ70" si="713">DG24</f>
        <v>0</v>
      </c>
      <c r="DH70" s="51" t="b">
        <f t="shared" si="713"/>
        <v>0</v>
      </c>
      <c r="DI70" s="51" t="b">
        <f t="shared" si="713"/>
        <v>0</v>
      </c>
      <c r="DJ70" s="51" t="b">
        <f t="shared" si="713"/>
        <v>0</v>
      </c>
      <c r="DK70" s="20" t="str">
        <f t="shared" si="107"/>
        <v/>
      </c>
      <c r="DL70" s="51" t="str">
        <f t="shared" si="108"/>
        <v/>
      </c>
      <c r="DM70" s="20" t="str">
        <f t="shared" si="109"/>
        <v/>
      </c>
      <c r="DN70" s="51" t="b">
        <f t="shared" ref="DN70:DO70" si="714">DN24</f>
        <v>0</v>
      </c>
      <c r="DO70" s="51" t="b">
        <f t="shared" si="714"/>
        <v>0</v>
      </c>
      <c r="DP70" s="51" t="b">
        <f t="shared" ref="DP70:DQ70" si="715">DP24</f>
        <v>0</v>
      </c>
      <c r="DQ70" s="51" t="b">
        <f t="shared" si="715"/>
        <v>0</v>
      </c>
      <c r="DR70" s="20" t="str">
        <f t="shared" si="110"/>
        <v/>
      </c>
      <c r="DS70" s="51" t="str">
        <f t="shared" si="111"/>
        <v/>
      </c>
      <c r="DT70" s="20" t="str">
        <f t="shared" si="112"/>
        <v/>
      </c>
      <c r="DU70" s="51" t="b">
        <f t="shared" ref="DU70:DX70" si="716">DU24</f>
        <v>0</v>
      </c>
      <c r="DV70" s="51" t="b">
        <f t="shared" si="716"/>
        <v>0</v>
      </c>
      <c r="DW70" s="51" t="b">
        <f t="shared" si="716"/>
        <v>0</v>
      </c>
      <c r="DX70" s="51" t="b">
        <f t="shared" si="716"/>
        <v>0</v>
      </c>
      <c r="DY70" s="51" t="str">
        <f t="shared" si="114"/>
        <v/>
      </c>
      <c r="DZ70" s="19" t="str">
        <f t="shared" si="115"/>
        <v/>
      </c>
      <c r="EA70" s="20" t="str">
        <f t="shared" si="116"/>
        <v/>
      </c>
      <c r="EB70" s="51" t="b">
        <f t="shared" ref="EB70:EE70" si="717">EB24</f>
        <v>0</v>
      </c>
      <c r="EC70" s="51" t="b">
        <f t="shared" si="717"/>
        <v>0</v>
      </c>
      <c r="ED70" s="51" t="b">
        <f t="shared" si="717"/>
        <v>0</v>
      </c>
      <c r="EE70" s="51" t="b">
        <f t="shared" si="717"/>
        <v>0</v>
      </c>
      <c r="EF70" s="20" t="str">
        <f t="shared" si="118"/>
        <v/>
      </c>
      <c r="EG70" s="51" t="str">
        <f t="shared" si="119"/>
        <v/>
      </c>
      <c r="EH70" s="20" t="str">
        <f t="shared" si="120"/>
        <v/>
      </c>
      <c r="EI70" s="51" t="b">
        <f t="shared" ref="EI70:EJ70" si="718">EI24</f>
        <v>0</v>
      </c>
      <c r="EJ70" s="51" t="b">
        <f t="shared" si="718"/>
        <v>0</v>
      </c>
      <c r="EK70" s="51" t="b">
        <f t="shared" ref="EK70:EL70" si="719">EK24</f>
        <v>0</v>
      </c>
      <c r="EL70" s="51" t="b">
        <f t="shared" si="719"/>
        <v>0</v>
      </c>
      <c r="EM70" s="20" t="str">
        <f t="shared" si="121"/>
        <v/>
      </c>
      <c r="EN70" s="51" t="str">
        <f t="shared" si="122"/>
        <v/>
      </c>
      <c r="EO70" s="20" t="str">
        <f t="shared" si="123"/>
        <v/>
      </c>
      <c r="EP70" s="51" t="b">
        <f t="shared" ref="EP70:ES70" si="720">EP24</f>
        <v>0</v>
      </c>
      <c r="EQ70" s="51" t="b">
        <f t="shared" si="720"/>
        <v>0</v>
      </c>
      <c r="ER70" s="51" t="b">
        <f t="shared" si="720"/>
        <v>0</v>
      </c>
      <c r="ES70" s="51" t="b">
        <f t="shared" si="720"/>
        <v>0</v>
      </c>
      <c r="ET70" s="51" t="str">
        <f t="shared" si="125"/>
        <v/>
      </c>
      <c r="EU70" s="19" t="str">
        <f t="shared" si="126"/>
        <v/>
      </c>
      <c r="EV70" s="20" t="str">
        <f t="shared" si="127"/>
        <v/>
      </c>
      <c r="EW70" s="51" t="b">
        <f t="shared" ref="EW70:EZ70" si="721">EW24</f>
        <v>0</v>
      </c>
      <c r="EX70" s="51" t="b">
        <f t="shared" si="721"/>
        <v>0</v>
      </c>
      <c r="EY70" s="51" t="b">
        <f t="shared" si="721"/>
        <v>0</v>
      </c>
      <c r="EZ70" s="51" t="b">
        <f t="shared" si="721"/>
        <v>0</v>
      </c>
      <c r="FA70" s="20" t="str">
        <f t="shared" si="129"/>
        <v/>
      </c>
      <c r="FB70" s="51" t="str">
        <f t="shared" si="130"/>
        <v/>
      </c>
      <c r="FC70" s="20" t="str">
        <f t="shared" si="131"/>
        <v/>
      </c>
      <c r="FD70" s="51" t="b">
        <f t="shared" ref="FD70:FE70" si="722">FD24</f>
        <v>0</v>
      </c>
      <c r="FE70" s="51" t="b">
        <f t="shared" si="722"/>
        <v>0</v>
      </c>
      <c r="FF70" s="51" t="b">
        <f t="shared" ref="FF70:FG70" si="723">FF24</f>
        <v>0</v>
      </c>
      <c r="FG70" s="51" t="b">
        <f t="shared" si="723"/>
        <v>0</v>
      </c>
      <c r="FH70" s="20" t="str">
        <f t="shared" si="132"/>
        <v/>
      </c>
      <c r="FI70" s="51" t="str">
        <f t="shared" si="133"/>
        <v/>
      </c>
      <c r="FJ70" s="20" t="str">
        <f t="shared" si="134"/>
        <v/>
      </c>
      <c r="FK70" s="51" t="b">
        <f t="shared" ref="FK70:FN70" si="724">FK24</f>
        <v>0</v>
      </c>
      <c r="FL70" s="51" t="b">
        <f t="shared" si="724"/>
        <v>0</v>
      </c>
      <c r="FM70" s="51" t="b">
        <f t="shared" si="724"/>
        <v>0</v>
      </c>
      <c r="FN70" s="51" t="b">
        <f t="shared" si="724"/>
        <v>0</v>
      </c>
      <c r="FO70" s="51" t="str">
        <f t="shared" si="136"/>
        <v/>
      </c>
      <c r="FP70" s="19" t="str">
        <f t="shared" si="137"/>
        <v/>
      </c>
      <c r="FQ70" s="20" t="str">
        <f t="shared" si="138"/>
        <v/>
      </c>
      <c r="FR70" s="51" t="b">
        <f t="shared" ref="FR70:FU70" si="725">FR24</f>
        <v>0</v>
      </c>
      <c r="FS70" s="51" t="b">
        <f t="shared" si="725"/>
        <v>0</v>
      </c>
      <c r="FT70" s="51" t="b">
        <f t="shared" si="725"/>
        <v>0</v>
      </c>
      <c r="FU70" s="51" t="b">
        <f t="shared" si="725"/>
        <v>0</v>
      </c>
      <c r="FV70" s="20" t="str">
        <f t="shared" si="140"/>
        <v/>
      </c>
      <c r="FW70" s="51" t="str">
        <f t="shared" si="141"/>
        <v/>
      </c>
      <c r="FX70" s="20" t="str">
        <f t="shared" si="142"/>
        <v/>
      </c>
      <c r="FY70" s="51" t="b">
        <f t="shared" ref="FY70:FZ70" si="726">FY24</f>
        <v>0</v>
      </c>
      <c r="FZ70" s="51" t="b">
        <f t="shared" si="726"/>
        <v>0</v>
      </c>
      <c r="GA70" s="51" t="b">
        <f t="shared" ref="GA70:GB70" si="727">GA24</f>
        <v>0</v>
      </c>
      <c r="GB70" s="51" t="b">
        <f t="shared" si="727"/>
        <v>0</v>
      </c>
      <c r="GC70" s="20" t="str">
        <f t="shared" si="143"/>
        <v/>
      </c>
      <c r="GD70" s="51" t="str">
        <f t="shared" si="144"/>
        <v/>
      </c>
      <c r="GE70" s="20" t="str">
        <f t="shared" si="145"/>
        <v/>
      </c>
      <c r="GF70" s="51" t="b">
        <f t="shared" ref="GF70:GI70" si="728">GF24</f>
        <v>0</v>
      </c>
      <c r="GG70" s="51" t="b">
        <f t="shared" si="728"/>
        <v>0</v>
      </c>
      <c r="GH70" s="51" t="b">
        <f t="shared" si="728"/>
        <v>0</v>
      </c>
      <c r="GI70" s="51" t="b">
        <f t="shared" si="728"/>
        <v>0</v>
      </c>
      <c r="GJ70" s="51" t="str">
        <f t="shared" si="147"/>
        <v/>
      </c>
      <c r="GK70" s="19" t="str">
        <f t="shared" si="148"/>
        <v/>
      </c>
      <c r="GL70" s="20" t="str">
        <f t="shared" si="149"/>
        <v/>
      </c>
      <c r="GM70" s="51" t="b">
        <f t="shared" ref="GM70:GP70" si="729">GM24</f>
        <v>0</v>
      </c>
      <c r="GN70" s="51" t="b">
        <f t="shared" si="729"/>
        <v>0</v>
      </c>
      <c r="GO70" s="51" t="b">
        <f t="shared" si="729"/>
        <v>0</v>
      </c>
      <c r="GP70" s="51" t="b">
        <f t="shared" si="729"/>
        <v>0</v>
      </c>
      <c r="GQ70" s="20" t="str">
        <f t="shared" si="151"/>
        <v/>
      </c>
      <c r="GR70" s="51" t="str">
        <f t="shared" si="152"/>
        <v/>
      </c>
      <c r="GS70" s="20" t="str">
        <f t="shared" si="153"/>
        <v/>
      </c>
      <c r="GT70" s="51" t="b">
        <f t="shared" ref="GT70:GU70" si="730">GT24</f>
        <v>0</v>
      </c>
      <c r="GU70" s="51" t="b">
        <f t="shared" si="730"/>
        <v>0</v>
      </c>
      <c r="GV70" s="51" t="b">
        <f t="shared" ref="GV70:GW70" si="731">GV24</f>
        <v>0</v>
      </c>
      <c r="GW70" s="51" t="b">
        <f t="shared" si="731"/>
        <v>0</v>
      </c>
      <c r="GX70" s="20" t="str">
        <f t="shared" si="154"/>
        <v/>
      </c>
      <c r="GY70" s="51" t="str">
        <f t="shared" si="155"/>
        <v/>
      </c>
      <c r="GZ70" s="20" t="str">
        <f t="shared" si="156"/>
        <v/>
      </c>
      <c r="HA70" s="51" t="b">
        <f t="shared" ref="HA70:HD70" si="732">HA24</f>
        <v>0</v>
      </c>
      <c r="HB70" s="51" t="b">
        <f t="shared" si="732"/>
        <v>0</v>
      </c>
      <c r="HC70" s="51" t="b">
        <f t="shared" si="732"/>
        <v>0</v>
      </c>
      <c r="HD70" s="51" t="b">
        <f t="shared" si="732"/>
        <v>0</v>
      </c>
      <c r="HE70" s="51" t="str">
        <f t="shared" si="158"/>
        <v/>
      </c>
      <c r="HF70" s="19" t="str">
        <f t="shared" si="159"/>
        <v/>
      </c>
      <c r="HG70" s="20" t="str">
        <f t="shared" si="160"/>
        <v/>
      </c>
      <c r="HH70" s="51" t="b">
        <f t="shared" ref="HH70:HK70" si="733">HH24</f>
        <v>0</v>
      </c>
      <c r="HI70" s="51" t="b">
        <f t="shared" si="733"/>
        <v>0</v>
      </c>
      <c r="HJ70" s="51" t="b">
        <f t="shared" si="733"/>
        <v>0</v>
      </c>
      <c r="HK70" s="51" t="b">
        <f t="shared" si="733"/>
        <v>0</v>
      </c>
      <c r="HL70" s="20" t="str">
        <f t="shared" si="162"/>
        <v/>
      </c>
      <c r="HM70" s="51" t="str">
        <f t="shared" si="163"/>
        <v/>
      </c>
      <c r="HN70" s="20" t="str">
        <f t="shared" si="164"/>
        <v/>
      </c>
      <c r="HO70" s="51" t="b">
        <f t="shared" ref="HO70:HP70" si="734">HO24</f>
        <v>0</v>
      </c>
      <c r="HP70" s="51" t="b">
        <f t="shared" si="734"/>
        <v>0</v>
      </c>
      <c r="HQ70" s="51" t="b">
        <f t="shared" ref="HQ70:HR70" si="735">HQ24</f>
        <v>0</v>
      </c>
      <c r="HR70" s="51" t="b">
        <f t="shared" si="735"/>
        <v>0</v>
      </c>
      <c r="HS70" s="20" t="str">
        <f t="shared" si="165"/>
        <v/>
      </c>
      <c r="HT70" s="51" t="str">
        <f t="shared" si="166"/>
        <v/>
      </c>
      <c r="HU70" s="20" t="str">
        <f t="shared" si="167"/>
        <v/>
      </c>
      <c r="HV70" s="51" t="b">
        <f t="shared" ref="HV70:HY70" si="736">HV24</f>
        <v>0</v>
      </c>
      <c r="HW70" s="51" t="b">
        <f t="shared" si="736"/>
        <v>0</v>
      </c>
      <c r="HX70" s="51" t="b">
        <f t="shared" si="736"/>
        <v>0</v>
      </c>
      <c r="HY70" s="51" t="b">
        <f t="shared" si="736"/>
        <v>0</v>
      </c>
      <c r="HZ70" s="51" t="str">
        <f t="shared" si="169"/>
        <v/>
      </c>
      <c r="IA70" s="19" t="str">
        <f t="shared" si="170"/>
        <v/>
      </c>
      <c r="IB70" s="20" t="str">
        <f t="shared" si="171"/>
        <v/>
      </c>
      <c r="IC70" s="51" t="b">
        <f t="shared" ref="IC70:IF70" si="737">IC24</f>
        <v>0</v>
      </c>
      <c r="ID70" s="51" t="b">
        <f t="shared" si="737"/>
        <v>0</v>
      </c>
      <c r="IE70" s="51" t="b">
        <f t="shared" si="737"/>
        <v>0</v>
      </c>
      <c r="IF70" s="51" t="b">
        <f t="shared" si="737"/>
        <v>0</v>
      </c>
      <c r="IG70" s="20" t="str">
        <f t="shared" si="173"/>
        <v/>
      </c>
      <c r="IH70" s="51" t="str">
        <f t="shared" si="174"/>
        <v/>
      </c>
      <c r="II70" s="20" t="str">
        <f t="shared" si="175"/>
        <v/>
      </c>
      <c r="IJ70" s="51" t="b">
        <f t="shared" ref="IJ70:IK70" si="738">IJ24</f>
        <v>0</v>
      </c>
      <c r="IK70" s="51" t="b">
        <f t="shared" si="738"/>
        <v>0</v>
      </c>
      <c r="IL70" s="51" t="b">
        <f t="shared" ref="IL70:IM70" si="739">IL24</f>
        <v>0</v>
      </c>
      <c r="IM70" s="51" t="b">
        <f t="shared" si="739"/>
        <v>0</v>
      </c>
      <c r="IN70" s="20" t="str">
        <f t="shared" si="176"/>
        <v/>
      </c>
      <c r="IO70" s="51" t="str">
        <f t="shared" si="177"/>
        <v/>
      </c>
      <c r="IP70" s="20" t="str">
        <f t="shared" si="178"/>
        <v/>
      </c>
      <c r="IQ70" s="51" t="b">
        <f t="shared" ref="IQ70:IT70" si="740">IQ24</f>
        <v>0</v>
      </c>
      <c r="IR70" s="51" t="b">
        <f t="shared" si="740"/>
        <v>0</v>
      </c>
      <c r="IS70" s="51" t="b">
        <f t="shared" si="740"/>
        <v>0</v>
      </c>
      <c r="IT70" s="51" t="b">
        <f t="shared" si="740"/>
        <v>0</v>
      </c>
      <c r="IU70" s="51" t="str">
        <f t="shared" si="180"/>
        <v/>
      </c>
      <c r="IV70" s="116"/>
    </row>
    <row r="71" spans="1:256" x14ac:dyDescent="0.2">
      <c r="C71">
        <v>16</v>
      </c>
      <c r="D71" s="19" t="str">
        <f t="shared" si="48"/>
        <v/>
      </c>
      <c r="E71" s="20" t="str">
        <f t="shared" si="49"/>
        <v/>
      </c>
      <c r="F71" s="51" t="str">
        <f t="shared" si="50"/>
        <v>FALSE</v>
      </c>
      <c r="G71" s="51" t="str">
        <f t="shared" si="50"/>
        <v>FALSE</v>
      </c>
      <c r="H71" s="51" t="str">
        <f t="shared" si="50"/>
        <v>FALSE</v>
      </c>
      <c r="I71" s="51" t="str">
        <f t="shared" si="50"/>
        <v>FALSE</v>
      </c>
      <c r="J71" s="20" t="str">
        <f t="shared" si="51"/>
        <v/>
      </c>
      <c r="K71" s="51" t="str">
        <f t="shared" si="52"/>
        <v/>
      </c>
      <c r="L71" s="20" t="str">
        <f t="shared" si="53"/>
        <v/>
      </c>
      <c r="M71" s="51" t="str">
        <f t="shared" si="54"/>
        <v>FALSE</v>
      </c>
      <c r="N71" s="51" t="str">
        <f t="shared" si="54"/>
        <v>FALSE</v>
      </c>
      <c r="O71" s="51" t="str">
        <f t="shared" si="54"/>
        <v>FALSE</v>
      </c>
      <c r="P71" s="51" t="str">
        <f t="shared" si="54"/>
        <v>FALSE</v>
      </c>
      <c r="Q71" s="20" t="str">
        <f t="shared" si="55"/>
        <v/>
      </c>
      <c r="R71" s="51" t="str">
        <f t="shared" si="56"/>
        <v/>
      </c>
      <c r="S71" s="51" t="str">
        <f t="shared" si="57"/>
        <v/>
      </c>
      <c r="T71" s="51" t="b">
        <f t="shared" si="58"/>
        <v>0</v>
      </c>
      <c r="U71" s="51" t="b">
        <f t="shared" si="58"/>
        <v>0</v>
      </c>
      <c r="V71" s="51" t="b">
        <f t="shared" si="58"/>
        <v>0</v>
      </c>
      <c r="W71" s="51" t="b">
        <f t="shared" si="58"/>
        <v>0</v>
      </c>
      <c r="X71" s="22" t="str">
        <f t="shared" si="59"/>
        <v/>
      </c>
      <c r="Y71" s="19" t="str">
        <f t="shared" si="60"/>
        <v/>
      </c>
      <c r="Z71" s="20" t="str">
        <f t="shared" si="61"/>
        <v/>
      </c>
      <c r="AA71" s="51" t="str">
        <f t="shared" si="62"/>
        <v>FALSE</v>
      </c>
      <c r="AB71" s="51" t="str">
        <f t="shared" si="62"/>
        <v>FALSE</v>
      </c>
      <c r="AC71" s="51" t="str">
        <f t="shared" si="62"/>
        <v>FALSE</v>
      </c>
      <c r="AD71" s="51" t="str">
        <f t="shared" si="62"/>
        <v>FALSE</v>
      </c>
      <c r="AE71" s="20" t="str">
        <f t="shared" si="63"/>
        <v/>
      </c>
      <c r="AF71" s="51" t="str">
        <f t="shared" si="64"/>
        <v/>
      </c>
      <c r="AG71" s="20" t="str">
        <f t="shared" si="65"/>
        <v/>
      </c>
      <c r="AH71" s="51" t="str">
        <f t="shared" ref="AH71:AK71" si="741">AH25</f>
        <v>FALSE</v>
      </c>
      <c r="AI71" s="51" t="str">
        <f t="shared" si="741"/>
        <v>FALSE</v>
      </c>
      <c r="AJ71" s="51" t="str">
        <f t="shared" si="741"/>
        <v>FALSE</v>
      </c>
      <c r="AK71" s="51" t="str">
        <f t="shared" si="741"/>
        <v>FALSE</v>
      </c>
      <c r="AL71" s="20" t="str">
        <f t="shared" si="66"/>
        <v/>
      </c>
      <c r="AM71" s="51" t="str">
        <f t="shared" si="67"/>
        <v/>
      </c>
      <c r="AN71" s="20" t="str">
        <f t="shared" si="68"/>
        <v/>
      </c>
      <c r="AO71" s="51" t="b">
        <f t="shared" si="69"/>
        <v>0</v>
      </c>
      <c r="AP71" s="51" t="b">
        <f t="shared" si="69"/>
        <v>0</v>
      </c>
      <c r="AQ71" s="51" t="b">
        <f t="shared" si="69"/>
        <v>0</v>
      </c>
      <c r="AR71" s="51" t="b">
        <f t="shared" si="69"/>
        <v>0</v>
      </c>
      <c r="AS71" s="51" t="str">
        <f t="shared" si="70"/>
        <v/>
      </c>
      <c r="AT71" s="19" t="str">
        <f t="shared" si="71"/>
        <v/>
      </c>
      <c r="AU71" s="20" t="str">
        <f t="shared" si="72"/>
        <v/>
      </c>
      <c r="AV71" s="51" t="str">
        <f t="shared" ref="AV71:AY71" si="742">AV25</f>
        <v>FALSE</v>
      </c>
      <c r="AW71" s="51" t="str">
        <f t="shared" si="742"/>
        <v>FALSE</v>
      </c>
      <c r="AX71" s="51" t="str">
        <f t="shared" si="742"/>
        <v>FALSE</v>
      </c>
      <c r="AY71" s="51" t="str">
        <f t="shared" si="742"/>
        <v>FALSE</v>
      </c>
      <c r="AZ71" s="20" t="str">
        <f t="shared" si="74"/>
        <v/>
      </c>
      <c r="BA71" s="51" t="str">
        <f t="shared" si="75"/>
        <v/>
      </c>
      <c r="BB71" s="20" t="str">
        <f t="shared" si="76"/>
        <v/>
      </c>
      <c r="BC71" s="51" t="str">
        <f t="shared" ref="BC71:BF71" si="743">BC25</f>
        <v>FALSE</v>
      </c>
      <c r="BD71" s="51" t="str">
        <f t="shared" si="743"/>
        <v>FALSE</v>
      </c>
      <c r="BE71" s="51" t="str">
        <f t="shared" si="743"/>
        <v>FALSE</v>
      </c>
      <c r="BF71" s="51" t="str">
        <f t="shared" si="743"/>
        <v>FALSE</v>
      </c>
      <c r="BG71" s="20" t="str">
        <f t="shared" si="77"/>
        <v/>
      </c>
      <c r="BH71" s="51" t="str">
        <f t="shared" si="78"/>
        <v/>
      </c>
      <c r="BI71" s="20" t="str">
        <f t="shared" si="79"/>
        <v/>
      </c>
      <c r="BJ71" s="51" t="b">
        <f t="shared" ref="BJ71:BM71" si="744">BJ25</f>
        <v>0</v>
      </c>
      <c r="BK71" s="51" t="b">
        <f t="shared" si="744"/>
        <v>0</v>
      </c>
      <c r="BL71" s="51" t="b">
        <f t="shared" si="744"/>
        <v>0</v>
      </c>
      <c r="BM71" s="51" t="b">
        <f t="shared" si="744"/>
        <v>0</v>
      </c>
      <c r="BN71" s="51" t="str">
        <f t="shared" si="81"/>
        <v/>
      </c>
      <c r="BO71" s="19" t="str">
        <f t="shared" si="82"/>
        <v/>
      </c>
      <c r="BP71" s="20" t="str">
        <f t="shared" si="83"/>
        <v/>
      </c>
      <c r="BQ71" s="51" t="b">
        <f t="shared" ref="BQ71:BT71" si="745">BQ25</f>
        <v>0</v>
      </c>
      <c r="BR71" s="51" t="b">
        <f t="shared" si="745"/>
        <v>0</v>
      </c>
      <c r="BS71" s="51" t="b">
        <f t="shared" si="745"/>
        <v>0</v>
      </c>
      <c r="BT71" s="51" t="b">
        <f t="shared" si="745"/>
        <v>0</v>
      </c>
      <c r="BU71" s="20" t="str">
        <f t="shared" si="85"/>
        <v/>
      </c>
      <c r="BV71" s="51" t="str">
        <f t="shared" si="86"/>
        <v/>
      </c>
      <c r="BW71" s="20" t="str">
        <f t="shared" si="87"/>
        <v/>
      </c>
      <c r="BX71" s="51" t="b">
        <f t="shared" ref="BX71:BY71" si="746">BX25</f>
        <v>0</v>
      </c>
      <c r="BY71" s="51" t="b">
        <f t="shared" si="746"/>
        <v>0</v>
      </c>
      <c r="BZ71" s="51" t="b">
        <f t="shared" ref="BZ71:CA71" si="747">BZ25</f>
        <v>0</v>
      </c>
      <c r="CA71" s="51" t="b">
        <f t="shared" si="747"/>
        <v>0</v>
      </c>
      <c r="CB71" s="20" t="str">
        <f t="shared" si="88"/>
        <v/>
      </c>
      <c r="CC71" s="51" t="str">
        <f t="shared" si="89"/>
        <v/>
      </c>
      <c r="CD71" s="20" t="str">
        <f t="shared" si="90"/>
        <v/>
      </c>
      <c r="CE71" s="51" t="b">
        <f t="shared" ref="CE71:CH71" si="748">CE25</f>
        <v>0</v>
      </c>
      <c r="CF71" s="51" t="b">
        <f t="shared" si="748"/>
        <v>0</v>
      </c>
      <c r="CG71" s="51" t="b">
        <f t="shared" si="748"/>
        <v>0</v>
      </c>
      <c r="CH71" s="51" t="b">
        <f t="shared" si="748"/>
        <v>0</v>
      </c>
      <c r="CI71" s="51" t="str">
        <f t="shared" si="92"/>
        <v/>
      </c>
      <c r="CJ71" s="19" t="str">
        <f t="shared" si="93"/>
        <v/>
      </c>
      <c r="CK71" s="20" t="str">
        <f t="shared" si="94"/>
        <v/>
      </c>
      <c r="CL71" s="51" t="b">
        <f t="shared" ref="CL71:CO71" si="749">CL25</f>
        <v>0</v>
      </c>
      <c r="CM71" s="51" t="b">
        <f t="shared" si="749"/>
        <v>0</v>
      </c>
      <c r="CN71" s="51" t="b">
        <f t="shared" si="749"/>
        <v>0</v>
      </c>
      <c r="CO71" s="51" t="b">
        <f t="shared" si="749"/>
        <v>0</v>
      </c>
      <c r="CP71" s="20" t="str">
        <f t="shared" si="96"/>
        <v/>
      </c>
      <c r="CQ71" s="51" t="str">
        <f t="shared" si="97"/>
        <v/>
      </c>
      <c r="CR71" s="20" t="str">
        <f t="shared" si="98"/>
        <v/>
      </c>
      <c r="CS71" s="51" t="b">
        <f t="shared" ref="CS71:CT71" si="750">CS25</f>
        <v>0</v>
      </c>
      <c r="CT71" s="51" t="b">
        <f t="shared" si="750"/>
        <v>0</v>
      </c>
      <c r="CU71" s="51" t="b">
        <f t="shared" ref="CU71:CV71" si="751">CU25</f>
        <v>0</v>
      </c>
      <c r="CV71" s="51" t="b">
        <f t="shared" si="751"/>
        <v>0</v>
      </c>
      <c r="CW71" s="20" t="str">
        <f t="shared" si="99"/>
        <v/>
      </c>
      <c r="CX71" s="51" t="str">
        <f t="shared" si="100"/>
        <v/>
      </c>
      <c r="CY71" s="20" t="str">
        <f t="shared" si="101"/>
        <v/>
      </c>
      <c r="CZ71" s="51" t="b">
        <f t="shared" ref="CZ71:DC71" si="752">CZ25</f>
        <v>0</v>
      </c>
      <c r="DA71" s="51" t="b">
        <f t="shared" si="752"/>
        <v>0</v>
      </c>
      <c r="DB71" s="51" t="b">
        <f t="shared" si="752"/>
        <v>0</v>
      </c>
      <c r="DC71" s="51" t="b">
        <f t="shared" si="752"/>
        <v>0</v>
      </c>
      <c r="DD71" s="51" t="str">
        <f t="shared" si="103"/>
        <v/>
      </c>
      <c r="DE71" s="19" t="str">
        <f t="shared" si="104"/>
        <v/>
      </c>
      <c r="DF71" s="20" t="str">
        <f t="shared" si="105"/>
        <v/>
      </c>
      <c r="DG71" s="51" t="b">
        <f t="shared" ref="DG71:DJ71" si="753">DG25</f>
        <v>0</v>
      </c>
      <c r="DH71" s="51" t="b">
        <f t="shared" si="753"/>
        <v>0</v>
      </c>
      <c r="DI71" s="51" t="b">
        <f t="shared" si="753"/>
        <v>0</v>
      </c>
      <c r="DJ71" s="51" t="b">
        <f t="shared" si="753"/>
        <v>0</v>
      </c>
      <c r="DK71" s="20" t="str">
        <f t="shared" si="107"/>
        <v/>
      </c>
      <c r="DL71" s="51" t="str">
        <f t="shared" si="108"/>
        <v/>
      </c>
      <c r="DM71" s="20" t="str">
        <f t="shared" si="109"/>
        <v/>
      </c>
      <c r="DN71" s="51" t="b">
        <f t="shared" ref="DN71:DO71" si="754">DN25</f>
        <v>0</v>
      </c>
      <c r="DO71" s="51" t="b">
        <f t="shared" si="754"/>
        <v>0</v>
      </c>
      <c r="DP71" s="51" t="b">
        <f t="shared" ref="DP71:DQ71" si="755">DP25</f>
        <v>0</v>
      </c>
      <c r="DQ71" s="51" t="b">
        <f t="shared" si="755"/>
        <v>0</v>
      </c>
      <c r="DR71" s="20" t="str">
        <f t="shared" si="110"/>
        <v/>
      </c>
      <c r="DS71" s="51" t="str">
        <f t="shared" si="111"/>
        <v/>
      </c>
      <c r="DT71" s="20" t="str">
        <f t="shared" si="112"/>
        <v/>
      </c>
      <c r="DU71" s="51" t="b">
        <f t="shared" ref="DU71:DX71" si="756">DU25</f>
        <v>0</v>
      </c>
      <c r="DV71" s="51" t="b">
        <f t="shared" si="756"/>
        <v>0</v>
      </c>
      <c r="DW71" s="51" t="b">
        <f t="shared" si="756"/>
        <v>0</v>
      </c>
      <c r="DX71" s="51" t="b">
        <f t="shared" si="756"/>
        <v>0</v>
      </c>
      <c r="DY71" s="51" t="str">
        <f t="shared" si="114"/>
        <v/>
      </c>
      <c r="DZ71" s="19" t="str">
        <f t="shared" si="115"/>
        <v/>
      </c>
      <c r="EA71" s="20" t="str">
        <f t="shared" si="116"/>
        <v/>
      </c>
      <c r="EB71" s="51" t="b">
        <f t="shared" ref="EB71:EE71" si="757">EB25</f>
        <v>0</v>
      </c>
      <c r="EC71" s="51" t="b">
        <f t="shared" si="757"/>
        <v>0</v>
      </c>
      <c r="ED71" s="51" t="b">
        <f t="shared" si="757"/>
        <v>0</v>
      </c>
      <c r="EE71" s="51" t="b">
        <f t="shared" si="757"/>
        <v>0</v>
      </c>
      <c r="EF71" s="20" t="str">
        <f t="shared" si="118"/>
        <v/>
      </c>
      <c r="EG71" s="51" t="str">
        <f t="shared" si="119"/>
        <v/>
      </c>
      <c r="EH71" s="20" t="str">
        <f t="shared" si="120"/>
        <v/>
      </c>
      <c r="EI71" s="51" t="b">
        <f t="shared" ref="EI71:EJ71" si="758">EI25</f>
        <v>0</v>
      </c>
      <c r="EJ71" s="51" t="b">
        <f t="shared" si="758"/>
        <v>0</v>
      </c>
      <c r="EK71" s="51" t="b">
        <f t="shared" ref="EK71:EL71" si="759">EK25</f>
        <v>0</v>
      </c>
      <c r="EL71" s="51" t="b">
        <f t="shared" si="759"/>
        <v>0</v>
      </c>
      <c r="EM71" s="20" t="str">
        <f t="shared" si="121"/>
        <v/>
      </c>
      <c r="EN71" s="51" t="str">
        <f t="shared" si="122"/>
        <v/>
      </c>
      <c r="EO71" s="20" t="str">
        <f t="shared" si="123"/>
        <v/>
      </c>
      <c r="EP71" s="51" t="b">
        <f t="shared" ref="EP71:ES71" si="760">EP25</f>
        <v>0</v>
      </c>
      <c r="EQ71" s="51" t="b">
        <f t="shared" si="760"/>
        <v>0</v>
      </c>
      <c r="ER71" s="51" t="b">
        <f t="shared" si="760"/>
        <v>0</v>
      </c>
      <c r="ES71" s="51" t="b">
        <f t="shared" si="760"/>
        <v>0</v>
      </c>
      <c r="ET71" s="51" t="str">
        <f t="shared" si="125"/>
        <v/>
      </c>
      <c r="EU71" s="19" t="str">
        <f t="shared" si="126"/>
        <v/>
      </c>
      <c r="EV71" s="20" t="str">
        <f t="shared" si="127"/>
        <v/>
      </c>
      <c r="EW71" s="51" t="b">
        <f t="shared" ref="EW71:EZ71" si="761">EW25</f>
        <v>0</v>
      </c>
      <c r="EX71" s="51" t="b">
        <f t="shared" si="761"/>
        <v>0</v>
      </c>
      <c r="EY71" s="51" t="b">
        <f t="shared" si="761"/>
        <v>0</v>
      </c>
      <c r="EZ71" s="51" t="b">
        <f t="shared" si="761"/>
        <v>0</v>
      </c>
      <c r="FA71" s="20" t="str">
        <f t="shared" si="129"/>
        <v/>
      </c>
      <c r="FB71" s="51" t="str">
        <f t="shared" si="130"/>
        <v/>
      </c>
      <c r="FC71" s="20" t="str">
        <f t="shared" si="131"/>
        <v/>
      </c>
      <c r="FD71" s="51" t="b">
        <f t="shared" ref="FD71:FE71" si="762">FD25</f>
        <v>0</v>
      </c>
      <c r="FE71" s="51" t="b">
        <f t="shared" si="762"/>
        <v>0</v>
      </c>
      <c r="FF71" s="51" t="b">
        <f t="shared" ref="FF71:FG71" si="763">FF25</f>
        <v>0</v>
      </c>
      <c r="FG71" s="51" t="b">
        <f t="shared" si="763"/>
        <v>0</v>
      </c>
      <c r="FH71" s="20" t="str">
        <f t="shared" si="132"/>
        <v/>
      </c>
      <c r="FI71" s="51" t="str">
        <f t="shared" si="133"/>
        <v/>
      </c>
      <c r="FJ71" s="20" t="str">
        <f t="shared" si="134"/>
        <v/>
      </c>
      <c r="FK71" s="51" t="b">
        <f t="shared" ref="FK71:FN71" si="764">FK25</f>
        <v>0</v>
      </c>
      <c r="FL71" s="51" t="b">
        <f t="shared" si="764"/>
        <v>0</v>
      </c>
      <c r="FM71" s="51" t="b">
        <f t="shared" si="764"/>
        <v>0</v>
      </c>
      <c r="FN71" s="51" t="b">
        <f t="shared" si="764"/>
        <v>0</v>
      </c>
      <c r="FO71" s="51" t="str">
        <f t="shared" si="136"/>
        <v/>
      </c>
      <c r="FP71" s="19" t="str">
        <f t="shared" si="137"/>
        <v/>
      </c>
      <c r="FQ71" s="20" t="str">
        <f t="shared" si="138"/>
        <v/>
      </c>
      <c r="FR71" s="51" t="b">
        <f t="shared" ref="FR71:FU71" si="765">FR25</f>
        <v>0</v>
      </c>
      <c r="FS71" s="51" t="b">
        <f t="shared" si="765"/>
        <v>0</v>
      </c>
      <c r="FT71" s="51" t="b">
        <f t="shared" si="765"/>
        <v>0</v>
      </c>
      <c r="FU71" s="51" t="b">
        <f t="shared" si="765"/>
        <v>0</v>
      </c>
      <c r="FV71" s="20" t="str">
        <f t="shared" si="140"/>
        <v/>
      </c>
      <c r="FW71" s="51" t="str">
        <f t="shared" si="141"/>
        <v/>
      </c>
      <c r="FX71" s="20" t="str">
        <f t="shared" si="142"/>
        <v/>
      </c>
      <c r="FY71" s="51" t="b">
        <f t="shared" ref="FY71:FZ71" si="766">FY25</f>
        <v>0</v>
      </c>
      <c r="FZ71" s="51" t="b">
        <f t="shared" si="766"/>
        <v>0</v>
      </c>
      <c r="GA71" s="51" t="b">
        <f t="shared" ref="GA71:GB71" si="767">GA25</f>
        <v>0</v>
      </c>
      <c r="GB71" s="51" t="b">
        <f t="shared" si="767"/>
        <v>0</v>
      </c>
      <c r="GC71" s="20" t="str">
        <f t="shared" si="143"/>
        <v/>
      </c>
      <c r="GD71" s="51" t="str">
        <f t="shared" si="144"/>
        <v/>
      </c>
      <c r="GE71" s="20" t="str">
        <f t="shared" si="145"/>
        <v/>
      </c>
      <c r="GF71" s="51" t="b">
        <f t="shared" ref="GF71:GI71" si="768">GF25</f>
        <v>0</v>
      </c>
      <c r="GG71" s="51" t="b">
        <f t="shared" si="768"/>
        <v>0</v>
      </c>
      <c r="GH71" s="51" t="b">
        <f t="shared" si="768"/>
        <v>0</v>
      </c>
      <c r="GI71" s="51" t="b">
        <f t="shared" si="768"/>
        <v>0</v>
      </c>
      <c r="GJ71" s="51" t="str">
        <f t="shared" si="147"/>
        <v/>
      </c>
      <c r="GK71" s="19" t="str">
        <f t="shared" si="148"/>
        <v/>
      </c>
      <c r="GL71" s="20" t="str">
        <f t="shared" si="149"/>
        <v/>
      </c>
      <c r="GM71" s="51" t="b">
        <f t="shared" ref="GM71:GP71" si="769">GM25</f>
        <v>0</v>
      </c>
      <c r="GN71" s="51" t="b">
        <f t="shared" si="769"/>
        <v>0</v>
      </c>
      <c r="GO71" s="51" t="b">
        <f t="shared" si="769"/>
        <v>0</v>
      </c>
      <c r="GP71" s="51" t="b">
        <f t="shared" si="769"/>
        <v>0</v>
      </c>
      <c r="GQ71" s="20" t="str">
        <f t="shared" si="151"/>
        <v/>
      </c>
      <c r="GR71" s="51" t="str">
        <f t="shared" si="152"/>
        <v/>
      </c>
      <c r="GS71" s="20" t="str">
        <f t="shared" si="153"/>
        <v/>
      </c>
      <c r="GT71" s="51" t="b">
        <f t="shared" ref="GT71:GU71" si="770">GT25</f>
        <v>0</v>
      </c>
      <c r="GU71" s="51" t="b">
        <f t="shared" si="770"/>
        <v>0</v>
      </c>
      <c r="GV71" s="51" t="b">
        <f t="shared" ref="GV71:GW71" si="771">GV25</f>
        <v>0</v>
      </c>
      <c r="GW71" s="51" t="b">
        <f t="shared" si="771"/>
        <v>0</v>
      </c>
      <c r="GX71" s="20" t="str">
        <f t="shared" si="154"/>
        <v/>
      </c>
      <c r="GY71" s="51" t="str">
        <f t="shared" si="155"/>
        <v/>
      </c>
      <c r="GZ71" s="20" t="str">
        <f t="shared" si="156"/>
        <v/>
      </c>
      <c r="HA71" s="51" t="b">
        <f t="shared" ref="HA71:HD71" si="772">HA25</f>
        <v>0</v>
      </c>
      <c r="HB71" s="51" t="b">
        <f t="shared" si="772"/>
        <v>0</v>
      </c>
      <c r="HC71" s="51" t="b">
        <f t="shared" si="772"/>
        <v>0</v>
      </c>
      <c r="HD71" s="51" t="b">
        <f t="shared" si="772"/>
        <v>0</v>
      </c>
      <c r="HE71" s="51" t="str">
        <f t="shared" si="158"/>
        <v/>
      </c>
      <c r="HF71" s="19" t="str">
        <f t="shared" si="159"/>
        <v/>
      </c>
      <c r="HG71" s="20" t="str">
        <f t="shared" si="160"/>
        <v/>
      </c>
      <c r="HH71" s="51" t="b">
        <f t="shared" ref="HH71:HK71" si="773">HH25</f>
        <v>0</v>
      </c>
      <c r="HI71" s="51" t="b">
        <f t="shared" si="773"/>
        <v>0</v>
      </c>
      <c r="HJ71" s="51" t="b">
        <f t="shared" si="773"/>
        <v>0</v>
      </c>
      <c r="HK71" s="51" t="b">
        <f t="shared" si="773"/>
        <v>0</v>
      </c>
      <c r="HL71" s="20" t="str">
        <f t="shared" si="162"/>
        <v/>
      </c>
      <c r="HM71" s="51" t="str">
        <f t="shared" si="163"/>
        <v/>
      </c>
      <c r="HN71" s="20" t="str">
        <f t="shared" si="164"/>
        <v/>
      </c>
      <c r="HO71" s="51" t="b">
        <f t="shared" ref="HO71:HP71" si="774">HO25</f>
        <v>0</v>
      </c>
      <c r="HP71" s="51" t="b">
        <f t="shared" si="774"/>
        <v>0</v>
      </c>
      <c r="HQ71" s="51" t="b">
        <f t="shared" ref="HQ71:HR71" si="775">HQ25</f>
        <v>0</v>
      </c>
      <c r="HR71" s="51" t="b">
        <f t="shared" si="775"/>
        <v>0</v>
      </c>
      <c r="HS71" s="20" t="str">
        <f t="shared" si="165"/>
        <v/>
      </c>
      <c r="HT71" s="51" t="str">
        <f t="shared" si="166"/>
        <v/>
      </c>
      <c r="HU71" s="20" t="str">
        <f t="shared" si="167"/>
        <v/>
      </c>
      <c r="HV71" s="51" t="b">
        <f t="shared" ref="HV71:HY71" si="776">HV25</f>
        <v>0</v>
      </c>
      <c r="HW71" s="51" t="b">
        <f t="shared" si="776"/>
        <v>0</v>
      </c>
      <c r="HX71" s="51" t="b">
        <f t="shared" si="776"/>
        <v>0</v>
      </c>
      <c r="HY71" s="51" t="b">
        <f t="shared" si="776"/>
        <v>0</v>
      </c>
      <c r="HZ71" s="51" t="str">
        <f t="shared" si="169"/>
        <v/>
      </c>
      <c r="IA71" s="19" t="str">
        <f t="shared" si="170"/>
        <v/>
      </c>
      <c r="IB71" s="20" t="str">
        <f t="shared" si="171"/>
        <v/>
      </c>
      <c r="IC71" s="51" t="b">
        <f t="shared" ref="IC71:IF71" si="777">IC25</f>
        <v>0</v>
      </c>
      <c r="ID71" s="51" t="b">
        <f t="shared" si="777"/>
        <v>0</v>
      </c>
      <c r="IE71" s="51" t="b">
        <f t="shared" si="777"/>
        <v>0</v>
      </c>
      <c r="IF71" s="51" t="b">
        <f t="shared" si="777"/>
        <v>0</v>
      </c>
      <c r="IG71" s="20" t="str">
        <f t="shared" si="173"/>
        <v/>
      </c>
      <c r="IH71" s="51" t="str">
        <f t="shared" si="174"/>
        <v/>
      </c>
      <c r="II71" s="20" t="str">
        <f t="shared" si="175"/>
        <v/>
      </c>
      <c r="IJ71" s="51" t="b">
        <f t="shared" ref="IJ71:IK71" si="778">IJ25</f>
        <v>0</v>
      </c>
      <c r="IK71" s="51" t="b">
        <f t="shared" si="778"/>
        <v>0</v>
      </c>
      <c r="IL71" s="51" t="b">
        <f t="shared" ref="IL71:IM71" si="779">IL25</f>
        <v>0</v>
      </c>
      <c r="IM71" s="51" t="b">
        <f t="shared" si="779"/>
        <v>0</v>
      </c>
      <c r="IN71" s="20" t="str">
        <f t="shared" si="176"/>
        <v/>
      </c>
      <c r="IO71" s="51" t="str">
        <f t="shared" si="177"/>
        <v/>
      </c>
      <c r="IP71" s="20" t="str">
        <f t="shared" si="178"/>
        <v/>
      </c>
      <c r="IQ71" s="51" t="b">
        <f t="shared" ref="IQ71:IT71" si="780">IQ25</f>
        <v>0</v>
      </c>
      <c r="IR71" s="51" t="b">
        <f t="shared" si="780"/>
        <v>0</v>
      </c>
      <c r="IS71" s="51" t="b">
        <f t="shared" si="780"/>
        <v>0</v>
      </c>
      <c r="IT71" s="51" t="b">
        <f t="shared" si="780"/>
        <v>0</v>
      </c>
      <c r="IU71" s="51" t="str">
        <f t="shared" si="180"/>
        <v/>
      </c>
      <c r="IV71" s="116"/>
    </row>
    <row r="72" spans="1:256" x14ac:dyDescent="0.2">
      <c r="C72">
        <v>17</v>
      </c>
      <c r="D72" s="19" t="str">
        <f t="shared" si="48"/>
        <v/>
      </c>
      <c r="E72" s="20" t="str">
        <f t="shared" si="49"/>
        <v/>
      </c>
      <c r="F72" s="51" t="str">
        <f t="shared" ref="F72:I85" si="781">F26</f>
        <v>FALSE</v>
      </c>
      <c r="G72" s="51" t="str">
        <f t="shared" si="781"/>
        <v>FALSE</v>
      </c>
      <c r="H72" s="51" t="str">
        <f t="shared" si="781"/>
        <v>FALSE</v>
      </c>
      <c r="I72" s="51" t="str">
        <f t="shared" si="781"/>
        <v>FALSE</v>
      </c>
      <c r="J72" s="20" t="str">
        <f t="shared" si="51"/>
        <v/>
      </c>
      <c r="K72" s="51" t="str">
        <f t="shared" si="52"/>
        <v/>
      </c>
      <c r="L72" s="20" t="str">
        <f t="shared" si="53"/>
        <v/>
      </c>
      <c r="M72" s="51" t="str">
        <f t="shared" si="54"/>
        <v>FALSE</v>
      </c>
      <c r="N72" s="51" t="str">
        <f t="shared" si="54"/>
        <v>FALSE</v>
      </c>
      <c r="O72" s="51" t="str">
        <f t="shared" si="54"/>
        <v>FALSE</v>
      </c>
      <c r="P72" s="51" t="str">
        <f t="shared" si="54"/>
        <v>FALSE</v>
      </c>
      <c r="Q72" s="20" t="str">
        <f t="shared" si="55"/>
        <v/>
      </c>
      <c r="R72" s="51" t="str">
        <f t="shared" si="56"/>
        <v/>
      </c>
      <c r="S72" s="51" t="str">
        <f t="shared" si="57"/>
        <v/>
      </c>
      <c r="T72" s="51" t="b">
        <f t="shared" ref="T72:W85" si="782">T26</f>
        <v>0</v>
      </c>
      <c r="U72" s="51" t="b">
        <f t="shared" si="782"/>
        <v>0</v>
      </c>
      <c r="V72" s="51" t="b">
        <f t="shared" si="782"/>
        <v>0</v>
      </c>
      <c r="W72" s="51" t="b">
        <f t="shared" si="782"/>
        <v>0</v>
      </c>
      <c r="X72" s="22" t="str">
        <f t="shared" si="59"/>
        <v/>
      </c>
      <c r="Y72" s="19" t="str">
        <f t="shared" si="60"/>
        <v/>
      </c>
      <c r="Z72" s="20" t="str">
        <f t="shared" si="61"/>
        <v/>
      </c>
      <c r="AA72" s="51" t="str">
        <f t="shared" ref="AA72:AD85" si="783">AA26</f>
        <v>FALSE</v>
      </c>
      <c r="AB72" s="51" t="str">
        <f t="shared" si="783"/>
        <v>FALSE</v>
      </c>
      <c r="AC72" s="51" t="str">
        <f t="shared" si="783"/>
        <v>FALSE</v>
      </c>
      <c r="AD72" s="51" t="str">
        <f t="shared" si="783"/>
        <v>FALSE</v>
      </c>
      <c r="AE72" s="20" t="str">
        <f t="shared" si="63"/>
        <v/>
      </c>
      <c r="AF72" s="51" t="str">
        <f t="shared" si="64"/>
        <v/>
      </c>
      <c r="AG72" s="20" t="str">
        <f t="shared" si="65"/>
        <v/>
      </c>
      <c r="AH72" s="51" t="str">
        <f t="shared" ref="AH72:AK72" si="784">AH26</f>
        <v>FALSE</v>
      </c>
      <c r="AI72" s="51" t="str">
        <f t="shared" si="784"/>
        <v>FALSE</v>
      </c>
      <c r="AJ72" s="51" t="str">
        <f t="shared" si="784"/>
        <v>FALSE</v>
      </c>
      <c r="AK72" s="51" t="str">
        <f t="shared" si="784"/>
        <v>FALSE</v>
      </c>
      <c r="AL72" s="20" t="str">
        <f t="shared" si="66"/>
        <v/>
      </c>
      <c r="AM72" s="51" t="str">
        <f t="shared" si="67"/>
        <v/>
      </c>
      <c r="AN72" s="20" t="str">
        <f t="shared" si="68"/>
        <v/>
      </c>
      <c r="AO72" s="51" t="b">
        <f t="shared" ref="AO72:AR85" si="785">AO26</f>
        <v>0</v>
      </c>
      <c r="AP72" s="51" t="b">
        <f t="shared" si="785"/>
        <v>0</v>
      </c>
      <c r="AQ72" s="51" t="b">
        <f t="shared" si="785"/>
        <v>0</v>
      </c>
      <c r="AR72" s="51" t="b">
        <f t="shared" si="785"/>
        <v>0</v>
      </c>
      <c r="AS72" s="51" t="str">
        <f t="shared" si="70"/>
        <v/>
      </c>
      <c r="AT72" s="19" t="str">
        <f t="shared" si="71"/>
        <v/>
      </c>
      <c r="AU72" s="20" t="str">
        <f t="shared" si="72"/>
        <v/>
      </c>
      <c r="AV72" s="51" t="str">
        <f t="shared" ref="AV72:AY72" si="786">AV26</f>
        <v>FALSE</v>
      </c>
      <c r="AW72" s="51" t="str">
        <f t="shared" si="786"/>
        <v>FALSE</v>
      </c>
      <c r="AX72" s="51" t="str">
        <f t="shared" si="786"/>
        <v>FALSE</v>
      </c>
      <c r="AY72" s="51" t="str">
        <f t="shared" si="786"/>
        <v>FALSE</v>
      </c>
      <c r="AZ72" s="20" t="str">
        <f t="shared" si="74"/>
        <v/>
      </c>
      <c r="BA72" s="51" t="str">
        <f t="shared" si="75"/>
        <v/>
      </c>
      <c r="BB72" s="20" t="str">
        <f t="shared" si="76"/>
        <v/>
      </c>
      <c r="BC72" s="51" t="str">
        <f t="shared" ref="BC72:BF72" si="787">BC26</f>
        <v>FALSE</v>
      </c>
      <c r="BD72" s="51" t="str">
        <f t="shared" si="787"/>
        <v>TRUE</v>
      </c>
      <c r="BE72" s="51" t="str">
        <f t="shared" si="787"/>
        <v>TRUE</v>
      </c>
      <c r="BF72" s="51" t="str">
        <f t="shared" si="787"/>
        <v>FALSE</v>
      </c>
      <c r="BG72" s="20" t="str">
        <f t="shared" si="77"/>
        <v/>
      </c>
      <c r="BH72" s="51" t="str">
        <f t="shared" si="78"/>
        <v/>
      </c>
      <c r="BI72" s="20" t="str">
        <f t="shared" si="79"/>
        <v/>
      </c>
      <c r="BJ72" s="51" t="b">
        <f t="shared" ref="BJ72:BM72" si="788">BJ26</f>
        <v>0</v>
      </c>
      <c r="BK72" s="51" t="b">
        <f t="shared" si="788"/>
        <v>0</v>
      </c>
      <c r="BL72" s="51" t="b">
        <f t="shared" si="788"/>
        <v>0</v>
      </c>
      <c r="BM72" s="51" t="b">
        <f t="shared" si="788"/>
        <v>0</v>
      </c>
      <c r="BN72" s="51" t="str">
        <f t="shared" si="81"/>
        <v/>
      </c>
      <c r="BO72" s="19" t="str">
        <f t="shared" si="82"/>
        <v/>
      </c>
      <c r="BP72" s="20" t="str">
        <f t="shared" si="83"/>
        <v/>
      </c>
      <c r="BQ72" s="51" t="b">
        <f t="shared" ref="BQ72:BT72" si="789">BQ26</f>
        <v>0</v>
      </c>
      <c r="BR72" s="51" t="b">
        <f t="shared" si="789"/>
        <v>0</v>
      </c>
      <c r="BS72" s="51" t="b">
        <f t="shared" si="789"/>
        <v>0</v>
      </c>
      <c r="BT72" s="51" t="b">
        <f t="shared" si="789"/>
        <v>0</v>
      </c>
      <c r="BU72" s="20" t="str">
        <f t="shared" si="85"/>
        <v/>
      </c>
      <c r="BV72" s="51" t="str">
        <f t="shared" si="86"/>
        <v/>
      </c>
      <c r="BW72" s="20" t="str">
        <f t="shared" si="87"/>
        <v/>
      </c>
      <c r="BX72" s="51" t="b">
        <f t="shared" ref="BX72:BY72" si="790">BX26</f>
        <v>0</v>
      </c>
      <c r="BY72" s="51" t="b">
        <f t="shared" si="790"/>
        <v>0</v>
      </c>
      <c r="BZ72" s="51" t="b">
        <f t="shared" ref="BZ72:CA72" si="791">BZ26</f>
        <v>0</v>
      </c>
      <c r="CA72" s="51" t="b">
        <f t="shared" si="791"/>
        <v>0</v>
      </c>
      <c r="CB72" s="20" t="str">
        <f t="shared" si="88"/>
        <v/>
      </c>
      <c r="CC72" s="51" t="str">
        <f t="shared" si="89"/>
        <v/>
      </c>
      <c r="CD72" s="20" t="str">
        <f t="shared" si="90"/>
        <v/>
      </c>
      <c r="CE72" s="51" t="b">
        <f t="shared" ref="CE72:CH72" si="792">CE26</f>
        <v>0</v>
      </c>
      <c r="CF72" s="51" t="b">
        <f t="shared" si="792"/>
        <v>0</v>
      </c>
      <c r="CG72" s="51" t="b">
        <f t="shared" si="792"/>
        <v>0</v>
      </c>
      <c r="CH72" s="51" t="b">
        <f t="shared" si="792"/>
        <v>0</v>
      </c>
      <c r="CI72" s="51" t="str">
        <f t="shared" si="92"/>
        <v/>
      </c>
      <c r="CJ72" s="19" t="str">
        <f t="shared" si="93"/>
        <v/>
      </c>
      <c r="CK72" s="20" t="str">
        <f t="shared" si="94"/>
        <v/>
      </c>
      <c r="CL72" s="51" t="b">
        <f t="shared" ref="CL72:CO72" si="793">CL26</f>
        <v>0</v>
      </c>
      <c r="CM72" s="51" t="b">
        <f t="shared" si="793"/>
        <v>0</v>
      </c>
      <c r="CN72" s="51" t="b">
        <f t="shared" si="793"/>
        <v>0</v>
      </c>
      <c r="CO72" s="51" t="b">
        <f t="shared" si="793"/>
        <v>0</v>
      </c>
      <c r="CP72" s="20" t="str">
        <f t="shared" si="96"/>
        <v/>
      </c>
      <c r="CQ72" s="51" t="str">
        <f t="shared" si="97"/>
        <v/>
      </c>
      <c r="CR72" s="20" t="str">
        <f t="shared" si="98"/>
        <v/>
      </c>
      <c r="CS72" s="51" t="b">
        <f t="shared" ref="CS72:CT72" si="794">CS26</f>
        <v>0</v>
      </c>
      <c r="CT72" s="51" t="b">
        <f t="shared" si="794"/>
        <v>0</v>
      </c>
      <c r="CU72" s="51" t="b">
        <f t="shared" ref="CU72:CV72" si="795">CU26</f>
        <v>0</v>
      </c>
      <c r="CV72" s="51" t="b">
        <f t="shared" si="795"/>
        <v>0</v>
      </c>
      <c r="CW72" s="20" t="str">
        <f t="shared" si="99"/>
        <v/>
      </c>
      <c r="CX72" s="51" t="str">
        <f t="shared" si="100"/>
        <v/>
      </c>
      <c r="CY72" s="20" t="str">
        <f t="shared" si="101"/>
        <v/>
      </c>
      <c r="CZ72" s="51" t="b">
        <f t="shared" ref="CZ72:DC72" si="796">CZ26</f>
        <v>0</v>
      </c>
      <c r="DA72" s="51" t="b">
        <f t="shared" si="796"/>
        <v>0</v>
      </c>
      <c r="DB72" s="51" t="b">
        <f t="shared" si="796"/>
        <v>0</v>
      </c>
      <c r="DC72" s="51" t="b">
        <f t="shared" si="796"/>
        <v>0</v>
      </c>
      <c r="DD72" s="51" t="str">
        <f t="shared" si="103"/>
        <v/>
      </c>
      <c r="DE72" s="19" t="str">
        <f t="shared" si="104"/>
        <v/>
      </c>
      <c r="DF72" s="20" t="str">
        <f t="shared" si="105"/>
        <v/>
      </c>
      <c r="DG72" s="51" t="b">
        <f t="shared" ref="DG72:DJ72" si="797">DG26</f>
        <v>0</v>
      </c>
      <c r="DH72" s="51" t="b">
        <f t="shared" si="797"/>
        <v>0</v>
      </c>
      <c r="DI72" s="51" t="b">
        <f t="shared" si="797"/>
        <v>0</v>
      </c>
      <c r="DJ72" s="51" t="b">
        <f t="shared" si="797"/>
        <v>0</v>
      </c>
      <c r="DK72" s="20" t="str">
        <f t="shared" si="107"/>
        <v/>
      </c>
      <c r="DL72" s="51" t="str">
        <f t="shared" si="108"/>
        <v/>
      </c>
      <c r="DM72" s="20" t="str">
        <f t="shared" si="109"/>
        <v/>
      </c>
      <c r="DN72" s="51" t="b">
        <f t="shared" ref="DN72:DO72" si="798">DN26</f>
        <v>0</v>
      </c>
      <c r="DO72" s="51" t="b">
        <f t="shared" si="798"/>
        <v>0</v>
      </c>
      <c r="DP72" s="51" t="b">
        <f t="shared" ref="DP72:DQ72" si="799">DP26</f>
        <v>0</v>
      </c>
      <c r="DQ72" s="51" t="b">
        <f t="shared" si="799"/>
        <v>0</v>
      </c>
      <c r="DR72" s="20" t="str">
        <f t="shared" si="110"/>
        <v/>
      </c>
      <c r="DS72" s="51" t="str">
        <f t="shared" si="111"/>
        <v/>
      </c>
      <c r="DT72" s="20" t="str">
        <f t="shared" si="112"/>
        <v/>
      </c>
      <c r="DU72" s="51" t="b">
        <f t="shared" ref="DU72:DX72" si="800">DU26</f>
        <v>0</v>
      </c>
      <c r="DV72" s="51" t="b">
        <f t="shared" si="800"/>
        <v>0</v>
      </c>
      <c r="DW72" s="51" t="b">
        <f t="shared" si="800"/>
        <v>0</v>
      </c>
      <c r="DX72" s="51" t="b">
        <f t="shared" si="800"/>
        <v>0</v>
      </c>
      <c r="DY72" s="51" t="str">
        <f t="shared" si="114"/>
        <v/>
      </c>
      <c r="DZ72" s="19" t="str">
        <f t="shared" si="115"/>
        <v/>
      </c>
      <c r="EA72" s="20" t="str">
        <f t="shared" si="116"/>
        <v/>
      </c>
      <c r="EB72" s="51" t="b">
        <f t="shared" ref="EB72:EE72" si="801">EB26</f>
        <v>0</v>
      </c>
      <c r="EC72" s="51" t="b">
        <f t="shared" si="801"/>
        <v>0</v>
      </c>
      <c r="ED72" s="51" t="b">
        <f t="shared" si="801"/>
        <v>0</v>
      </c>
      <c r="EE72" s="51" t="b">
        <f t="shared" si="801"/>
        <v>0</v>
      </c>
      <c r="EF72" s="20" t="str">
        <f t="shared" si="118"/>
        <v/>
      </c>
      <c r="EG72" s="51" t="str">
        <f t="shared" si="119"/>
        <v/>
      </c>
      <c r="EH72" s="20" t="str">
        <f t="shared" si="120"/>
        <v/>
      </c>
      <c r="EI72" s="51" t="b">
        <f t="shared" ref="EI72:EJ72" si="802">EI26</f>
        <v>0</v>
      </c>
      <c r="EJ72" s="51" t="b">
        <f t="shared" si="802"/>
        <v>0</v>
      </c>
      <c r="EK72" s="51" t="b">
        <f t="shared" ref="EK72:EL72" si="803">EK26</f>
        <v>0</v>
      </c>
      <c r="EL72" s="51" t="b">
        <f t="shared" si="803"/>
        <v>0</v>
      </c>
      <c r="EM72" s="20" t="str">
        <f t="shared" si="121"/>
        <v/>
      </c>
      <c r="EN72" s="51" t="str">
        <f t="shared" si="122"/>
        <v/>
      </c>
      <c r="EO72" s="20" t="str">
        <f t="shared" si="123"/>
        <v/>
      </c>
      <c r="EP72" s="51" t="b">
        <f t="shared" ref="EP72:ES72" si="804">EP26</f>
        <v>0</v>
      </c>
      <c r="EQ72" s="51" t="b">
        <f t="shared" si="804"/>
        <v>0</v>
      </c>
      <c r="ER72" s="51" t="b">
        <f t="shared" si="804"/>
        <v>0</v>
      </c>
      <c r="ES72" s="51" t="b">
        <f t="shared" si="804"/>
        <v>0</v>
      </c>
      <c r="ET72" s="51" t="str">
        <f t="shared" si="125"/>
        <v/>
      </c>
      <c r="EU72" s="19" t="str">
        <f t="shared" si="126"/>
        <v/>
      </c>
      <c r="EV72" s="20" t="str">
        <f t="shared" si="127"/>
        <v/>
      </c>
      <c r="EW72" s="51" t="b">
        <f t="shared" ref="EW72:EZ72" si="805">EW26</f>
        <v>0</v>
      </c>
      <c r="EX72" s="51" t="b">
        <f t="shared" si="805"/>
        <v>0</v>
      </c>
      <c r="EY72" s="51" t="b">
        <f t="shared" si="805"/>
        <v>0</v>
      </c>
      <c r="EZ72" s="51" t="b">
        <f t="shared" si="805"/>
        <v>0</v>
      </c>
      <c r="FA72" s="20" t="str">
        <f t="shared" si="129"/>
        <v/>
      </c>
      <c r="FB72" s="51" t="str">
        <f t="shared" si="130"/>
        <v/>
      </c>
      <c r="FC72" s="20" t="str">
        <f t="shared" si="131"/>
        <v/>
      </c>
      <c r="FD72" s="51" t="b">
        <f t="shared" ref="FD72:FE72" si="806">FD26</f>
        <v>0</v>
      </c>
      <c r="FE72" s="51" t="b">
        <f t="shared" si="806"/>
        <v>0</v>
      </c>
      <c r="FF72" s="51" t="b">
        <f t="shared" ref="FF72:FG72" si="807">FF26</f>
        <v>0</v>
      </c>
      <c r="FG72" s="51" t="b">
        <f t="shared" si="807"/>
        <v>0</v>
      </c>
      <c r="FH72" s="20" t="str">
        <f t="shared" si="132"/>
        <v/>
      </c>
      <c r="FI72" s="51" t="str">
        <f t="shared" si="133"/>
        <v/>
      </c>
      <c r="FJ72" s="20" t="str">
        <f t="shared" si="134"/>
        <v/>
      </c>
      <c r="FK72" s="51" t="b">
        <f t="shared" ref="FK72:FN72" si="808">FK26</f>
        <v>0</v>
      </c>
      <c r="FL72" s="51" t="b">
        <f t="shared" si="808"/>
        <v>0</v>
      </c>
      <c r="FM72" s="51" t="b">
        <f t="shared" si="808"/>
        <v>0</v>
      </c>
      <c r="FN72" s="51" t="b">
        <f t="shared" si="808"/>
        <v>0</v>
      </c>
      <c r="FO72" s="51" t="str">
        <f t="shared" si="136"/>
        <v/>
      </c>
      <c r="FP72" s="19" t="str">
        <f t="shared" si="137"/>
        <v/>
      </c>
      <c r="FQ72" s="20" t="str">
        <f t="shared" si="138"/>
        <v/>
      </c>
      <c r="FR72" s="51" t="b">
        <f t="shared" ref="FR72:FU72" si="809">FR26</f>
        <v>0</v>
      </c>
      <c r="FS72" s="51" t="b">
        <f t="shared" si="809"/>
        <v>0</v>
      </c>
      <c r="FT72" s="51" t="b">
        <f t="shared" si="809"/>
        <v>0</v>
      </c>
      <c r="FU72" s="51" t="b">
        <f t="shared" si="809"/>
        <v>0</v>
      </c>
      <c r="FV72" s="20" t="str">
        <f t="shared" si="140"/>
        <v/>
      </c>
      <c r="FW72" s="51" t="str">
        <f t="shared" si="141"/>
        <v/>
      </c>
      <c r="FX72" s="20" t="str">
        <f t="shared" si="142"/>
        <v/>
      </c>
      <c r="FY72" s="51" t="b">
        <f t="shared" ref="FY72:FZ72" si="810">FY26</f>
        <v>0</v>
      </c>
      <c r="FZ72" s="51" t="b">
        <f t="shared" si="810"/>
        <v>0</v>
      </c>
      <c r="GA72" s="51" t="b">
        <f t="shared" ref="GA72:GB72" si="811">GA26</f>
        <v>0</v>
      </c>
      <c r="GB72" s="51" t="b">
        <f t="shared" si="811"/>
        <v>0</v>
      </c>
      <c r="GC72" s="20" t="str">
        <f t="shared" si="143"/>
        <v/>
      </c>
      <c r="GD72" s="51" t="str">
        <f t="shared" si="144"/>
        <v/>
      </c>
      <c r="GE72" s="20" t="str">
        <f t="shared" si="145"/>
        <v/>
      </c>
      <c r="GF72" s="51" t="b">
        <f t="shared" ref="GF72:GI72" si="812">GF26</f>
        <v>0</v>
      </c>
      <c r="GG72" s="51" t="b">
        <f t="shared" si="812"/>
        <v>0</v>
      </c>
      <c r="GH72" s="51" t="b">
        <f t="shared" si="812"/>
        <v>0</v>
      </c>
      <c r="GI72" s="51" t="b">
        <f t="shared" si="812"/>
        <v>0</v>
      </c>
      <c r="GJ72" s="51" t="str">
        <f t="shared" si="147"/>
        <v/>
      </c>
      <c r="GK72" s="19" t="str">
        <f t="shared" si="148"/>
        <v/>
      </c>
      <c r="GL72" s="20" t="str">
        <f t="shared" si="149"/>
        <v/>
      </c>
      <c r="GM72" s="51" t="b">
        <f t="shared" ref="GM72:GP72" si="813">GM26</f>
        <v>0</v>
      </c>
      <c r="GN72" s="51" t="b">
        <f t="shared" si="813"/>
        <v>0</v>
      </c>
      <c r="GO72" s="51" t="b">
        <f t="shared" si="813"/>
        <v>0</v>
      </c>
      <c r="GP72" s="51" t="b">
        <f t="shared" si="813"/>
        <v>0</v>
      </c>
      <c r="GQ72" s="20" t="str">
        <f t="shared" si="151"/>
        <v/>
      </c>
      <c r="GR72" s="51" t="str">
        <f t="shared" si="152"/>
        <v/>
      </c>
      <c r="GS72" s="20" t="str">
        <f t="shared" si="153"/>
        <v/>
      </c>
      <c r="GT72" s="51" t="b">
        <f t="shared" ref="GT72:GU72" si="814">GT26</f>
        <v>0</v>
      </c>
      <c r="GU72" s="51" t="b">
        <f t="shared" si="814"/>
        <v>0</v>
      </c>
      <c r="GV72" s="51" t="b">
        <f t="shared" ref="GV72:GW72" si="815">GV26</f>
        <v>0</v>
      </c>
      <c r="GW72" s="51" t="b">
        <f t="shared" si="815"/>
        <v>0</v>
      </c>
      <c r="GX72" s="20" t="str">
        <f t="shared" si="154"/>
        <v/>
      </c>
      <c r="GY72" s="51" t="str">
        <f t="shared" si="155"/>
        <v/>
      </c>
      <c r="GZ72" s="20" t="str">
        <f t="shared" si="156"/>
        <v/>
      </c>
      <c r="HA72" s="51" t="b">
        <f t="shared" ref="HA72:HD72" si="816">HA26</f>
        <v>0</v>
      </c>
      <c r="HB72" s="51" t="b">
        <f t="shared" si="816"/>
        <v>0</v>
      </c>
      <c r="HC72" s="51" t="b">
        <f t="shared" si="816"/>
        <v>0</v>
      </c>
      <c r="HD72" s="51" t="b">
        <f t="shared" si="816"/>
        <v>0</v>
      </c>
      <c r="HE72" s="51" t="str">
        <f t="shared" si="158"/>
        <v/>
      </c>
      <c r="HF72" s="19" t="str">
        <f t="shared" si="159"/>
        <v/>
      </c>
      <c r="HG72" s="20" t="str">
        <f t="shared" si="160"/>
        <v/>
      </c>
      <c r="HH72" s="51" t="b">
        <f t="shared" ref="HH72:HK72" si="817">HH26</f>
        <v>0</v>
      </c>
      <c r="HI72" s="51" t="b">
        <f t="shared" si="817"/>
        <v>0</v>
      </c>
      <c r="HJ72" s="51" t="b">
        <f t="shared" si="817"/>
        <v>0</v>
      </c>
      <c r="HK72" s="51" t="b">
        <f t="shared" si="817"/>
        <v>0</v>
      </c>
      <c r="HL72" s="20" t="str">
        <f t="shared" si="162"/>
        <v/>
      </c>
      <c r="HM72" s="51" t="str">
        <f t="shared" si="163"/>
        <v/>
      </c>
      <c r="HN72" s="20" t="str">
        <f t="shared" si="164"/>
        <v/>
      </c>
      <c r="HO72" s="51" t="b">
        <f t="shared" ref="HO72:HP72" si="818">HO26</f>
        <v>0</v>
      </c>
      <c r="HP72" s="51" t="b">
        <f t="shared" si="818"/>
        <v>0</v>
      </c>
      <c r="HQ72" s="51" t="b">
        <f t="shared" ref="HQ72:HR72" si="819">HQ26</f>
        <v>0</v>
      </c>
      <c r="HR72" s="51" t="b">
        <f t="shared" si="819"/>
        <v>0</v>
      </c>
      <c r="HS72" s="20" t="str">
        <f t="shared" si="165"/>
        <v/>
      </c>
      <c r="HT72" s="51" t="str">
        <f t="shared" si="166"/>
        <v/>
      </c>
      <c r="HU72" s="20" t="str">
        <f t="shared" si="167"/>
        <v/>
      </c>
      <c r="HV72" s="51" t="b">
        <f t="shared" ref="HV72:HY72" si="820">HV26</f>
        <v>0</v>
      </c>
      <c r="HW72" s="51" t="b">
        <f t="shared" si="820"/>
        <v>0</v>
      </c>
      <c r="HX72" s="51" t="b">
        <f t="shared" si="820"/>
        <v>0</v>
      </c>
      <c r="HY72" s="51" t="b">
        <f t="shared" si="820"/>
        <v>0</v>
      </c>
      <c r="HZ72" s="51" t="str">
        <f t="shared" si="169"/>
        <v/>
      </c>
      <c r="IA72" s="19" t="str">
        <f t="shared" si="170"/>
        <v/>
      </c>
      <c r="IB72" s="20" t="str">
        <f t="shared" si="171"/>
        <v/>
      </c>
      <c r="IC72" s="51" t="b">
        <f t="shared" ref="IC72:IF72" si="821">IC26</f>
        <v>0</v>
      </c>
      <c r="ID72" s="51" t="b">
        <f t="shared" si="821"/>
        <v>0</v>
      </c>
      <c r="IE72" s="51" t="b">
        <f t="shared" si="821"/>
        <v>0</v>
      </c>
      <c r="IF72" s="51" t="b">
        <f t="shared" si="821"/>
        <v>0</v>
      </c>
      <c r="IG72" s="20" t="str">
        <f t="shared" si="173"/>
        <v/>
      </c>
      <c r="IH72" s="51" t="str">
        <f t="shared" si="174"/>
        <v/>
      </c>
      <c r="II72" s="20" t="str">
        <f t="shared" si="175"/>
        <v/>
      </c>
      <c r="IJ72" s="51" t="b">
        <f t="shared" ref="IJ72:IK72" si="822">IJ26</f>
        <v>0</v>
      </c>
      <c r="IK72" s="51" t="b">
        <f t="shared" si="822"/>
        <v>0</v>
      </c>
      <c r="IL72" s="51" t="b">
        <f t="shared" ref="IL72:IM72" si="823">IL26</f>
        <v>0</v>
      </c>
      <c r="IM72" s="51" t="b">
        <f t="shared" si="823"/>
        <v>0</v>
      </c>
      <c r="IN72" s="20" t="str">
        <f t="shared" si="176"/>
        <v/>
      </c>
      <c r="IO72" s="51" t="str">
        <f t="shared" si="177"/>
        <v/>
      </c>
      <c r="IP72" s="20" t="str">
        <f t="shared" si="178"/>
        <v/>
      </c>
      <c r="IQ72" s="51" t="b">
        <f t="shared" ref="IQ72:IT72" si="824">IQ26</f>
        <v>0</v>
      </c>
      <c r="IR72" s="51" t="b">
        <f t="shared" si="824"/>
        <v>0</v>
      </c>
      <c r="IS72" s="51" t="b">
        <f t="shared" si="824"/>
        <v>0</v>
      </c>
      <c r="IT72" s="51" t="b">
        <f t="shared" si="824"/>
        <v>0</v>
      </c>
      <c r="IU72" s="51" t="str">
        <f t="shared" si="180"/>
        <v/>
      </c>
      <c r="IV72" s="116"/>
    </row>
    <row r="73" spans="1:256" x14ac:dyDescent="0.2">
      <c r="C73">
        <v>18</v>
      </c>
      <c r="D73" s="19" t="str">
        <f t="shared" si="48"/>
        <v/>
      </c>
      <c r="E73" s="20" t="str">
        <f t="shared" si="49"/>
        <v/>
      </c>
      <c r="F73" s="51" t="str">
        <f t="shared" si="781"/>
        <v>FALSE</v>
      </c>
      <c r="G73" s="51" t="str">
        <f t="shared" si="781"/>
        <v>FALSE</v>
      </c>
      <c r="H73" s="51" t="str">
        <f t="shared" si="781"/>
        <v>FALSE</v>
      </c>
      <c r="I73" s="51" t="str">
        <f t="shared" si="781"/>
        <v>FALSE</v>
      </c>
      <c r="J73" s="20" t="str">
        <f t="shared" si="51"/>
        <v/>
      </c>
      <c r="K73" s="51" t="str">
        <f t="shared" si="52"/>
        <v/>
      </c>
      <c r="L73" s="20" t="str">
        <f t="shared" si="53"/>
        <v/>
      </c>
      <c r="M73" s="51" t="str">
        <f t="shared" ref="M73:P85" si="825">M27</f>
        <v>FALSE</v>
      </c>
      <c r="N73" s="51" t="str">
        <f t="shared" si="825"/>
        <v>FALSE</v>
      </c>
      <c r="O73" s="51" t="str">
        <f t="shared" si="825"/>
        <v>FALSE</v>
      </c>
      <c r="P73" s="51" t="str">
        <f t="shared" si="825"/>
        <v>FALSE</v>
      </c>
      <c r="Q73" s="20" t="str">
        <f t="shared" si="55"/>
        <v/>
      </c>
      <c r="R73" s="51" t="str">
        <f t="shared" si="56"/>
        <v/>
      </c>
      <c r="S73" s="51" t="str">
        <f t="shared" si="57"/>
        <v/>
      </c>
      <c r="T73" s="51" t="b">
        <f t="shared" si="782"/>
        <v>0</v>
      </c>
      <c r="U73" s="51" t="b">
        <f t="shared" si="782"/>
        <v>0</v>
      </c>
      <c r="V73" s="51" t="b">
        <f t="shared" si="782"/>
        <v>0</v>
      </c>
      <c r="W73" s="51" t="b">
        <f t="shared" si="782"/>
        <v>0</v>
      </c>
      <c r="X73" s="22" t="str">
        <f t="shared" si="59"/>
        <v/>
      </c>
      <c r="Y73" s="19" t="str">
        <f t="shared" si="60"/>
        <v/>
      </c>
      <c r="Z73" s="20" t="str">
        <f t="shared" si="61"/>
        <v/>
      </c>
      <c r="AA73" s="51" t="str">
        <f t="shared" si="783"/>
        <v>FALSE</v>
      </c>
      <c r="AB73" s="51" t="str">
        <f t="shared" si="783"/>
        <v>FALSE</v>
      </c>
      <c r="AC73" s="51" t="str">
        <f t="shared" si="783"/>
        <v>FALSE</v>
      </c>
      <c r="AD73" s="51" t="str">
        <f t="shared" si="783"/>
        <v>FALSE</v>
      </c>
      <c r="AE73" s="20" t="str">
        <f t="shared" si="63"/>
        <v/>
      </c>
      <c r="AF73" s="51" t="str">
        <f t="shared" si="64"/>
        <v/>
      </c>
      <c r="AG73" s="20" t="str">
        <f t="shared" si="65"/>
        <v/>
      </c>
      <c r="AH73" s="51" t="str">
        <f t="shared" ref="AH73:AK73" si="826">AH27</f>
        <v>FALSE</v>
      </c>
      <c r="AI73" s="51" t="str">
        <f t="shared" si="826"/>
        <v>FALSE</v>
      </c>
      <c r="AJ73" s="51" t="str">
        <f t="shared" si="826"/>
        <v>FALSE</v>
      </c>
      <c r="AK73" s="51" t="str">
        <f t="shared" si="826"/>
        <v>FALSE</v>
      </c>
      <c r="AL73" s="20" t="str">
        <f t="shared" si="66"/>
        <v/>
      </c>
      <c r="AM73" s="51" t="str">
        <f t="shared" si="67"/>
        <v/>
      </c>
      <c r="AN73" s="20" t="str">
        <f t="shared" si="68"/>
        <v/>
      </c>
      <c r="AO73" s="51" t="b">
        <f t="shared" si="785"/>
        <v>0</v>
      </c>
      <c r="AP73" s="51" t="b">
        <f t="shared" si="785"/>
        <v>0</v>
      </c>
      <c r="AQ73" s="51" t="b">
        <f t="shared" si="785"/>
        <v>0</v>
      </c>
      <c r="AR73" s="51" t="b">
        <f t="shared" si="785"/>
        <v>0</v>
      </c>
      <c r="AS73" s="51" t="str">
        <f t="shared" si="70"/>
        <v/>
      </c>
      <c r="AT73" s="19" t="str">
        <f t="shared" si="71"/>
        <v/>
      </c>
      <c r="AU73" s="20" t="str">
        <f t="shared" si="72"/>
        <v/>
      </c>
      <c r="AV73" s="51" t="str">
        <f t="shared" ref="AV73:AY73" si="827">AV27</f>
        <v>FALSE</v>
      </c>
      <c r="AW73" s="51" t="str">
        <f t="shared" si="827"/>
        <v>FALSE</v>
      </c>
      <c r="AX73" s="51" t="str">
        <f t="shared" si="827"/>
        <v>FALSE</v>
      </c>
      <c r="AY73" s="51" t="str">
        <f t="shared" si="827"/>
        <v>FALSE</v>
      </c>
      <c r="AZ73" s="20" t="str">
        <f t="shared" si="74"/>
        <v/>
      </c>
      <c r="BA73" s="51" t="str">
        <f t="shared" si="75"/>
        <v/>
      </c>
      <c r="BB73" s="20" t="str">
        <f t="shared" si="76"/>
        <v/>
      </c>
      <c r="BC73" s="51" t="str">
        <f t="shared" ref="BC73:BF73" si="828">BC27</f>
        <v>FALSE</v>
      </c>
      <c r="BD73" s="51" t="str">
        <f t="shared" si="828"/>
        <v>FALSE</v>
      </c>
      <c r="BE73" s="51" t="str">
        <f t="shared" si="828"/>
        <v>FALSE</v>
      </c>
      <c r="BF73" s="51" t="str">
        <f t="shared" si="828"/>
        <v>FALSE</v>
      </c>
      <c r="BG73" s="20" t="str">
        <f t="shared" si="77"/>
        <v/>
      </c>
      <c r="BH73" s="51" t="str">
        <f t="shared" si="78"/>
        <v/>
      </c>
      <c r="BI73" s="20" t="str">
        <f t="shared" si="79"/>
        <v/>
      </c>
      <c r="BJ73" s="51" t="b">
        <f t="shared" ref="BJ73:BM73" si="829">BJ27</f>
        <v>0</v>
      </c>
      <c r="BK73" s="51" t="b">
        <f t="shared" si="829"/>
        <v>0</v>
      </c>
      <c r="BL73" s="51" t="b">
        <f t="shared" si="829"/>
        <v>0</v>
      </c>
      <c r="BM73" s="51" t="b">
        <f t="shared" si="829"/>
        <v>0</v>
      </c>
      <c r="BN73" s="51" t="str">
        <f t="shared" si="81"/>
        <v/>
      </c>
      <c r="BO73" s="19" t="str">
        <f t="shared" si="82"/>
        <v/>
      </c>
      <c r="BP73" s="20" t="str">
        <f t="shared" si="83"/>
        <v/>
      </c>
      <c r="BQ73" s="51" t="b">
        <f t="shared" ref="BQ73:BT73" si="830">BQ27</f>
        <v>0</v>
      </c>
      <c r="BR73" s="51" t="b">
        <f t="shared" si="830"/>
        <v>0</v>
      </c>
      <c r="BS73" s="51" t="b">
        <f t="shared" si="830"/>
        <v>0</v>
      </c>
      <c r="BT73" s="51" t="b">
        <f t="shared" si="830"/>
        <v>0</v>
      </c>
      <c r="BU73" s="20" t="str">
        <f t="shared" si="85"/>
        <v/>
      </c>
      <c r="BV73" s="51" t="str">
        <f t="shared" si="86"/>
        <v/>
      </c>
      <c r="BW73" s="20" t="str">
        <f t="shared" si="87"/>
        <v/>
      </c>
      <c r="BX73" s="51" t="b">
        <f t="shared" ref="BX73:BY73" si="831">BX27</f>
        <v>0</v>
      </c>
      <c r="BY73" s="51" t="b">
        <f t="shared" si="831"/>
        <v>0</v>
      </c>
      <c r="BZ73" s="51" t="b">
        <f t="shared" ref="BZ73:CA73" si="832">BZ27</f>
        <v>0</v>
      </c>
      <c r="CA73" s="51" t="b">
        <f t="shared" si="832"/>
        <v>0</v>
      </c>
      <c r="CB73" s="20" t="str">
        <f t="shared" si="88"/>
        <v/>
      </c>
      <c r="CC73" s="51" t="str">
        <f t="shared" si="89"/>
        <v/>
      </c>
      <c r="CD73" s="20" t="str">
        <f t="shared" si="90"/>
        <v/>
      </c>
      <c r="CE73" s="51" t="b">
        <f t="shared" ref="CE73:CH73" si="833">CE27</f>
        <v>0</v>
      </c>
      <c r="CF73" s="51" t="b">
        <f t="shared" si="833"/>
        <v>0</v>
      </c>
      <c r="CG73" s="51" t="b">
        <f t="shared" si="833"/>
        <v>0</v>
      </c>
      <c r="CH73" s="51" t="b">
        <f t="shared" si="833"/>
        <v>0</v>
      </c>
      <c r="CI73" s="51" t="str">
        <f t="shared" si="92"/>
        <v/>
      </c>
      <c r="CJ73" s="19" t="str">
        <f t="shared" si="93"/>
        <v/>
      </c>
      <c r="CK73" s="20" t="str">
        <f t="shared" si="94"/>
        <v/>
      </c>
      <c r="CL73" s="51" t="b">
        <f t="shared" ref="CL73:CO73" si="834">CL27</f>
        <v>0</v>
      </c>
      <c r="CM73" s="51" t="b">
        <f t="shared" si="834"/>
        <v>0</v>
      </c>
      <c r="CN73" s="51" t="b">
        <f t="shared" si="834"/>
        <v>0</v>
      </c>
      <c r="CO73" s="51" t="b">
        <f t="shared" si="834"/>
        <v>0</v>
      </c>
      <c r="CP73" s="20" t="str">
        <f t="shared" si="96"/>
        <v/>
      </c>
      <c r="CQ73" s="51" t="str">
        <f t="shared" si="97"/>
        <v/>
      </c>
      <c r="CR73" s="20" t="str">
        <f t="shared" si="98"/>
        <v/>
      </c>
      <c r="CS73" s="51" t="b">
        <f t="shared" ref="CS73:CT73" si="835">CS27</f>
        <v>0</v>
      </c>
      <c r="CT73" s="51" t="b">
        <f t="shared" si="835"/>
        <v>0</v>
      </c>
      <c r="CU73" s="51" t="b">
        <f t="shared" ref="CU73:CV73" si="836">CU27</f>
        <v>0</v>
      </c>
      <c r="CV73" s="51" t="b">
        <f t="shared" si="836"/>
        <v>0</v>
      </c>
      <c r="CW73" s="20" t="str">
        <f t="shared" si="99"/>
        <v/>
      </c>
      <c r="CX73" s="51" t="str">
        <f t="shared" si="100"/>
        <v/>
      </c>
      <c r="CY73" s="20" t="str">
        <f t="shared" si="101"/>
        <v/>
      </c>
      <c r="CZ73" s="51" t="b">
        <f t="shared" ref="CZ73:DC73" si="837">CZ27</f>
        <v>0</v>
      </c>
      <c r="DA73" s="51" t="b">
        <f t="shared" si="837"/>
        <v>0</v>
      </c>
      <c r="DB73" s="51" t="b">
        <f t="shared" si="837"/>
        <v>0</v>
      </c>
      <c r="DC73" s="51" t="b">
        <f t="shared" si="837"/>
        <v>0</v>
      </c>
      <c r="DD73" s="51" t="str">
        <f t="shared" si="103"/>
        <v/>
      </c>
      <c r="DE73" s="19" t="str">
        <f t="shared" si="104"/>
        <v/>
      </c>
      <c r="DF73" s="20" t="str">
        <f t="shared" si="105"/>
        <v/>
      </c>
      <c r="DG73" s="51" t="b">
        <f t="shared" ref="DG73:DJ73" si="838">DG27</f>
        <v>0</v>
      </c>
      <c r="DH73" s="51" t="b">
        <f t="shared" si="838"/>
        <v>0</v>
      </c>
      <c r="DI73" s="51" t="b">
        <f t="shared" si="838"/>
        <v>0</v>
      </c>
      <c r="DJ73" s="51" t="b">
        <f t="shared" si="838"/>
        <v>0</v>
      </c>
      <c r="DK73" s="20" t="str">
        <f t="shared" si="107"/>
        <v/>
      </c>
      <c r="DL73" s="51" t="str">
        <f t="shared" si="108"/>
        <v/>
      </c>
      <c r="DM73" s="20" t="str">
        <f t="shared" si="109"/>
        <v/>
      </c>
      <c r="DN73" s="51" t="b">
        <f t="shared" ref="DN73:DO73" si="839">DN27</f>
        <v>0</v>
      </c>
      <c r="DO73" s="51" t="b">
        <f t="shared" si="839"/>
        <v>0</v>
      </c>
      <c r="DP73" s="51" t="b">
        <f t="shared" ref="DP73:DQ73" si="840">DP27</f>
        <v>0</v>
      </c>
      <c r="DQ73" s="51" t="b">
        <f t="shared" si="840"/>
        <v>0</v>
      </c>
      <c r="DR73" s="20" t="str">
        <f t="shared" si="110"/>
        <v/>
      </c>
      <c r="DS73" s="51" t="str">
        <f t="shared" si="111"/>
        <v/>
      </c>
      <c r="DT73" s="20" t="str">
        <f t="shared" si="112"/>
        <v/>
      </c>
      <c r="DU73" s="51" t="b">
        <f t="shared" ref="DU73:DX73" si="841">DU27</f>
        <v>0</v>
      </c>
      <c r="DV73" s="51" t="b">
        <f t="shared" si="841"/>
        <v>0</v>
      </c>
      <c r="DW73" s="51" t="b">
        <f t="shared" si="841"/>
        <v>0</v>
      </c>
      <c r="DX73" s="51" t="b">
        <f t="shared" si="841"/>
        <v>0</v>
      </c>
      <c r="DY73" s="51" t="str">
        <f t="shared" si="114"/>
        <v/>
      </c>
      <c r="DZ73" s="19" t="str">
        <f t="shared" si="115"/>
        <v/>
      </c>
      <c r="EA73" s="20" t="str">
        <f t="shared" si="116"/>
        <v/>
      </c>
      <c r="EB73" s="51" t="b">
        <f t="shared" ref="EB73:EE73" si="842">EB27</f>
        <v>0</v>
      </c>
      <c r="EC73" s="51" t="b">
        <f t="shared" si="842"/>
        <v>0</v>
      </c>
      <c r="ED73" s="51" t="b">
        <f t="shared" si="842"/>
        <v>0</v>
      </c>
      <c r="EE73" s="51" t="b">
        <f t="shared" si="842"/>
        <v>0</v>
      </c>
      <c r="EF73" s="20" t="str">
        <f t="shared" si="118"/>
        <v/>
      </c>
      <c r="EG73" s="51" t="str">
        <f t="shared" si="119"/>
        <v/>
      </c>
      <c r="EH73" s="20" t="str">
        <f t="shared" si="120"/>
        <v/>
      </c>
      <c r="EI73" s="51" t="b">
        <f t="shared" ref="EI73:EJ73" si="843">EI27</f>
        <v>0</v>
      </c>
      <c r="EJ73" s="51" t="b">
        <f t="shared" si="843"/>
        <v>0</v>
      </c>
      <c r="EK73" s="51" t="b">
        <f t="shared" ref="EK73:EL73" si="844">EK27</f>
        <v>0</v>
      </c>
      <c r="EL73" s="51" t="b">
        <f t="shared" si="844"/>
        <v>0</v>
      </c>
      <c r="EM73" s="20" t="str">
        <f t="shared" si="121"/>
        <v/>
      </c>
      <c r="EN73" s="51" t="str">
        <f t="shared" si="122"/>
        <v/>
      </c>
      <c r="EO73" s="20" t="str">
        <f t="shared" si="123"/>
        <v/>
      </c>
      <c r="EP73" s="51" t="b">
        <f t="shared" ref="EP73:ES73" si="845">EP27</f>
        <v>0</v>
      </c>
      <c r="EQ73" s="51" t="b">
        <f t="shared" si="845"/>
        <v>0</v>
      </c>
      <c r="ER73" s="51" t="b">
        <f t="shared" si="845"/>
        <v>0</v>
      </c>
      <c r="ES73" s="51" t="b">
        <f t="shared" si="845"/>
        <v>0</v>
      </c>
      <c r="ET73" s="51" t="str">
        <f t="shared" si="125"/>
        <v/>
      </c>
      <c r="EU73" s="19" t="str">
        <f t="shared" si="126"/>
        <v/>
      </c>
      <c r="EV73" s="20" t="str">
        <f t="shared" si="127"/>
        <v/>
      </c>
      <c r="EW73" s="51" t="b">
        <f t="shared" ref="EW73:EZ73" si="846">EW27</f>
        <v>0</v>
      </c>
      <c r="EX73" s="51" t="b">
        <f t="shared" si="846"/>
        <v>0</v>
      </c>
      <c r="EY73" s="51" t="b">
        <f t="shared" si="846"/>
        <v>0</v>
      </c>
      <c r="EZ73" s="51" t="b">
        <f t="shared" si="846"/>
        <v>0</v>
      </c>
      <c r="FA73" s="20" t="str">
        <f t="shared" si="129"/>
        <v/>
      </c>
      <c r="FB73" s="51" t="str">
        <f t="shared" si="130"/>
        <v/>
      </c>
      <c r="FC73" s="20" t="str">
        <f t="shared" si="131"/>
        <v/>
      </c>
      <c r="FD73" s="51" t="b">
        <f t="shared" ref="FD73:FE73" si="847">FD27</f>
        <v>0</v>
      </c>
      <c r="FE73" s="51" t="b">
        <f t="shared" si="847"/>
        <v>0</v>
      </c>
      <c r="FF73" s="51" t="b">
        <f t="shared" ref="FF73:FG73" si="848">FF27</f>
        <v>0</v>
      </c>
      <c r="FG73" s="51" t="b">
        <f t="shared" si="848"/>
        <v>0</v>
      </c>
      <c r="FH73" s="20" t="str">
        <f t="shared" si="132"/>
        <v/>
      </c>
      <c r="FI73" s="51" t="str">
        <f t="shared" si="133"/>
        <v/>
      </c>
      <c r="FJ73" s="20" t="str">
        <f t="shared" si="134"/>
        <v/>
      </c>
      <c r="FK73" s="51" t="b">
        <f t="shared" ref="FK73:FN73" si="849">FK27</f>
        <v>0</v>
      </c>
      <c r="FL73" s="51" t="b">
        <f t="shared" si="849"/>
        <v>0</v>
      </c>
      <c r="FM73" s="51" t="b">
        <f t="shared" si="849"/>
        <v>0</v>
      </c>
      <c r="FN73" s="51" t="b">
        <f t="shared" si="849"/>
        <v>0</v>
      </c>
      <c r="FO73" s="51" t="str">
        <f t="shared" si="136"/>
        <v/>
      </c>
      <c r="FP73" s="19" t="str">
        <f t="shared" si="137"/>
        <v/>
      </c>
      <c r="FQ73" s="20" t="str">
        <f t="shared" si="138"/>
        <v/>
      </c>
      <c r="FR73" s="51" t="b">
        <f t="shared" ref="FR73:FU73" si="850">FR27</f>
        <v>0</v>
      </c>
      <c r="FS73" s="51" t="b">
        <f t="shared" si="850"/>
        <v>0</v>
      </c>
      <c r="FT73" s="51" t="b">
        <f t="shared" si="850"/>
        <v>0</v>
      </c>
      <c r="FU73" s="51" t="b">
        <f t="shared" si="850"/>
        <v>0</v>
      </c>
      <c r="FV73" s="20" t="str">
        <f t="shared" si="140"/>
        <v/>
      </c>
      <c r="FW73" s="51" t="str">
        <f t="shared" si="141"/>
        <v/>
      </c>
      <c r="FX73" s="20" t="str">
        <f t="shared" si="142"/>
        <v/>
      </c>
      <c r="FY73" s="51" t="b">
        <f t="shared" ref="FY73:FZ73" si="851">FY27</f>
        <v>0</v>
      </c>
      <c r="FZ73" s="51" t="b">
        <f t="shared" si="851"/>
        <v>0</v>
      </c>
      <c r="GA73" s="51" t="b">
        <f t="shared" ref="GA73:GB73" si="852">GA27</f>
        <v>0</v>
      </c>
      <c r="GB73" s="51" t="b">
        <f t="shared" si="852"/>
        <v>0</v>
      </c>
      <c r="GC73" s="20" t="str">
        <f t="shared" si="143"/>
        <v/>
      </c>
      <c r="GD73" s="51" t="str">
        <f t="shared" si="144"/>
        <v/>
      </c>
      <c r="GE73" s="20" t="str">
        <f t="shared" si="145"/>
        <v/>
      </c>
      <c r="GF73" s="51" t="b">
        <f t="shared" ref="GF73:GI73" si="853">GF27</f>
        <v>0</v>
      </c>
      <c r="GG73" s="51" t="b">
        <f t="shared" si="853"/>
        <v>0</v>
      </c>
      <c r="GH73" s="51" t="b">
        <f t="shared" si="853"/>
        <v>0</v>
      </c>
      <c r="GI73" s="51" t="b">
        <f t="shared" si="853"/>
        <v>0</v>
      </c>
      <c r="GJ73" s="51" t="str">
        <f t="shared" si="147"/>
        <v/>
      </c>
      <c r="GK73" s="19" t="str">
        <f t="shared" si="148"/>
        <v/>
      </c>
      <c r="GL73" s="20" t="str">
        <f t="shared" si="149"/>
        <v/>
      </c>
      <c r="GM73" s="51" t="b">
        <f t="shared" ref="GM73:GP73" si="854">GM27</f>
        <v>0</v>
      </c>
      <c r="GN73" s="51" t="b">
        <f t="shared" si="854"/>
        <v>0</v>
      </c>
      <c r="GO73" s="51" t="b">
        <f t="shared" si="854"/>
        <v>0</v>
      </c>
      <c r="GP73" s="51" t="b">
        <f t="shared" si="854"/>
        <v>0</v>
      </c>
      <c r="GQ73" s="20" t="str">
        <f t="shared" si="151"/>
        <v/>
      </c>
      <c r="GR73" s="51" t="str">
        <f t="shared" si="152"/>
        <v/>
      </c>
      <c r="GS73" s="20" t="str">
        <f t="shared" si="153"/>
        <v/>
      </c>
      <c r="GT73" s="51" t="b">
        <f t="shared" ref="GT73:GU73" si="855">GT27</f>
        <v>0</v>
      </c>
      <c r="GU73" s="51" t="b">
        <f t="shared" si="855"/>
        <v>0</v>
      </c>
      <c r="GV73" s="51" t="b">
        <f t="shared" ref="GV73:GW73" si="856">GV27</f>
        <v>0</v>
      </c>
      <c r="GW73" s="51" t="b">
        <f t="shared" si="856"/>
        <v>0</v>
      </c>
      <c r="GX73" s="20" t="str">
        <f t="shared" si="154"/>
        <v/>
      </c>
      <c r="GY73" s="51" t="str">
        <f t="shared" si="155"/>
        <v/>
      </c>
      <c r="GZ73" s="20" t="str">
        <f t="shared" si="156"/>
        <v/>
      </c>
      <c r="HA73" s="51" t="b">
        <f t="shared" ref="HA73:HD73" si="857">HA27</f>
        <v>0</v>
      </c>
      <c r="HB73" s="51" t="b">
        <f t="shared" si="857"/>
        <v>0</v>
      </c>
      <c r="HC73" s="51" t="b">
        <f t="shared" si="857"/>
        <v>0</v>
      </c>
      <c r="HD73" s="51" t="b">
        <f t="shared" si="857"/>
        <v>0</v>
      </c>
      <c r="HE73" s="51" t="str">
        <f t="shared" si="158"/>
        <v/>
      </c>
      <c r="HF73" s="19" t="str">
        <f t="shared" si="159"/>
        <v/>
      </c>
      <c r="HG73" s="20" t="str">
        <f t="shared" si="160"/>
        <v/>
      </c>
      <c r="HH73" s="51" t="b">
        <f t="shared" ref="HH73:HK73" si="858">HH27</f>
        <v>0</v>
      </c>
      <c r="HI73" s="51" t="b">
        <f t="shared" si="858"/>
        <v>0</v>
      </c>
      <c r="HJ73" s="51" t="b">
        <f t="shared" si="858"/>
        <v>0</v>
      </c>
      <c r="HK73" s="51" t="b">
        <f t="shared" si="858"/>
        <v>0</v>
      </c>
      <c r="HL73" s="20" t="str">
        <f t="shared" si="162"/>
        <v/>
      </c>
      <c r="HM73" s="51" t="str">
        <f t="shared" si="163"/>
        <v/>
      </c>
      <c r="HN73" s="20" t="str">
        <f t="shared" si="164"/>
        <v/>
      </c>
      <c r="HO73" s="51" t="b">
        <f t="shared" ref="HO73:HP73" si="859">HO27</f>
        <v>0</v>
      </c>
      <c r="HP73" s="51" t="b">
        <f t="shared" si="859"/>
        <v>0</v>
      </c>
      <c r="HQ73" s="51" t="b">
        <f t="shared" ref="HQ73:HR73" si="860">HQ27</f>
        <v>0</v>
      </c>
      <c r="HR73" s="51" t="b">
        <f t="shared" si="860"/>
        <v>0</v>
      </c>
      <c r="HS73" s="20" t="str">
        <f t="shared" si="165"/>
        <v/>
      </c>
      <c r="HT73" s="51" t="str">
        <f t="shared" si="166"/>
        <v/>
      </c>
      <c r="HU73" s="20" t="str">
        <f t="shared" si="167"/>
        <v/>
      </c>
      <c r="HV73" s="51" t="b">
        <f t="shared" ref="HV73:HY73" si="861">HV27</f>
        <v>0</v>
      </c>
      <c r="HW73" s="51" t="b">
        <f t="shared" si="861"/>
        <v>0</v>
      </c>
      <c r="HX73" s="51" t="b">
        <f t="shared" si="861"/>
        <v>0</v>
      </c>
      <c r="HY73" s="51" t="b">
        <f t="shared" si="861"/>
        <v>0</v>
      </c>
      <c r="HZ73" s="51" t="str">
        <f t="shared" si="169"/>
        <v/>
      </c>
      <c r="IA73" s="19" t="str">
        <f t="shared" si="170"/>
        <v/>
      </c>
      <c r="IB73" s="20" t="str">
        <f t="shared" si="171"/>
        <v/>
      </c>
      <c r="IC73" s="51" t="b">
        <f t="shared" ref="IC73:IF73" si="862">IC27</f>
        <v>0</v>
      </c>
      <c r="ID73" s="51" t="b">
        <f t="shared" si="862"/>
        <v>0</v>
      </c>
      <c r="IE73" s="51" t="b">
        <f t="shared" si="862"/>
        <v>0</v>
      </c>
      <c r="IF73" s="51" t="b">
        <f t="shared" si="862"/>
        <v>0</v>
      </c>
      <c r="IG73" s="20" t="str">
        <f t="shared" si="173"/>
        <v/>
      </c>
      <c r="IH73" s="51" t="str">
        <f t="shared" si="174"/>
        <v/>
      </c>
      <c r="II73" s="20" t="str">
        <f t="shared" si="175"/>
        <v/>
      </c>
      <c r="IJ73" s="51" t="b">
        <f t="shared" ref="IJ73:IK73" si="863">IJ27</f>
        <v>0</v>
      </c>
      <c r="IK73" s="51" t="b">
        <f t="shared" si="863"/>
        <v>0</v>
      </c>
      <c r="IL73" s="51" t="b">
        <f t="shared" ref="IL73:IM73" si="864">IL27</f>
        <v>0</v>
      </c>
      <c r="IM73" s="51" t="b">
        <f t="shared" si="864"/>
        <v>0</v>
      </c>
      <c r="IN73" s="20" t="str">
        <f t="shared" si="176"/>
        <v/>
      </c>
      <c r="IO73" s="51" t="str">
        <f t="shared" si="177"/>
        <v/>
      </c>
      <c r="IP73" s="20" t="str">
        <f t="shared" si="178"/>
        <v/>
      </c>
      <c r="IQ73" s="51" t="b">
        <f t="shared" ref="IQ73:IT73" si="865">IQ27</f>
        <v>0</v>
      </c>
      <c r="IR73" s="51" t="b">
        <f t="shared" si="865"/>
        <v>0</v>
      </c>
      <c r="IS73" s="51" t="b">
        <f t="shared" si="865"/>
        <v>0</v>
      </c>
      <c r="IT73" s="51" t="b">
        <f t="shared" si="865"/>
        <v>0</v>
      </c>
      <c r="IU73" s="51" t="str">
        <f t="shared" si="180"/>
        <v/>
      </c>
      <c r="IV73" s="116"/>
    </row>
    <row r="74" spans="1:256" x14ac:dyDescent="0.2">
      <c r="C74">
        <v>19</v>
      </c>
      <c r="D74" s="19" t="str">
        <f t="shared" si="48"/>
        <v/>
      </c>
      <c r="E74" s="20" t="str">
        <f t="shared" si="49"/>
        <v/>
      </c>
      <c r="F74" s="51" t="str">
        <f t="shared" si="781"/>
        <v>FALSE</v>
      </c>
      <c r="G74" s="51" t="str">
        <f t="shared" si="781"/>
        <v>FALSE</v>
      </c>
      <c r="H74" s="51" t="str">
        <f t="shared" si="781"/>
        <v>FALSE</v>
      </c>
      <c r="I74" s="51" t="str">
        <f t="shared" si="781"/>
        <v>FALSE</v>
      </c>
      <c r="J74" s="20" t="str">
        <f t="shared" si="51"/>
        <v/>
      </c>
      <c r="K74" s="51" t="str">
        <f t="shared" si="52"/>
        <v/>
      </c>
      <c r="L74" s="20" t="str">
        <f t="shared" si="53"/>
        <v/>
      </c>
      <c r="M74" s="51" t="str">
        <f t="shared" si="825"/>
        <v>FALSE</v>
      </c>
      <c r="N74" s="51" t="str">
        <f t="shared" si="825"/>
        <v>FALSE</v>
      </c>
      <c r="O74" s="51" t="str">
        <f t="shared" si="825"/>
        <v>FALSE</v>
      </c>
      <c r="P74" s="51" t="str">
        <f t="shared" si="825"/>
        <v>FALSE</v>
      </c>
      <c r="Q74" s="20" t="str">
        <f t="shared" si="55"/>
        <v/>
      </c>
      <c r="R74" s="51" t="str">
        <f t="shared" si="56"/>
        <v/>
      </c>
      <c r="S74" s="51" t="str">
        <f t="shared" si="57"/>
        <v/>
      </c>
      <c r="T74" s="51" t="b">
        <f t="shared" si="782"/>
        <v>0</v>
      </c>
      <c r="U74" s="51" t="b">
        <f t="shared" si="782"/>
        <v>0</v>
      </c>
      <c r="V74" s="51" t="b">
        <f t="shared" si="782"/>
        <v>0</v>
      </c>
      <c r="W74" s="51" t="b">
        <f t="shared" si="782"/>
        <v>0</v>
      </c>
      <c r="X74" s="22" t="str">
        <f t="shared" si="59"/>
        <v/>
      </c>
      <c r="Y74" s="19" t="str">
        <f t="shared" si="60"/>
        <v/>
      </c>
      <c r="Z74" s="20" t="str">
        <f t="shared" si="61"/>
        <v/>
      </c>
      <c r="AA74" s="51" t="str">
        <f t="shared" si="783"/>
        <v>FALSE</v>
      </c>
      <c r="AB74" s="51" t="str">
        <f t="shared" si="783"/>
        <v>FALSE</v>
      </c>
      <c r="AC74" s="51" t="str">
        <f t="shared" si="783"/>
        <v>FALSE</v>
      </c>
      <c r="AD74" s="51" t="str">
        <f t="shared" si="783"/>
        <v>FALSE</v>
      </c>
      <c r="AE74" s="20" t="str">
        <f t="shared" si="63"/>
        <v/>
      </c>
      <c r="AF74" s="51" t="str">
        <f t="shared" si="64"/>
        <v/>
      </c>
      <c r="AG74" s="20" t="str">
        <f t="shared" si="65"/>
        <v/>
      </c>
      <c r="AH74" s="51" t="str">
        <f t="shared" ref="AH74:AK74" si="866">AH28</f>
        <v>FALSE</v>
      </c>
      <c r="AI74" s="51" t="str">
        <f t="shared" si="866"/>
        <v>FALSE</v>
      </c>
      <c r="AJ74" s="51" t="str">
        <f t="shared" si="866"/>
        <v>FALSE</v>
      </c>
      <c r="AK74" s="51" t="str">
        <f t="shared" si="866"/>
        <v>FALSE</v>
      </c>
      <c r="AL74" s="20" t="str">
        <f t="shared" si="66"/>
        <v/>
      </c>
      <c r="AM74" s="51" t="str">
        <f t="shared" si="67"/>
        <v/>
      </c>
      <c r="AN74" s="20" t="str">
        <f t="shared" si="68"/>
        <v/>
      </c>
      <c r="AO74" s="51" t="b">
        <f t="shared" si="785"/>
        <v>0</v>
      </c>
      <c r="AP74" s="51" t="b">
        <f t="shared" si="785"/>
        <v>0</v>
      </c>
      <c r="AQ74" s="51" t="b">
        <f t="shared" si="785"/>
        <v>0</v>
      </c>
      <c r="AR74" s="51" t="b">
        <f t="shared" si="785"/>
        <v>0</v>
      </c>
      <c r="AS74" s="51" t="str">
        <f t="shared" si="70"/>
        <v/>
      </c>
      <c r="AT74" s="19" t="str">
        <f t="shared" si="71"/>
        <v/>
      </c>
      <c r="AU74" s="20" t="str">
        <f t="shared" si="72"/>
        <v/>
      </c>
      <c r="AV74" s="51" t="str">
        <f t="shared" ref="AV74:AY74" si="867">AV28</f>
        <v>FALSE</v>
      </c>
      <c r="AW74" s="51" t="str">
        <f t="shared" si="867"/>
        <v>FALSE</v>
      </c>
      <c r="AX74" s="51" t="str">
        <f t="shared" si="867"/>
        <v>FALSE</v>
      </c>
      <c r="AY74" s="51" t="str">
        <f t="shared" si="867"/>
        <v>FALSE</v>
      </c>
      <c r="AZ74" s="20" t="str">
        <f t="shared" si="74"/>
        <v/>
      </c>
      <c r="BA74" s="51" t="str">
        <f t="shared" si="75"/>
        <v/>
      </c>
      <c r="BB74" s="20" t="str">
        <f t="shared" si="76"/>
        <v/>
      </c>
      <c r="BC74" s="51" t="str">
        <f t="shared" ref="BC74:BF74" si="868">BC28</f>
        <v>FALSE</v>
      </c>
      <c r="BD74" s="51" t="str">
        <f t="shared" si="868"/>
        <v>FALSE</v>
      </c>
      <c r="BE74" s="51" t="str">
        <f t="shared" si="868"/>
        <v>FALSE</v>
      </c>
      <c r="BF74" s="51" t="str">
        <f t="shared" si="868"/>
        <v>FALSE</v>
      </c>
      <c r="BG74" s="20" t="str">
        <f t="shared" si="77"/>
        <v/>
      </c>
      <c r="BH74" s="51" t="str">
        <f t="shared" si="78"/>
        <v/>
      </c>
      <c r="BI74" s="20" t="str">
        <f t="shared" si="79"/>
        <v/>
      </c>
      <c r="BJ74" s="51" t="b">
        <f t="shared" ref="BJ74:BM74" si="869">BJ28</f>
        <v>0</v>
      </c>
      <c r="BK74" s="51" t="b">
        <f t="shared" si="869"/>
        <v>0</v>
      </c>
      <c r="BL74" s="51" t="b">
        <f t="shared" si="869"/>
        <v>0</v>
      </c>
      <c r="BM74" s="51" t="b">
        <f t="shared" si="869"/>
        <v>0</v>
      </c>
      <c r="BN74" s="51" t="str">
        <f t="shared" si="81"/>
        <v/>
      </c>
      <c r="BO74" s="19" t="str">
        <f t="shared" si="82"/>
        <v/>
      </c>
      <c r="BP74" s="20" t="str">
        <f t="shared" si="83"/>
        <v/>
      </c>
      <c r="BQ74" s="51" t="b">
        <f t="shared" ref="BQ74:BT74" si="870">BQ28</f>
        <v>0</v>
      </c>
      <c r="BR74" s="51" t="b">
        <f t="shared" si="870"/>
        <v>0</v>
      </c>
      <c r="BS74" s="51" t="b">
        <f t="shared" si="870"/>
        <v>0</v>
      </c>
      <c r="BT74" s="51" t="b">
        <f t="shared" si="870"/>
        <v>0</v>
      </c>
      <c r="BU74" s="20" t="str">
        <f t="shared" si="85"/>
        <v/>
      </c>
      <c r="BV74" s="51" t="str">
        <f t="shared" si="86"/>
        <v/>
      </c>
      <c r="BW74" s="20" t="str">
        <f t="shared" si="87"/>
        <v/>
      </c>
      <c r="BX74" s="51" t="b">
        <f t="shared" ref="BX74:BY74" si="871">BX28</f>
        <v>0</v>
      </c>
      <c r="BY74" s="51" t="b">
        <f t="shared" si="871"/>
        <v>0</v>
      </c>
      <c r="BZ74" s="51" t="b">
        <f t="shared" ref="BZ74:CA74" si="872">BZ28</f>
        <v>0</v>
      </c>
      <c r="CA74" s="51" t="b">
        <f t="shared" si="872"/>
        <v>0</v>
      </c>
      <c r="CB74" s="20" t="str">
        <f t="shared" si="88"/>
        <v/>
      </c>
      <c r="CC74" s="51" t="str">
        <f t="shared" si="89"/>
        <v/>
      </c>
      <c r="CD74" s="20" t="str">
        <f t="shared" si="90"/>
        <v/>
      </c>
      <c r="CE74" s="51" t="b">
        <f t="shared" ref="CE74:CH74" si="873">CE28</f>
        <v>0</v>
      </c>
      <c r="CF74" s="51" t="b">
        <f t="shared" si="873"/>
        <v>0</v>
      </c>
      <c r="CG74" s="51" t="b">
        <f t="shared" si="873"/>
        <v>0</v>
      </c>
      <c r="CH74" s="51" t="b">
        <f t="shared" si="873"/>
        <v>0</v>
      </c>
      <c r="CI74" s="51" t="str">
        <f t="shared" si="92"/>
        <v/>
      </c>
      <c r="CJ74" s="19" t="str">
        <f t="shared" si="93"/>
        <v/>
      </c>
      <c r="CK74" s="20" t="str">
        <f t="shared" si="94"/>
        <v/>
      </c>
      <c r="CL74" s="51" t="b">
        <f t="shared" ref="CL74:CO74" si="874">CL28</f>
        <v>0</v>
      </c>
      <c r="CM74" s="51" t="b">
        <f t="shared" si="874"/>
        <v>0</v>
      </c>
      <c r="CN74" s="51" t="b">
        <f t="shared" si="874"/>
        <v>0</v>
      </c>
      <c r="CO74" s="51" t="b">
        <f t="shared" si="874"/>
        <v>0</v>
      </c>
      <c r="CP74" s="20" t="str">
        <f t="shared" si="96"/>
        <v/>
      </c>
      <c r="CQ74" s="51" t="str">
        <f t="shared" si="97"/>
        <v/>
      </c>
      <c r="CR74" s="20" t="str">
        <f t="shared" si="98"/>
        <v/>
      </c>
      <c r="CS74" s="51" t="b">
        <f t="shared" ref="CS74:CT74" si="875">CS28</f>
        <v>0</v>
      </c>
      <c r="CT74" s="51" t="b">
        <f t="shared" si="875"/>
        <v>0</v>
      </c>
      <c r="CU74" s="51" t="b">
        <f t="shared" ref="CU74:CV74" si="876">CU28</f>
        <v>0</v>
      </c>
      <c r="CV74" s="51" t="b">
        <f t="shared" si="876"/>
        <v>0</v>
      </c>
      <c r="CW74" s="20" t="str">
        <f t="shared" si="99"/>
        <v/>
      </c>
      <c r="CX74" s="51" t="str">
        <f t="shared" si="100"/>
        <v/>
      </c>
      <c r="CY74" s="20" t="str">
        <f t="shared" si="101"/>
        <v/>
      </c>
      <c r="CZ74" s="51" t="b">
        <f t="shared" ref="CZ74:DC74" si="877">CZ28</f>
        <v>0</v>
      </c>
      <c r="DA74" s="51" t="b">
        <f t="shared" si="877"/>
        <v>0</v>
      </c>
      <c r="DB74" s="51" t="b">
        <f t="shared" si="877"/>
        <v>0</v>
      </c>
      <c r="DC74" s="51" t="b">
        <f t="shared" si="877"/>
        <v>0</v>
      </c>
      <c r="DD74" s="51" t="str">
        <f t="shared" si="103"/>
        <v/>
      </c>
      <c r="DE74" s="19" t="str">
        <f t="shared" si="104"/>
        <v/>
      </c>
      <c r="DF74" s="20" t="str">
        <f t="shared" si="105"/>
        <v/>
      </c>
      <c r="DG74" s="51" t="b">
        <f t="shared" ref="DG74:DJ74" si="878">DG28</f>
        <v>0</v>
      </c>
      <c r="DH74" s="51" t="b">
        <f t="shared" si="878"/>
        <v>0</v>
      </c>
      <c r="DI74" s="51" t="b">
        <f t="shared" si="878"/>
        <v>0</v>
      </c>
      <c r="DJ74" s="51" t="b">
        <f t="shared" si="878"/>
        <v>0</v>
      </c>
      <c r="DK74" s="20" t="str">
        <f t="shared" si="107"/>
        <v/>
      </c>
      <c r="DL74" s="51" t="str">
        <f t="shared" si="108"/>
        <v/>
      </c>
      <c r="DM74" s="20" t="str">
        <f t="shared" si="109"/>
        <v/>
      </c>
      <c r="DN74" s="51" t="b">
        <f t="shared" ref="DN74:DO74" si="879">DN28</f>
        <v>0</v>
      </c>
      <c r="DO74" s="51" t="b">
        <f t="shared" si="879"/>
        <v>0</v>
      </c>
      <c r="DP74" s="51" t="b">
        <f t="shared" ref="DP74:DQ74" si="880">DP28</f>
        <v>0</v>
      </c>
      <c r="DQ74" s="51" t="b">
        <f t="shared" si="880"/>
        <v>0</v>
      </c>
      <c r="DR74" s="20" t="str">
        <f t="shared" si="110"/>
        <v/>
      </c>
      <c r="DS74" s="51" t="str">
        <f t="shared" si="111"/>
        <v/>
      </c>
      <c r="DT74" s="20" t="str">
        <f t="shared" si="112"/>
        <v/>
      </c>
      <c r="DU74" s="51" t="b">
        <f t="shared" ref="DU74:DX74" si="881">DU28</f>
        <v>0</v>
      </c>
      <c r="DV74" s="51" t="b">
        <f t="shared" si="881"/>
        <v>0</v>
      </c>
      <c r="DW74" s="51" t="b">
        <f t="shared" si="881"/>
        <v>0</v>
      </c>
      <c r="DX74" s="51" t="b">
        <f t="shared" si="881"/>
        <v>0</v>
      </c>
      <c r="DY74" s="51" t="str">
        <f t="shared" si="114"/>
        <v/>
      </c>
      <c r="DZ74" s="19" t="str">
        <f t="shared" si="115"/>
        <v/>
      </c>
      <c r="EA74" s="20" t="str">
        <f t="shared" si="116"/>
        <v/>
      </c>
      <c r="EB74" s="51" t="b">
        <f t="shared" ref="EB74:EE74" si="882">EB28</f>
        <v>0</v>
      </c>
      <c r="EC74" s="51" t="b">
        <f t="shared" si="882"/>
        <v>0</v>
      </c>
      <c r="ED74" s="51" t="b">
        <f t="shared" si="882"/>
        <v>0</v>
      </c>
      <c r="EE74" s="51" t="b">
        <f t="shared" si="882"/>
        <v>0</v>
      </c>
      <c r="EF74" s="20" t="str">
        <f t="shared" si="118"/>
        <v/>
      </c>
      <c r="EG74" s="51" t="str">
        <f t="shared" si="119"/>
        <v/>
      </c>
      <c r="EH74" s="20" t="str">
        <f t="shared" si="120"/>
        <v/>
      </c>
      <c r="EI74" s="51" t="b">
        <f t="shared" ref="EI74:EJ74" si="883">EI28</f>
        <v>0</v>
      </c>
      <c r="EJ74" s="51" t="b">
        <f t="shared" si="883"/>
        <v>0</v>
      </c>
      <c r="EK74" s="51" t="b">
        <f t="shared" ref="EK74:EL74" si="884">EK28</f>
        <v>0</v>
      </c>
      <c r="EL74" s="51" t="b">
        <f t="shared" si="884"/>
        <v>0</v>
      </c>
      <c r="EM74" s="20" t="str">
        <f t="shared" si="121"/>
        <v/>
      </c>
      <c r="EN74" s="51" t="str">
        <f t="shared" si="122"/>
        <v/>
      </c>
      <c r="EO74" s="20" t="str">
        <f t="shared" si="123"/>
        <v/>
      </c>
      <c r="EP74" s="51" t="b">
        <f t="shared" ref="EP74:ES74" si="885">EP28</f>
        <v>0</v>
      </c>
      <c r="EQ74" s="51" t="b">
        <f t="shared" si="885"/>
        <v>0</v>
      </c>
      <c r="ER74" s="51" t="b">
        <f t="shared" si="885"/>
        <v>0</v>
      </c>
      <c r="ES74" s="51" t="b">
        <f t="shared" si="885"/>
        <v>0</v>
      </c>
      <c r="ET74" s="51" t="str">
        <f t="shared" si="125"/>
        <v/>
      </c>
      <c r="EU74" s="19" t="str">
        <f t="shared" si="126"/>
        <v/>
      </c>
      <c r="EV74" s="20" t="str">
        <f t="shared" si="127"/>
        <v/>
      </c>
      <c r="EW74" s="51" t="b">
        <f t="shared" ref="EW74:EZ74" si="886">EW28</f>
        <v>0</v>
      </c>
      <c r="EX74" s="51" t="b">
        <f t="shared" si="886"/>
        <v>0</v>
      </c>
      <c r="EY74" s="51" t="b">
        <f t="shared" si="886"/>
        <v>0</v>
      </c>
      <c r="EZ74" s="51" t="b">
        <f t="shared" si="886"/>
        <v>0</v>
      </c>
      <c r="FA74" s="20" t="str">
        <f t="shared" si="129"/>
        <v/>
      </c>
      <c r="FB74" s="51" t="str">
        <f t="shared" si="130"/>
        <v/>
      </c>
      <c r="FC74" s="20" t="str">
        <f t="shared" si="131"/>
        <v/>
      </c>
      <c r="FD74" s="51" t="b">
        <f t="shared" ref="FD74:FE74" si="887">FD28</f>
        <v>0</v>
      </c>
      <c r="FE74" s="51" t="b">
        <f t="shared" si="887"/>
        <v>0</v>
      </c>
      <c r="FF74" s="51" t="b">
        <f t="shared" ref="FF74:FG74" si="888">FF28</f>
        <v>0</v>
      </c>
      <c r="FG74" s="51" t="b">
        <f t="shared" si="888"/>
        <v>0</v>
      </c>
      <c r="FH74" s="20" t="str">
        <f t="shared" si="132"/>
        <v/>
      </c>
      <c r="FI74" s="51" t="str">
        <f t="shared" si="133"/>
        <v/>
      </c>
      <c r="FJ74" s="20" t="str">
        <f t="shared" si="134"/>
        <v/>
      </c>
      <c r="FK74" s="51" t="b">
        <f t="shared" ref="FK74:FN74" si="889">FK28</f>
        <v>0</v>
      </c>
      <c r="FL74" s="51" t="b">
        <f t="shared" si="889"/>
        <v>0</v>
      </c>
      <c r="FM74" s="51" t="b">
        <f t="shared" si="889"/>
        <v>0</v>
      </c>
      <c r="FN74" s="51" t="b">
        <f t="shared" si="889"/>
        <v>0</v>
      </c>
      <c r="FO74" s="51" t="str">
        <f t="shared" si="136"/>
        <v/>
      </c>
      <c r="FP74" s="19" t="str">
        <f t="shared" si="137"/>
        <v/>
      </c>
      <c r="FQ74" s="20" t="str">
        <f t="shared" si="138"/>
        <v/>
      </c>
      <c r="FR74" s="51" t="b">
        <f t="shared" ref="FR74:FU74" si="890">FR28</f>
        <v>0</v>
      </c>
      <c r="FS74" s="51" t="b">
        <f t="shared" si="890"/>
        <v>0</v>
      </c>
      <c r="FT74" s="51" t="b">
        <f t="shared" si="890"/>
        <v>0</v>
      </c>
      <c r="FU74" s="51" t="b">
        <f t="shared" si="890"/>
        <v>0</v>
      </c>
      <c r="FV74" s="20" t="str">
        <f t="shared" si="140"/>
        <v/>
      </c>
      <c r="FW74" s="51" t="str">
        <f t="shared" si="141"/>
        <v/>
      </c>
      <c r="FX74" s="20" t="str">
        <f t="shared" si="142"/>
        <v/>
      </c>
      <c r="FY74" s="51" t="b">
        <f t="shared" ref="FY74:FZ74" si="891">FY28</f>
        <v>0</v>
      </c>
      <c r="FZ74" s="51" t="b">
        <f t="shared" si="891"/>
        <v>0</v>
      </c>
      <c r="GA74" s="51" t="b">
        <f t="shared" ref="GA74:GB74" si="892">GA28</f>
        <v>0</v>
      </c>
      <c r="GB74" s="51" t="b">
        <f t="shared" si="892"/>
        <v>0</v>
      </c>
      <c r="GC74" s="20" t="str">
        <f t="shared" si="143"/>
        <v/>
      </c>
      <c r="GD74" s="51" t="str">
        <f t="shared" si="144"/>
        <v/>
      </c>
      <c r="GE74" s="20" t="str">
        <f t="shared" si="145"/>
        <v/>
      </c>
      <c r="GF74" s="51" t="b">
        <f t="shared" ref="GF74:GI74" si="893">GF28</f>
        <v>0</v>
      </c>
      <c r="GG74" s="51" t="b">
        <f t="shared" si="893"/>
        <v>0</v>
      </c>
      <c r="GH74" s="51" t="b">
        <f t="shared" si="893"/>
        <v>0</v>
      </c>
      <c r="GI74" s="51" t="b">
        <f t="shared" si="893"/>
        <v>0</v>
      </c>
      <c r="GJ74" s="51" t="str">
        <f t="shared" si="147"/>
        <v/>
      </c>
      <c r="GK74" s="19" t="str">
        <f t="shared" si="148"/>
        <v/>
      </c>
      <c r="GL74" s="20" t="str">
        <f t="shared" si="149"/>
        <v/>
      </c>
      <c r="GM74" s="51" t="b">
        <f t="shared" ref="GM74:GP74" si="894">GM28</f>
        <v>0</v>
      </c>
      <c r="GN74" s="51" t="b">
        <f t="shared" si="894"/>
        <v>0</v>
      </c>
      <c r="GO74" s="51" t="b">
        <f t="shared" si="894"/>
        <v>0</v>
      </c>
      <c r="GP74" s="51" t="b">
        <f t="shared" si="894"/>
        <v>0</v>
      </c>
      <c r="GQ74" s="20" t="str">
        <f t="shared" si="151"/>
        <v/>
      </c>
      <c r="GR74" s="51" t="str">
        <f t="shared" si="152"/>
        <v/>
      </c>
      <c r="GS74" s="20" t="str">
        <f t="shared" si="153"/>
        <v/>
      </c>
      <c r="GT74" s="51" t="b">
        <f t="shared" ref="GT74:GU74" si="895">GT28</f>
        <v>0</v>
      </c>
      <c r="GU74" s="51" t="b">
        <f t="shared" si="895"/>
        <v>0</v>
      </c>
      <c r="GV74" s="51" t="b">
        <f t="shared" ref="GV74:GW74" si="896">GV28</f>
        <v>0</v>
      </c>
      <c r="GW74" s="51" t="b">
        <f t="shared" si="896"/>
        <v>0</v>
      </c>
      <c r="GX74" s="20" t="str">
        <f t="shared" si="154"/>
        <v/>
      </c>
      <c r="GY74" s="51" t="str">
        <f t="shared" si="155"/>
        <v/>
      </c>
      <c r="GZ74" s="20" t="str">
        <f t="shared" si="156"/>
        <v/>
      </c>
      <c r="HA74" s="51" t="b">
        <f t="shared" ref="HA74:HD74" si="897">HA28</f>
        <v>0</v>
      </c>
      <c r="HB74" s="51" t="b">
        <f t="shared" si="897"/>
        <v>0</v>
      </c>
      <c r="HC74" s="51" t="b">
        <f t="shared" si="897"/>
        <v>0</v>
      </c>
      <c r="HD74" s="51" t="b">
        <f t="shared" si="897"/>
        <v>0</v>
      </c>
      <c r="HE74" s="51" t="str">
        <f t="shared" si="158"/>
        <v/>
      </c>
      <c r="HF74" s="19" t="str">
        <f t="shared" si="159"/>
        <v/>
      </c>
      <c r="HG74" s="20" t="str">
        <f t="shared" si="160"/>
        <v/>
      </c>
      <c r="HH74" s="51" t="b">
        <f t="shared" ref="HH74:HK74" si="898">HH28</f>
        <v>0</v>
      </c>
      <c r="HI74" s="51" t="b">
        <f t="shared" si="898"/>
        <v>0</v>
      </c>
      <c r="HJ74" s="51" t="b">
        <f t="shared" si="898"/>
        <v>0</v>
      </c>
      <c r="HK74" s="51" t="b">
        <f t="shared" si="898"/>
        <v>0</v>
      </c>
      <c r="HL74" s="20" t="str">
        <f t="shared" si="162"/>
        <v/>
      </c>
      <c r="HM74" s="51" t="str">
        <f t="shared" si="163"/>
        <v/>
      </c>
      <c r="HN74" s="20" t="str">
        <f t="shared" si="164"/>
        <v/>
      </c>
      <c r="HO74" s="51" t="b">
        <f t="shared" ref="HO74:HP74" si="899">HO28</f>
        <v>0</v>
      </c>
      <c r="HP74" s="51" t="b">
        <f t="shared" si="899"/>
        <v>0</v>
      </c>
      <c r="HQ74" s="51" t="b">
        <f t="shared" ref="HQ74:HR74" si="900">HQ28</f>
        <v>0</v>
      </c>
      <c r="HR74" s="51" t="b">
        <f t="shared" si="900"/>
        <v>0</v>
      </c>
      <c r="HS74" s="20" t="str">
        <f t="shared" si="165"/>
        <v/>
      </c>
      <c r="HT74" s="51" t="str">
        <f t="shared" si="166"/>
        <v/>
      </c>
      <c r="HU74" s="20" t="str">
        <f t="shared" si="167"/>
        <v/>
      </c>
      <c r="HV74" s="51" t="b">
        <f t="shared" ref="HV74:HY74" si="901">HV28</f>
        <v>0</v>
      </c>
      <c r="HW74" s="51" t="b">
        <f t="shared" si="901"/>
        <v>0</v>
      </c>
      <c r="HX74" s="51" t="b">
        <f t="shared" si="901"/>
        <v>0</v>
      </c>
      <c r="HY74" s="51" t="b">
        <f t="shared" si="901"/>
        <v>0</v>
      </c>
      <c r="HZ74" s="51" t="str">
        <f t="shared" si="169"/>
        <v/>
      </c>
      <c r="IA74" s="19" t="str">
        <f t="shared" si="170"/>
        <v/>
      </c>
      <c r="IB74" s="20" t="str">
        <f t="shared" si="171"/>
        <v/>
      </c>
      <c r="IC74" s="51" t="b">
        <f t="shared" ref="IC74:IF74" si="902">IC28</f>
        <v>0</v>
      </c>
      <c r="ID74" s="51" t="b">
        <f t="shared" si="902"/>
        <v>0</v>
      </c>
      <c r="IE74" s="51" t="b">
        <f t="shared" si="902"/>
        <v>0</v>
      </c>
      <c r="IF74" s="51" t="b">
        <f t="shared" si="902"/>
        <v>0</v>
      </c>
      <c r="IG74" s="20" t="str">
        <f t="shared" si="173"/>
        <v/>
      </c>
      <c r="IH74" s="51" t="str">
        <f t="shared" si="174"/>
        <v/>
      </c>
      <c r="II74" s="20" t="str">
        <f t="shared" si="175"/>
        <v/>
      </c>
      <c r="IJ74" s="51" t="b">
        <f t="shared" ref="IJ74:IK74" si="903">IJ28</f>
        <v>0</v>
      </c>
      <c r="IK74" s="51" t="b">
        <f t="shared" si="903"/>
        <v>0</v>
      </c>
      <c r="IL74" s="51" t="b">
        <f t="shared" ref="IL74:IM74" si="904">IL28</f>
        <v>0</v>
      </c>
      <c r="IM74" s="51" t="b">
        <f t="shared" si="904"/>
        <v>0</v>
      </c>
      <c r="IN74" s="20" t="str">
        <f t="shared" si="176"/>
        <v/>
      </c>
      <c r="IO74" s="51" t="str">
        <f t="shared" si="177"/>
        <v/>
      </c>
      <c r="IP74" s="20" t="str">
        <f t="shared" si="178"/>
        <v/>
      </c>
      <c r="IQ74" s="51" t="b">
        <f t="shared" ref="IQ74:IT74" si="905">IQ28</f>
        <v>0</v>
      </c>
      <c r="IR74" s="51" t="b">
        <f t="shared" si="905"/>
        <v>0</v>
      </c>
      <c r="IS74" s="51" t="b">
        <f t="shared" si="905"/>
        <v>0</v>
      </c>
      <c r="IT74" s="51" t="b">
        <f t="shared" si="905"/>
        <v>0</v>
      </c>
      <c r="IU74" s="51" t="str">
        <f t="shared" si="180"/>
        <v/>
      </c>
      <c r="IV74" s="116"/>
    </row>
    <row r="75" spans="1:256" x14ac:dyDescent="0.2">
      <c r="C75">
        <v>20</v>
      </c>
      <c r="D75" s="19" t="str">
        <f t="shared" si="48"/>
        <v/>
      </c>
      <c r="E75" s="20" t="str">
        <f t="shared" si="49"/>
        <v/>
      </c>
      <c r="F75" s="51" t="str">
        <f t="shared" si="781"/>
        <v>FALSE</v>
      </c>
      <c r="G75" s="51" t="str">
        <f t="shared" si="781"/>
        <v>FALSE</v>
      </c>
      <c r="H75" s="51" t="str">
        <f t="shared" si="781"/>
        <v>FALSE</v>
      </c>
      <c r="I75" s="51" t="str">
        <f t="shared" si="781"/>
        <v>FALSE</v>
      </c>
      <c r="J75" s="20" t="str">
        <f t="shared" si="51"/>
        <v/>
      </c>
      <c r="K75" s="51" t="str">
        <f t="shared" si="52"/>
        <v/>
      </c>
      <c r="L75" s="20" t="str">
        <f t="shared" si="53"/>
        <v/>
      </c>
      <c r="M75" s="51" t="str">
        <f t="shared" si="825"/>
        <v>FALSE</v>
      </c>
      <c r="N75" s="51" t="str">
        <f t="shared" si="825"/>
        <v>FALSE</v>
      </c>
      <c r="O75" s="51" t="str">
        <f t="shared" si="825"/>
        <v>FALSE</v>
      </c>
      <c r="P75" s="51" t="str">
        <f t="shared" si="825"/>
        <v>FALSE</v>
      </c>
      <c r="Q75" s="20" t="str">
        <f t="shared" si="55"/>
        <v/>
      </c>
      <c r="R75" s="51" t="str">
        <f t="shared" si="56"/>
        <v/>
      </c>
      <c r="S75" s="51" t="str">
        <f t="shared" si="57"/>
        <v/>
      </c>
      <c r="T75" s="51" t="b">
        <f t="shared" si="782"/>
        <v>0</v>
      </c>
      <c r="U75" s="51" t="b">
        <f t="shared" si="782"/>
        <v>0</v>
      </c>
      <c r="V75" s="51" t="b">
        <f t="shared" si="782"/>
        <v>0</v>
      </c>
      <c r="W75" s="51" t="b">
        <f t="shared" si="782"/>
        <v>0</v>
      </c>
      <c r="X75" s="22" t="str">
        <f t="shared" si="59"/>
        <v/>
      </c>
      <c r="Y75" s="19" t="str">
        <f t="shared" si="60"/>
        <v/>
      </c>
      <c r="Z75" s="20" t="str">
        <f t="shared" si="61"/>
        <v/>
      </c>
      <c r="AA75" s="51" t="str">
        <f t="shared" si="783"/>
        <v>FALSE</v>
      </c>
      <c r="AB75" s="51" t="str">
        <f t="shared" si="783"/>
        <v>FALSE</v>
      </c>
      <c r="AC75" s="51" t="str">
        <f t="shared" si="783"/>
        <v>FALSE</v>
      </c>
      <c r="AD75" s="51" t="str">
        <f t="shared" si="783"/>
        <v>FALSE</v>
      </c>
      <c r="AE75" s="20" t="str">
        <f t="shared" si="63"/>
        <v/>
      </c>
      <c r="AF75" s="51" t="str">
        <f t="shared" si="64"/>
        <v/>
      </c>
      <c r="AG75" s="20" t="str">
        <f t="shared" si="65"/>
        <v/>
      </c>
      <c r="AH75" s="51" t="str">
        <f t="shared" ref="AH75:AK75" si="906">AH29</f>
        <v>FALSE</v>
      </c>
      <c r="AI75" s="51" t="str">
        <f t="shared" si="906"/>
        <v>FALSE</v>
      </c>
      <c r="AJ75" s="51" t="str">
        <f t="shared" si="906"/>
        <v>FALSE</v>
      </c>
      <c r="AK75" s="51" t="str">
        <f t="shared" si="906"/>
        <v>FALSE</v>
      </c>
      <c r="AL75" s="20" t="str">
        <f t="shared" si="66"/>
        <v/>
      </c>
      <c r="AM75" s="51" t="str">
        <f t="shared" si="67"/>
        <v/>
      </c>
      <c r="AN75" s="20" t="str">
        <f t="shared" si="68"/>
        <v/>
      </c>
      <c r="AO75" s="51" t="b">
        <f t="shared" si="785"/>
        <v>0</v>
      </c>
      <c r="AP75" s="51" t="b">
        <f t="shared" si="785"/>
        <v>0</v>
      </c>
      <c r="AQ75" s="51" t="b">
        <f t="shared" si="785"/>
        <v>0</v>
      </c>
      <c r="AR75" s="51" t="b">
        <f t="shared" si="785"/>
        <v>0</v>
      </c>
      <c r="AS75" s="51" t="str">
        <f t="shared" si="70"/>
        <v/>
      </c>
      <c r="AT75" s="19" t="str">
        <f t="shared" si="71"/>
        <v/>
      </c>
      <c r="AU75" s="20" t="str">
        <f t="shared" si="72"/>
        <v/>
      </c>
      <c r="AV75" s="51" t="str">
        <f t="shared" ref="AV75:AY75" si="907">AV29</f>
        <v>FALSE</v>
      </c>
      <c r="AW75" s="51" t="str">
        <f t="shared" si="907"/>
        <v>TRUE</v>
      </c>
      <c r="AX75" s="51" t="str">
        <f t="shared" si="907"/>
        <v>TRUE</v>
      </c>
      <c r="AY75" s="51" t="str">
        <f t="shared" si="907"/>
        <v>FALSE</v>
      </c>
      <c r="AZ75" s="20" t="str">
        <f t="shared" si="74"/>
        <v/>
      </c>
      <c r="BA75" s="51" t="str">
        <f t="shared" si="75"/>
        <v/>
      </c>
      <c r="BB75" s="20" t="str">
        <f t="shared" si="76"/>
        <v/>
      </c>
      <c r="BC75" s="51" t="str">
        <f t="shared" ref="BC75:BF75" si="908">BC29</f>
        <v>FALSE</v>
      </c>
      <c r="BD75" s="51" t="str">
        <f t="shared" si="908"/>
        <v>FALSE</v>
      </c>
      <c r="BE75" s="51" t="str">
        <f t="shared" si="908"/>
        <v>FALSE</v>
      </c>
      <c r="BF75" s="51" t="str">
        <f t="shared" si="908"/>
        <v>FALSE</v>
      </c>
      <c r="BG75" s="20" t="str">
        <f t="shared" si="77"/>
        <v/>
      </c>
      <c r="BH75" s="51" t="str">
        <f t="shared" si="78"/>
        <v/>
      </c>
      <c r="BI75" s="20" t="str">
        <f t="shared" si="79"/>
        <v/>
      </c>
      <c r="BJ75" s="51" t="b">
        <f t="shared" ref="BJ75:BM75" si="909">BJ29</f>
        <v>0</v>
      </c>
      <c r="BK75" s="51" t="b">
        <f t="shared" si="909"/>
        <v>0</v>
      </c>
      <c r="BL75" s="51" t="b">
        <f t="shared" si="909"/>
        <v>0</v>
      </c>
      <c r="BM75" s="51" t="b">
        <f t="shared" si="909"/>
        <v>0</v>
      </c>
      <c r="BN75" s="51" t="str">
        <f t="shared" si="81"/>
        <v/>
      </c>
      <c r="BO75" s="19" t="str">
        <f t="shared" si="82"/>
        <v/>
      </c>
      <c r="BP75" s="20" t="str">
        <f t="shared" si="83"/>
        <v/>
      </c>
      <c r="BQ75" s="51" t="b">
        <f t="shared" ref="BQ75:BT75" si="910">BQ29</f>
        <v>0</v>
      </c>
      <c r="BR75" s="51" t="b">
        <f t="shared" si="910"/>
        <v>0</v>
      </c>
      <c r="BS75" s="51" t="b">
        <f t="shared" si="910"/>
        <v>0</v>
      </c>
      <c r="BT75" s="51" t="b">
        <f t="shared" si="910"/>
        <v>0</v>
      </c>
      <c r="BU75" s="20" t="str">
        <f t="shared" si="85"/>
        <v/>
      </c>
      <c r="BV75" s="51" t="str">
        <f t="shared" si="86"/>
        <v/>
      </c>
      <c r="BW75" s="20" t="str">
        <f t="shared" si="87"/>
        <v/>
      </c>
      <c r="BX75" s="51" t="b">
        <f t="shared" ref="BX75:BY75" si="911">BX29</f>
        <v>0</v>
      </c>
      <c r="BY75" s="51" t="b">
        <f t="shared" si="911"/>
        <v>0</v>
      </c>
      <c r="BZ75" s="51" t="b">
        <f t="shared" ref="BZ75:CA75" si="912">BZ29</f>
        <v>0</v>
      </c>
      <c r="CA75" s="51" t="b">
        <f t="shared" si="912"/>
        <v>0</v>
      </c>
      <c r="CB75" s="20" t="str">
        <f t="shared" si="88"/>
        <v/>
      </c>
      <c r="CC75" s="51" t="str">
        <f t="shared" si="89"/>
        <v/>
      </c>
      <c r="CD75" s="20" t="str">
        <f t="shared" si="90"/>
        <v/>
      </c>
      <c r="CE75" s="51" t="b">
        <f t="shared" ref="CE75:CH75" si="913">CE29</f>
        <v>0</v>
      </c>
      <c r="CF75" s="51" t="b">
        <f t="shared" si="913"/>
        <v>0</v>
      </c>
      <c r="CG75" s="51" t="b">
        <f t="shared" si="913"/>
        <v>0</v>
      </c>
      <c r="CH75" s="51" t="b">
        <f t="shared" si="913"/>
        <v>0</v>
      </c>
      <c r="CI75" s="51" t="str">
        <f t="shared" si="92"/>
        <v/>
      </c>
      <c r="CJ75" s="19" t="str">
        <f t="shared" si="93"/>
        <v/>
      </c>
      <c r="CK75" s="20" t="str">
        <f t="shared" si="94"/>
        <v/>
      </c>
      <c r="CL75" s="51" t="b">
        <f t="shared" ref="CL75:CO75" si="914">CL29</f>
        <v>0</v>
      </c>
      <c r="CM75" s="51" t="b">
        <f t="shared" si="914"/>
        <v>0</v>
      </c>
      <c r="CN75" s="51" t="b">
        <f t="shared" si="914"/>
        <v>0</v>
      </c>
      <c r="CO75" s="51" t="b">
        <f t="shared" si="914"/>
        <v>0</v>
      </c>
      <c r="CP75" s="20" t="str">
        <f t="shared" si="96"/>
        <v/>
      </c>
      <c r="CQ75" s="51" t="str">
        <f t="shared" si="97"/>
        <v/>
      </c>
      <c r="CR75" s="20" t="str">
        <f t="shared" si="98"/>
        <v/>
      </c>
      <c r="CS75" s="51" t="b">
        <f t="shared" ref="CS75:CT75" si="915">CS29</f>
        <v>0</v>
      </c>
      <c r="CT75" s="51" t="b">
        <f t="shared" si="915"/>
        <v>0</v>
      </c>
      <c r="CU75" s="51" t="b">
        <f t="shared" ref="CU75:CV75" si="916">CU29</f>
        <v>0</v>
      </c>
      <c r="CV75" s="51" t="b">
        <f t="shared" si="916"/>
        <v>0</v>
      </c>
      <c r="CW75" s="20" t="str">
        <f t="shared" si="99"/>
        <v/>
      </c>
      <c r="CX75" s="51" t="str">
        <f t="shared" si="100"/>
        <v/>
      </c>
      <c r="CY75" s="20" t="str">
        <f t="shared" si="101"/>
        <v/>
      </c>
      <c r="CZ75" s="51" t="b">
        <f t="shared" ref="CZ75:DC75" si="917">CZ29</f>
        <v>0</v>
      </c>
      <c r="DA75" s="51" t="b">
        <f t="shared" si="917"/>
        <v>0</v>
      </c>
      <c r="DB75" s="51" t="b">
        <f t="shared" si="917"/>
        <v>0</v>
      </c>
      <c r="DC75" s="51" t="b">
        <f t="shared" si="917"/>
        <v>0</v>
      </c>
      <c r="DD75" s="51" t="str">
        <f t="shared" si="103"/>
        <v/>
      </c>
      <c r="DE75" s="19" t="str">
        <f t="shared" si="104"/>
        <v/>
      </c>
      <c r="DF75" s="20" t="str">
        <f t="shared" si="105"/>
        <v/>
      </c>
      <c r="DG75" s="51" t="b">
        <f t="shared" ref="DG75:DJ75" si="918">DG29</f>
        <v>0</v>
      </c>
      <c r="DH75" s="51" t="b">
        <f t="shared" si="918"/>
        <v>0</v>
      </c>
      <c r="DI75" s="51" t="b">
        <f t="shared" si="918"/>
        <v>0</v>
      </c>
      <c r="DJ75" s="51" t="b">
        <f t="shared" si="918"/>
        <v>0</v>
      </c>
      <c r="DK75" s="20" t="str">
        <f t="shared" si="107"/>
        <v/>
      </c>
      <c r="DL75" s="51" t="str">
        <f t="shared" si="108"/>
        <v/>
      </c>
      <c r="DM75" s="20" t="str">
        <f t="shared" si="109"/>
        <v/>
      </c>
      <c r="DN75" s="51" t="b">
        <f t="shared" ref="DN75:DO75" si="919">DN29</f>
        <v>0</v>
      </c>
      <c r="DO75" s="51" t="b">
        <f t="shared" si="919"/>
        <v>0</v>
      </c>
      <c r="DP75" s="51" t="b">
        <f t="shared" ref="DP75:DQ75" si="920">DP29</f>
        <v>0</v>
      </c>
      <c r="DQ75" s="51" t="b">
        <f t="shared" si="920"/>
        <v>0</v>
      </c>
      <c r="DR75" s="20" t="str">
        <f t="shared" si="110"/>
        <v/>
      </c>
      <c r="DS75" s="51" t="str">
        <f t="shared" si="111"/>
        <v/>
      </c>
      <c r="DT75" s="20" t="str">
        <f t="shared" si="112"/>
        <v/>
      </c>
      <c r="DU75" s="51" t="b">
        <f t="shared" ref="DU75:DX75" si="921">DU29</f>
        <v>0</v>
      </c>
      <c r="DV75" s="51" t="b">
        <f t="shared" si="921"/>
        <v>0</v>
      </c>
      <c r="DW75" s="51" t="b">
        <f t="shared" si="921"/>
        <v>0</v>
      </c>
      <c r="DX75" s="51" t="b">
        <f t="shared" si="921"/>
        <v>0</v>
      </c>
      <c r="DY75" s="51" t="str">
        <f t="shared" si="114"/>
        <v/>
      </c>
      <c r="DZ75" s="19" t="str">
        <f t="shared" si="115"/>
        <v/>
      </c>
      <c r="EA75" s="20" t="str">
        <f t="shared" si="116"/>
        <v/>
      </c>
      <c r="EB75" s="51" t="b">
        <f t="shared" ref="EB75:EE75" si="922">EB29</f>
        <v>0</v>
      </c>
      <c r="EC75" s="51" t="b">
        <f t="shared" si="922"/>
        <v>0</v>
      </c>
      <c r="ED75" s="51" t="b">
        <f t="shared" si="922"/>
        <v>0</v>
      </c>
      <c r="EE75" s="51" t="b">
        <f t="shared" si="922"/>
        <v>0</v>
      </c>
      <c r="EF75" s="20" t="str">
        <f t="shared" si="118"/>
        <v/>
      </c>
      <c r="EG75" s="51" t="str">
        <f t="shared" si="119"/>
        <v/>
      </c>
      <c r="EH75" s="20" t="str">
        <f t="shared" si="120"/>
        <v/>
      </c>
      <c r="EI75" s="51" t="b">
        <f t="shared" ref="EI75:EJ75" si="923">EI29</f>
        <v>0</v>
      </c>
      <c r="EJ75" s="51" t="b">
        <f t="shared" si="923"/>
        <v>0</v>
      </c>
      <c r="EK75" s="51" t="b">
        <f t="shared" ref="EK75:EL75" si="924">EK29</f>
        <v>0</v>
      </c>
      <c r="EL75" s="51" t="b">
        <f t="shared" si="924"/>
        <v>0</v>
      </c>
      <c r="EM75" s="20" t="str">
        <f t="shared" si="121"/>
        <v/>
      </c>
      <c r="EN75" s="51" t="str">
        <f t="shared" si="122"/>
        <v/>
      </c>
      <c r="EO75" s="20" t="str">
        <f t="shared" si="123"/>
        <v/>
      </c>
      <c r="EP75" s="51" t="b">
        <f t="shared" ref="EP75:ES75" si="925">EP29</f>
        <v>0</v>
      </c>
      <c r="EQ75" s="51" t="b">
        <f t="shared" si="925"/>
        <v>0</v>
      </c>
      <c r="ER75" s="51" t="b">
        <f t="shared" si="925"/>
        <v>0</v>
      </c>
      <c r="ES75" s="51" t="b">
        <f t="shared" si="925"/>
        <v>0</v>
      </c>
      <c r="ET75" s="51" t="str">
        <f t="shared" si="125"/>
        <v/>
      </c>
      <c r="EU75" s="19" t="str">
        <f t="shared" si="126"/>
        <v/>
      </c>
      <c r="EV75" s="20" t="str">
        <f t="shared" si="127"/>
        <v/>
      </c>
      <c r="EW75" s="51" t="b">
        <f t="shared" ref="EW75:EZ75" si="926">EW29</f>
        <v>0</v>
      </c>
      <c r="EX75" s="51" t="b">
        <f t="shared" si="926"/>
        <v>0</v>
      </c>
      <c r="EY75" s="51" t="b">
        <f t="shared" si="926"/>
        <v>0</v>
      </c>
      <c r="EZ75" s="51" t="b">
        <f t="shared" si="926"/>
        <v>0</v>
      </c>
      <c r="FA75" s="20" t="str">
        <f t="shared" si="129"/>
        <v/>
      </c>
      <c r="FB75" s="51" t="str">
        <f t="shared" si="130"/>
        <v/>
      </c>
      <c r="FC75" s="20" t="str">
        <f t="shared" si="131"/>
        <v/>
      </c>
      <c r="FD75" s="51" t="b">
        <f t="shared" ref="FD75:FE75" si="927">FD29</f>
        <v>0</v>
      </c>
      <c r="FE75" s="51" t="b">
        <f t="shared" si="927"/>
        <v>0</v>
      </c>
      <c r="FF75" s="51" t="b">
        <f t="shared" ref="FF75:FG75" si="928">FF29</f>
        <v>0</v>
      </c>
      <c r="FG75" s="51" t="b">
        <f t="shared" si="928"/>
        <v>0</v>
      </c>
      <c r="FH75" s="20" t="str">
        <f t="shared" si="132"/>
        <v/>
      </c>
      <c r="FI75" s="51" t="str">
        <f t="shared" si="133"/>
        <v/>
      </c>
      <c r="FJ75" s="20" t="str">
        <f t="shared" si="134"/>
        <v/>
      </c>
      <c r="FK75" s="51" t="b">
        <f t="shared" ref="FK75:FN75" si="929">FK29</f>
        <v>0</v>
      </c>
      <c r="FL75" s="51" t="b">
        <f t="shared" si="929"/>
        <v>0</v>
      </c>
      <c r="FM75" s="51" t="b">
        <f t="shared" si="929"/>
        <v>0</v>
      </c>
      <c r="FN75" s="51" t="b">
        <f t="shared" si="929"/>
        <v>0</v>
      </c>
      <c r="FO75" s="51" t="str">
        <f t="shared" si="136"/>
        <v/>
      </c>
      <c r="FP75" s="19" t="str">
        <f t="shared" si="137"/>
        <v/>
      </c>
      <c r="FQ75" s="20" t="str">
        <f t="shared" si="138"/>
        <v/>
      </c>
      <c r="FR75" s="51" t="b">
        <f t="shared" ref="FR75:FU75" si="930">FR29</f>
        <v>0</v>
      </c>
      <c r="FS75" s="51" t="b">
        <f t="shared" si="930"/>
        <v>0</v>
      </c>
      <c r="FT75" s="51" t="b">
        <f t="shared" si="930"/>
        <v>0</v>
      </c>
      <c r="FU75" s="51" t="b">
        <f t="shared" si="930"/>
        <v>0</v>
      </c>
      <c r="FV75" s="20" t="str">
        <f t="shared" si="140"/>
        <v/>
      </c>
      <c r="FW75" s="51" t="str">
        <f t="shared" si="141"/>
        <v/>
      </c>
      <c r="FX75" s="20" t="str">
        <f t="shared" si="142"/>
        <v/>
      </c>
      <c r="FY75" s="51" t="b">
        <f t="shared" ref="FY75:FZ75" si="931">FY29</f>
        <v>0</v>
      </c>
      <c r="FZ75" s="51" t="b">
        <f t="shared" si="931"/>
        <v>0</v>
      </c>
      <c r="GA75" s="51" t="b">
        <f t="shared" ref="GA75:GB75" si="932">GA29</f>
        <v>0</v>
      </c>
      <c r="GB75" s="51" t="b">
        <f t="shared" si="932"/>
        <v>0</v>
      </c>
      <c r="GC75" s="20" t="str">
        <f t="shared" si="143"/>
        <v/>
      </c>
      <c r="GD75" s="51" t="str">
        <f t="shared" si="144"/>
        <v/>
      </c>
      <c r="GE75" s="20" t="str">
        <f t="shared" si="145"/>
        <v/>
      </c>
      <c r="GF75" s="51" t="b">
        <f t="shared" ref="GF75:GI75" si="933">GF29</f>
        <v>0</v>
      </c>
      <c r="GG75" s="51" t="b">
        <f t="shared" si="933"/>
        <v>0</v>
      </c>
      <c r="GH75" s="51" t="b">
        <f t="shared" si="933"/>
        <v>0</v>
      </c>
      <c r="GI75" s="51" t="b">
        <f t="shared" si="933"/>
        <v>0</v>
      </c>
      <c r="GJ75" s="51" t="str">
        <f t="shared" si="147"/>
        <v/>
      </c>
      <c r="GK75" s="19" t="str">
        <f t="shared" si="148"/>
        <v/>
      </c>
      <c r="GL75" s="20" t="str">
        <f t="shared" si="149"/>
        <v/>
      </c>
      <c r="GM75" s="51" t="b">
        <f t="shared" ref="GM75:GP75" si="934">GM29</f>
        <v>0</v>
      </c>
      <c r="GN75" s="51" t="b">
        <f t="shared" si="934"/>
        <v>0</v>
      </c>
      <c r="GO75" s="51" t="b">
        <f t="shared" si="934"/>
        <v>0</v>
      </c>
      <c r="GP75" s="51" t="b">
        <f t="shared" si="934"/>
        <v>0</v>
      </c>
      <c r="GQ75" s="20" t="str">
        <f t="shared" si="151"/>
        <v/>
      </c>
      <c r="GR75" s="51" t="str">
        <f t="shared" si="152"/>
        <v/>
      </c>
      <c r="GS75" s="20" t="str">
        <f t="shared" si="153"/>
        <v/>
      </c>
      <c r="GT75" s="51" t="b">
        <f t="shared" ref="GT75:GU75" si="935">GT29</f>
        <v>0</v>
      </c>
      <c r="GU75" s="51" t="b">
        <f t="shared" si="935"/>
        <v>0</v>
      </c>
      <c r="GV75" s="51" t="b">
        <f t="shared" ref="GV75:GW75" si="936">GV29</f>
        <v>0</v>
      </c>
      <c r="GW75" s="51" t="b">
        <f t="shared" si="936"/>
        <v>0</v>
      </c>
      <c r="GX75" s="20" t="str">
        <f t="shared" si="154"/>
        <v/>
      </c>
      <c r="GY75" s="51" t="str">
        <f t="shared" si="155"/>
        <v/>
      </c>
      <c r="GZ75" s="20" t="str">
        <f t="shared" si="156"/>
        <v/>
      </c>
      <c r="HA75" s="51" t="b">
        <f t="shared" ref="HA75:HD75" si="937">HA29</f>
        <v>0</v>
      </c>
      <c r="HB75" s="51" t="b">
        <f t="shared" si="937"/>
        <v>0</v>
      </c>
      <c r="HC75" s="51" t="b">
        <f t="shared" si="937"/>
        <v>0</v>
      </c>
      <c r="HD75" s="51" t="b">
        <f t="shared" si="937"/>
        <v>0</v>
      </c>
      <c r="HE75" s="51" t="str">
        <f t="shared" si="158"/>
        <v/>
      </c>
      <c r="HF75" s="19" t="str">
        <f t="shared" si="159"/>
        <v/>
      </c>
      <c r="HG75" s="20" t="str">
        <f t="shared" si="160"/>
        <v/>
      </c>
      <c r="HH75" s="51" t="b">
        <f t="shared" ref="HH75:HK75" si="938">HH29</f>
        <v>0</v>
      </c>
      <c r="HI75" s="51" t="b">
        <f t="shared" si="938"/>
        <v>0</v>
      </c>
      <c r="HJ75" s="51" t="b">
        <f t="shared" si="938"/>
        <v>0</v>
      </c>
      <c r="HK75" s="51" t="b">
        <f t="shared" si="938"/>
        <v>0</v>
      </c>
      <c r="HL75" s="20" t="str">
        <f t="shared" si="162"/>
        <v/>
      </c>
      <c r="HM75" s="51" t="str">
        <f t="shared" si="163"/>
        <v/>
      </c>
      <c r="HN75" s="20" t="str">
        <f t="shared" si="164"/>
        <v/>
      </c>
      <c r="HO75" s="51" t="b">
        <f t="shared" ref="HO75:HP75" si="939">HO29</f>
        <v>0</v>
      </c>
      <c r="HP75" s="51" t="b">
        <f t="shared" si="939"/>
        <v>0</v>
      </c>
      <c r="HQ75" s="51" t="b">
        <f t="shared" ref="HQ75:HR75" si="940">HQ29</f>
        <v>0</v>
      </c>
      <c r="HR75" s="51" t="b">
        <f t="shared" si="940"/>
        <v>0</v>
      </c>
      <c r="HS75" s="20" t="str">
        <f t="shared" si="165"/>
        <v/>
      </c>
      <c r="HT75" s="51" t="str">
        <f t="shared" si="166"/>
        <v/>
      </c>
      <c r="HU75" s="20" t="str">
        <f t="shared" si="167"/>
        <v/>
      </c>
      <c r="HV75" s="51" t="b">
        <f t="shared" ref="HV75:HY75" si="941">HV29</f>
        <v>0</v>
      </c>
      <c r="HW75" s="51" t="b">
        <f t="shared" si="941"/>
        <v>0</v>
      </c>
      <c r="HX75" s="51" t="b">
        <f t="shared" si="941"/>
        <v>0</v>
      </c>
      <c r="HY75" s="51" t="b">
        <f t="shared" si="941"/>
        <v>0</v>
      </c>
      <c r="HZ75" s="51" t="str">
        <f t="shared" si="169"/>
        <v/>
      </c>
      <c r="IA75" s="19" t="str">
        <f t="shared" si="170"/>
        <v/>
      </c>
      <c r="IB75" s="20" t="str">
        <f t="shared" si="171"/>
        <v/>
      </c>
      <c r="IC75" s="51" t="b">
        <f t="shared" ref="IC75:IF75" si="942">IC29</f>
        <v>0</v>
      </c>
      <c r="ID75" s="51" t="b">
        <f t="shared" si="942"/>
        <v>0</v>
      </c>
      <c r="IE75" s="51" t="b">
        <f t="shared" si="942"/>
        <v>0</v>
      </c>
      <c r="IF75" s="51" t="b">
        <f t="shared" si="942"/>
        <v>0</v>
      </c>
      <c r="IG75" s="20" t="str">
        <f t="shared" si="173"/>
        <v/>
      </c>
      <c r="IH75" s="51" t="str">
        <f t="shared" si="174"/>
        <v/>
      </c>
      <c r="II75" s="20" t="str">
        <f t="shared" si="175"/>
        <v/>
      </c>
      <c r="IJ75" s="51" t="b">
        <f t="shared" ref="IJ75:IK75" si="943">IJ29</f>
        <v>0</v>
      </c>
      <c r="IK75" s="51" t="b">
        <f t="shared" si="943"/>
        <v>0</v>
      </c>
      <c r="IL75" s="51" t="b">
        <f t="shared" ref="IL75:IM75" si="944">IL29</f>
        <v>0</v>
      </c>
      <c r="IM75" s="51" t="b">
        <f t="shared" si="944"/>
        <v>0</v>
      </c>
      <c r="IN75" s="20" t="str">
        <f t="shared" si="176"/>
        <v/>
      </c>
      <c r="IO75" s="51" t="str">
        <f t="shared" si="177"/>
        <v/>
      </c>
      <c r="IP75" s="20" t="str">
        <f t="shared" si="178"/>
        <v/>
      </c>
      <c r="IQ75" s="51" t="b">
        <f t="shared" ref="IQ75:IT75" si="945">IQ29</f>
        <v>0</v>
      </c>
      <c r="IR75" s="51" t="b">
        <f t="shared" si="945"/>
        <v>0</v>
      </c>
      <c r="IS75" s="51" t="b">
        <f t="shared" si="945"/>
        <v>0</v>
      </c>
      <c r="IT75" s="51" t="b">
        <f t="shared" si="945"/>
        <v>0</v>
      </c>
      <c r="IU75" s="51" t="str">
        <f t="shared" si="180"/>
        <v/>
      </c>
      <c r="IV75" s="116"/>
    </row>
    <row r="76" spans="1:256" x14ac:dyDescent="0.2">
      <c r="C76">
        <v>21</v>
      </c>
      <c r="D76" s="19" t="str">
        <f t="shared" si="48"/>
        <v/>
      </c>
      <c r="E76" s="20" t="str">
        <f t="shared" si="49"/>
        <v/>
      </c>
      <c r="F76" s="51" t="str">
        <f t="shared" si="781"/>
        <v>FALSE</v>
      </c>
      <c r="G76" s="51" t="str">
        <f t="shared" si="781"/>
        <v>FALSE</v>
      </c>
      <c r="H76" s="51" t="str">
        <f t="shared" si="781"/>
        <v>FALSE</v>
      </c>
      <c r="I76" s="51" t="str">
        <f t="shared" si="781"/>
        <v>FALSE</v>
      </c>
      <c r="J76" s="20" t="str">
        <f t="shared" si="51"/>
        <v/>
      </c>
      <c r="K76" s="51" t="str">
        <f t="shared" si="52"/>
        <v/>
      </c>
      <c r="L76" s="20" t="str">
        <f t="shared" si="53"/>
        <v/>
      </c>
      <c r="M76" s="51" t="str">
        <f t="shared" si="825"/>
        <v>FALSE</v>
      </c>
      <c r="N76" s="51" t="str">
        <f t="shared" si="825"/>
        <v>FALSE</v>
      </c>
      <c r="O76" s="51" t="str">
        <f t="shared" si="825"/>
        <v>FALSE</v>
      </c>
      <c r="P76" s="51" t="str">
        <f t="shared" si="825"/>
        <v>FALSE</v>
      </c>
      <c r="Q76" s="20" t="str">
        <f t="shared" si="55"/>
        <v/>
      </c>
      <c r="R76" s="51" t="str">
        <f t="shared" si="56"/>
        <v/>
      </c>
      <c r="S76" s="51" t="str">
        <f t="shared" si="57"/>
        <v/>
      </c>
      <c r="T76" s="51" t="b">
        <f t="shared" si="782"/>
        <v>0</v>
      </c>
      <c r="U76" s="51" t="b">
        <f t="shared" si="782"/>
        <v>0</v>
      </c>
      <c r="V76" s="51" t="b">
        <f t="shared" si="782"/>
        <v>0</v>
      </c>
      <c r="W76" s="51" t="b">
        <f t="shared" si="782"/>
        <v>0</v>
      </c>
      <c r="X76" s="22" t="str">
        <f t="shared" si="59"/>
        <v/>
      </c>
      <c r="Y76" s="19" t="str">
        <f t="shared" si="60"/>
        <v/>
      </c>
      <c r="Z76" s="20" t="str">
        <f t="shared" si="61"/>
        <v/>
      </c>
      <c r="AA76" s="51" t="str">
        <f t="shared" si="783"/>
        <v>FALSE</v>
      </c>
      <c r="AB76" s="51" t="str">
        <f t="shared" si="783"/>
        <v>FALSE</v>
      </c>
      <c r="AC76" s="51" t="str">
        <f t="shared" si="783"/>
        <v>FALSE</v>
      </c>
      <c r="AD76" s="51" t="str">
        <f t="shared" si="783"/>
        <v>FALSE</v>
      </c>
      <c r="AE76" s="20" t="str">
        <f t="shared" si="63"/>
        <v/>
      </c>
      <c r="AF76" s="51" t="str">
        <f t="shared" si="64"/>
        <v/>
      </c>
      <c r="AG76" s="20" t="str">
        <f t="shared" si="65"/>
        <v/>
      </c>
      <c r="AH76" s="51" t="str">
        <f t="shared" ref="AH76:AK76" si="946">AH30</f>
        <v>FALSE</v>
      </c>
      <c r="AI76" s="51" t="str">
        <f t="shared" si="946"/>
        <v>FALSE</v>
      </c>
      <c r="AJ76" s="51" t="str">
        <f t="shared" si="946"/>
        <v>FALSE</v>
      </c>
      <c r="AK76" s="51" t="str">
        <f t="shared" si="946"/>
        <v>FALSE</v>
      </c>
      <c r="AL76" s="20" t="str">
        <f t="shared" si="66"/>
        <v/>
      </c>
      <c r="AM76" s="51" t="str">
        <f t="shared" si="67"/>
        <v/>
      </c>
      <c r="AN76" s="20" t="str">
        <f t="shared" si="68"/>
        <v/>
      </c>
      <c r="AO76" s="51" t="b">
        <f t="shared" si="785"/>
        <v>0</v>
      </c>
      <c r="AP76" s="51" t="b">
        <f t="shared" si="785"/>
        <v>0</v>
      </c>
      <c r="AQ76" s="51" t="b">
        <f t="shared" si="785"/>
        <v>0</v>
      </c>
      <c r="AR76" s="51" t="b">
        <f t="shared" si="785"/>
        <v>0</v>
      </c>
      <c r="AS76" s="51" t="str">
        <f t="shared" si="70"/>
        <v/>
      </c>
      <c r="AT76" s="19" t="str">
        <f t="shared" si="71"/>
        <v/>
      </c>
      <c r="AU76" s="20" t="str">
        <f t="shared" si="72"/>
        <v/>
      </c>
      <c r="AV76" s="51" t="str">
        <f t="shared" ref="AV76:AY76" si="947">AV30</f>
        <v>FALSE</v>
      </c>
      <c r="AW76" s="51" t="str">
        <f t="shared" si="947"/>
        <v>FALSE</v>
      </c>
      <c r="AX76" s="51" t="str">
        <f t="shared" si="947"/>
        <v>FALSE</v>
      </c>
      <c r="AY76" s="51" t="str">
        <f t="shared" si="947"/>
        <v>FALSE</v>
      </c>
      <c r="AZ76" s="20" t="str">
        <f t="shared" si="74"/>
        <v/>
      </c>
      <c r="BA76" s="51" t="str">
        <f t="shared" si="75"/>
        <v/>
      </c>
      <c r="BB76" s="20" t="str">
        <f t="shared" si="76"/>
        <v/>
      </c>
      <c r="BC76" s="51" t="str">
        <f t="shared" ref="BC76:BF76" si="948">BC30</f>
        <v>FALSE</v>
      </c>
      <c r="BD76" s="51" t="str">
        <f t="shared" si="948"/>
        <v>FALSE</v>
      </c>
      <c r="BE76" s="51" t="str">
        <f t="shared" si="948"/>
        <v>FALSE</v>
      </c>
      <c r="BF76" s="51" t="str">
        <f t="shared" si="948"/>
        <v>FALSE</v>
      </c>
      <c r="BG76" s="20" t="str">
        <f t="shared" si="77"/>
        <v/>
      </c>
      <c r="BH76" s="51" t="str">
        <f t="shared" si="78"/>
        <v/>
      </c>
      <c r="BI76" s="20" t="str">
        <f t="shared" si="79"/>
        <v/>
      </c>
      <c r="BJ76" s="51" t="b">
        <f t="shared" ref="BJ76:BM76" si="949">BJ30</f>
        <v>0</v>
      </c>
      <c r="BK76" s="51" t="b">
        <f t="shared" si="949"/>
        <v>0</v>
      </c>
      <c r="BL76" s="51" t="b">
        <f t="shared" si="949"/>
        <v>0</v>
      </c>
      <c r="BM76" s="51" t="b">
        <f t="shared" si="949"/>
        <v>0</v>
      </c>
      <c r="BN76" s="51" t="str">
        <f t="shared" si="81"/>
        <v/>
      </c>
      <c r="BO76" s="19" t="str">
        <f t="shared" si="82"/>
        <v/>
      </c>
      <c r="BP76" s="20" t="str">
        <f t="shared" si="83"/>
        <v/>
      </c>
      <c r="BQ76" s="51" t="b">
        <f t="shared" ref="BQ76:BT76" si="950">BQ30</f>
        <v>0</v>
      </c>
      <c r="BR76" s="51" t="b">
        <f t="shared" si="950"/>
        <v>0</v>
      </c>
      <c r="BS76" s="51" t="b">
        <f t="shared" si="950"/>
        <v>0</v>
      </c>
      <c r="BT76" s="51" t="b">
        <f t="shared" si="950"/>
        <v>0</v>
      </c>
      <c r="BU76" s="20" t="str">
        <f t="shared" si="85"/>
        <v/>
      </c>
      <c r="BV76" s="51" t="str">
        <f t="shared" si="86"/>
        <v/>
      </c>
      <c r="BW76" s="20" t="str">
        <f t="shared" si="87"/>
        <v/>
      </c>
      <c r="BX76" s="51" t="b">
        <f t="shared" ref="BX76:BY76" si="951">BX30</f>
        <v>0</v>
      </c>
      <c r="BY76" s="51" t="b">
        <f t="shared" si="951"/>
        <v>0</v>
      </c>
      <c r="BZ76" s="51" t="b">
        <f t="shared" ref="BZ76:CA76" si="952">BZ30</f>
        <v>0</v>
      </c>
      <c r="CA76" s="51" t="b">
        <f t="shared" si="952"/>
        <v>0</v>
      </c>
      <c r="CB76" s="20" t="str">
        <f t="shared" si="88"/>
        <v/>
      </c>
      <c r="CC76" s="51" t="str">
        <f t="shared" si="89"/>
        <v/>
      </c>
      <c r="CD76" s="20" t="str">
        <f t="shared" si="90"/>
        <v/>
      </c>
      <c r="CE76" s="51" t="b">
        <f t="shared" ref="CE76:CH76" si="953">CE30</f>
        <v>0</v>
      </c>
      <c r="CF76" s="51" t="b">
        <f t="shared" si="953"/>
        <v>0</v>
      </c>
      <c r="CG76" s="51" t="b">
        <f t="shared" si="953"/>
        <v>0</v>
      </c>
      <c r="CH76" s="51" t="b">
        <f t="shared" si="953"/>
        <v>0</v>
      </c>
      <c r="CI76" s="51" t="str">
        <f t="shared" si="92"/>
        <v/>
      </c>
      <c r="CJ76" s="19" t="str">
        <f t="shared" si="93"/>
        <v/>
      </c>
      <c r="CK76" s="20" t="str">
        <f t="shared" si="94"/>
        <v/>
      </c>
      <c r="CL76" s="51" t="b">
        <f t="shared" ref="CL76:CO76" si="954">CL30</f>
        <v>0</v>
      </c>
      <c r="CM76" s="51" t="b">
        <f t="shared" si="954"/>
        <v>0</v>
      </c>
      <c r="CN76" s="51" t="b">
        <f t="shared" si="954"/>
        <v>0</v>
      </c>
      <c r="CO76" s="51" t="b">
        <f t="shared" si="954"/>
        <v>0</v>
      </c>
      <c r="CP76" s="20" t="str">
        <f t="shared" si="96"/>
        <v/>
      </c>
      <c r="CQ76" s="51" t="str">
        <f t="shared" si="97"/>
        <v/>
      </c>
      <c r="CR76" s="20" t="str">
        <f t="shared" si="98"/>
        <v/>
      </c>
      <c r="CS76" s="51" t="b">
        <f t="shared" ref="CS76:CT76" si="955">CS30</f>
        <v>0</v>
      </c>
      <c r="CT76" s="51" t="b">
        <f t="shared" si="955"/>
        <v>0</v>
      </c>
      <c r="CU76" s="51" t="b">
        <f t="shared" ref="CU76:CV76" si="956">CU30</f>
        <v>0</v>
      </c>
      <c r="CV76" s="51" t="b">
        <f t="shared" si="956"/>
        <v>0</v>
      </c>
      <c r="CW76" s="20" t="str">
        <f t="shared" si="99"/>
        <v/>
      </c>
      <c r="CX76" s="51" t="str">
        <f t="shared" si="100"/>
        <v/>
      </c>
      <c r="CY76" s="20" t="str">
        <f t="shared" si="101"/>
        <v/>
      </c>
      <c r="CZ76" s="51" t="b">
        <f t="shared" ref="CZ76:DC76" si="957">CZ30</f>
        <v>0</v>
      </c>
      <c r="DA76" s="51" t="b">
        <f t="shared" si="957"/>
        <v>0</v>
      </c>
      <c r="DB76" s="51" t="b">
        <f t="shared" si="957"/>
        <v>0</v>
      </c>
      <c r="DC76" s="51" t="b">
        <f t="shared" si="957"/>
        <v>0</v>
      </c>
      <c r="DD76" s="51" t="str">
        <f t="shared" si="103"/>
        <v/>
      </c>
      <c r="DE76" s="19" t="str">
        <f t="shared" si="104"/>
        <v/>
      </c>
      <c r="DF76" s="20" t="str">
        <f t="shared" si="105"/>
        <v/>
      </c>
      <c r="DG76" s="51" t="b">
        <f t="shared" ref="DG76:DJ76" si="958">DG30</f>
        <v>0</v>
      </c>
      <c r="DH76" s="51" t="b">
        <f t="shared" si="958"/>
        <v>0</v>
      </c>
      <c r="DI76" s="51" t="b">
        <f t="shared" si="958"/>
        <v>0</v>
      </c>
      <c r="DJ76" s="51" t="b">
        <f t="shared" si="958"/>
        <v>0</v>
      </c>
      <c r="DK76" s="20" t="str">
        <f t="shared" si="107"/>
        <v/>
      </c>
      <c r="DL76" s="51" t="str">
        <f t="shared" si="108"/>
        <v/>
      </c>
      <c r="DM76" s="20" t="str">
        <f t="shared" si="109"/>
        <v/>
      </c>
      <c r="DN76" s="51" t="b">
        <f t="shared" ref="DN76:DO76" si="959">DN30</f>
        <v>0</v>
      </c>
      <c r="DO76" s="51" t="b">
        <f t="shared" si="959"/>
        <v>0</v>
      </c>
      <c r="DP76" s="51" t="b">
        <f t="shared" ref="DP76:DQ76" si="960">DP30</f>
        <v>0</v>
      </c>
      <c r="DQ76" s="51" t="b">
        <f t="shared" si="960"/>
        <v>0</v>
      </c>
      <c r="DR76" s="20" t="str">
        <f t="shared" si="110"/>
        <v/>
      </c>
      <c r="DS76" s="51" t="str">
        <f t="shared" si="111"/>
        <v/>
      </c>
      <c r="DT76" s="20" t="str">
        <f t="shared" si="112"/>
        <v/>
      </c>
      <c r="DU76" s="51" t="b">
        <f t="shared" ref="DU76:DX76" si="961">DU30</f>
        <v>0</v>
      </c>
      <c r="DV76" s="51" t="b">
        <f t="shared" si="961"/>
        <v>0</v>
      </c>
      <c r="DW76" s="51" t="b">
        <f t="shared" si="961"/>
        <v>0</v>
      </c>
      <c r="DX76" s="51" t="b">
        <f t="shared" si="961"/>
        <v>0</v>
      </c>
      <c r="DY76" s="51" t="str">
        <f t="shared" si="114"/>
        <v/>
      </c>
      <c r="DZ76" s="19" t="str">
        <f t="shared" si="115"/>
        <v/>
      </c>
      <c r="EA76" s="20" t="str">
        <f t="shared" si="116"/>
        <v/>
      </c>
      <c r="EB76" s="51" t="b">
        <f t="shared" ref="EB76:EE76" si="962">EB30</f>
        <v>0</v>
      </c>
      <c r="EC76" s="51" t="b">
        <f t="shared" si="962"/>
        <v>0</v>
      </c>
      <c r="ED76" s="51" t="b">
        <f t="shared" si="962"/>
        <v>0</v>
      </c>
      <c r="EE76" s="51" t="b">
        <f t="shared" si="962"/>
        <v>0</v>
      </c>
      <c r="EF76" s="20" t="str">
        <f t="shared" si="118"/>
        <v/>
      </c>
      <c r="EG76" s="51" t="str">
        <f t="shared" si="119"/>
        <v/>
      </c>
      <c r="EH76" s="20" t="str">
        <f t="shared" si="120"/>
        <v/>
      </c>
      <c r="EI76" s="51" t="b">
        <f t="shared" ref="EI76:EJ76" si="963">EI30</f>
        <v>0</v>
      </c>
      <c r="EJ76" s="51" t="b">
        <f t="shared" si="963"/>
        <v>0</v>
      </c>
      <c r="EK76" s="51" t="b">
        <f t="shared" ref="EK76:EL76" si="964">EK30</f>
        <v>0</v>
      </c>
      <c r="EL76" s="51" t="b">
        <f t="shared" si="964"/>
        <v>0</v>
      </c>
      <c r="EM76" s="20" t="str">
        <f t="shared" si="121"/>
        <v/>
      </c>
      <c r="EN76" s="51" t="str">
        <f t="shared" si="122"/>
        <v/>
      </c>
      <c r="EO76" s="20" t="str">
        <f t="shared" si="123"/>
        <v/>
      </c>
      <c r="EP76" s="51" t="b">
        <f t="shared" ref="EP76:ES76" si="965">EP30</f>
        <v>0</v>
      </c>
      <c r="EQ76" s="51" t="b">
        <f t="shared" si="965"/>
        <v>0</v>
      </c>
      <c r="ER76" s="51" t="b">
        <f t="shared" si="965"/>
        <v>0</v>
      </c>
      <c r="ES76" s="51" t="b">
        <f t="shared" si="965"/>
        <v>0</v>
      </c>
      <c r="ET76" s="51" t="str">
        <f t="shared" si="125"/>
        <v/>
      </c>
      <c r="EU76" s="19" t="str">
        <f t="shared" si="126"/>
        <v/>
      </c>
      <c r="EV76" s="20" t="str">
        <f t="shared" si="127"/>
        <v/>
      </c>
      <c r="EW76" s="51" t="b">
        <f t="shared" ref="EW76:EZ76" si="966">EW30</f>
        <v>0</v>
      </c>
      <c r="EX76" s="51" t="b">
        <f t="shared" si="966"/>
        <v>0</v>
      </c>
      <c r="EY76" s="51" t="b">
        <f t="shared" si="966"/>
        <v>0</v>
      </c>
      <c r="EZ76" s="51" t="b">
        <f t="shared" si="966"/>
        <v>0</v>
      </c>
      <c r="FA76" s="20" t="str">
        <f t="shared" si="129"/>
        <v/>
      </c>
      <c r="FB76" s="51" t="str">
        <f t="shared" si="130"/>
        <v/>
      </c>
      <c r="FC76" s="20" t="str">
        <f t="shared" si="131"/>
        <v/>
      </c>
      <c r="FD76" s="51" t="b">
        <f t="shared" ref="FD76:FE76" si="967">FD30</f>
        <v>0</v>
      </c>
      <c r="FE76" s="51" t="b">
        <f t="shared" si="967"/>
        <v>0</v>
      </c>
      <c r="FF76" s="51" t="b">
        <f t="shared" ref="FF76:FG76" si="968">FF30</f>
        <v>0</v>
      </c>
      <c r="FG76" s="51" t="b">
        <f t="shared" si="968"/>
        <v>0</v>
      </c>
      <c r="FH76" s="20" t="str">
        <f t="shared" si="132"/>
        <v/>
      </c>
      <c r="FI76" s="51" t="str">
        <f t="shared" si="133"/>
        <v/>
      </c>
      <c r="FJ76" s="20" t="str">
        <f t="shared" si="134"/>
        <v/>
      </c>
      <c r="FK76" s="51" t="b">
        <f t="shared" ref="FK76:FN76" si="969">FK30</f>
        <v>0</v>
      </c>
      <c r="FL76" s="51" t="b">
        <f t="shared" si="969"/>
        <v>0</v>
      </c>
      <c r="FM76" s="51" t="b">
        <f t="shared" si="969"/>
        <v>0</v>
      </c>
      <c r="FN76" s="51" t="b">
        <f t="shared" si="969"/>
        <v>0</v>
      </c>
      <c r="FO76" s="51" t="str">
        <f t="shared" si="136"/>
        <v/>
      </c>
      <c r="FP76" s="19" t="str">
        <f t="shared" si="137"/>
        <v/>
      </c>
      <c r="FQ76" s="20" t="str">
        <f t="shared" si="138"/>
        <v/>
      </c>
      <c r="FR76" s="51" t="b">
        <f t="shared" ref="FR76:FU76" si="970">FR30</f>
        <v>0</v>
      </c>
      <c r="FS76" s="51" t="b">
        <f t="shared" si="970"/>
        <v>0</v>
      </c>
      <c r="FT76" s="51" t="b">
        <f t="shared" si="970"/>
        <v>0</v>
      </c>
      <c r="FU76" s="51" t="b">
        <f t="shared" si="970"/>
        <v>0</v>
      </c>
      <c r="FV76" s="20" t="str">
        <f t="shared" si="140"/>
        <v/>
      </c>
      <c r="FW76" s="51" t="str">
        <f t="shared" si="141"/>
        <v/>
      </c>
      <c r="FX76" s="20" t="str">
        <f t="shared" si="142"/>
        <v/>
      </c>
      <c r="FY76" s="51" t="b">
        <f t="shared" ref="FY76:FZ76" si="971">FY30</f>
        <v>0</v>
      </c>
      <c r="FZ76" s="51" t="b">
        <f t="shared" si="971"/>
        <v>0</v>
      </c>
      <c r="GA76" s="51" t="b">
        <f t="shared" ref="GA76:GB76" si="972">GA30</f>
        <v>0</v>
      </c>
      <c r="GB76" s="51" t="b">
        <f t="shared" si="972"/>
        <v>0</v>
      </c>
      <c r="GC76" s="20" t="str">
        <f t="shared" si="143"/>
        <v/>
      </c>
      <c r="GD76" s="51" t="str">
        <f t="shared" si="144"/>
        <v/>
      </c>
      <c r="GE76" s="20" t="str">
        <f t="shared" si="145"/>
        <v/>
      </c>
      <c r="GF76" s="51" t="b">
        <f t="shared" ref="GF76:GI76" si="973">GF30</f>
        <v>0</v>
      </c>
      <c r="GG76" s="51" t="b">
        <f t="shared" si="973"/>
        <v>0</v>
      </c>
      <c r="GH76" s="51" t="b">
        <f t="shared" si="973"/>
        <v>0</v>
      </c>
      <c r="GI76" s="51" t="b">
        <f t="shared" si="973"/>
        <v>0</v>
      </c>
      <c r="GJ76" s="51" t="str">
        <f t="shared" si="147"/>
        <v/>
      </c>
      <c r="GK76" s="19" t="str">
        <f t="shared" si="148"/>
        <v/>
      </c>
      <c r="GL76" s="20" t="str">
        <f t="shared" si="149"/>
        <v/>
      </c>
      <c r="GM76" s="51" t="b">
        <f t="shared" ref="GM76:GP76" si="974">GM30</f>
        <v>0</v>
      </c>
      <c r="GN76" s="51" t="b">
        <f t="shared" si="974"/>
        <v>0</v>
      </c>
      <c r="GO76" s="51" t="b">
        <f t="shared" si="974"/>
        <v>0</v>
      </c>
      <c r="GP76" s="51" t="b">
        <f t="shared" si="974"/>
        <v>0</v>
      </c>
      <c r="GQ76" s="20" t="str">
        <f t="shared" si="151"/>
        <v/>
      </c>
      <c r="GR76" s="51" t="str">
        <f t="shared" si="152"/>
        <v/>
      </c>
      <c r="GS76" s="20" t="str">
        <f t="shared" si="153"/>
        <v/>
      </c>
      <c r="GT76" s="51" t="b">
        <f t="shared" ref="GT76:GU76" si="975">GT30</f>
        <v>0</v>
      </c>
      <c r="GU76" s="51" t="b">
        <f t="shared" si="975"/>
        <v>0</v>
      </c>
      <c r="GV76" s="51" t="b">
        <f t="shared" ref="GV76:GW76" si="976">GV30</f>
        <v>0</v>
      </c>
      <c r="GW76" s="51" t="b">
        <f t="shared" si="976"/>
        <v>0</v>
      </c>
      <c r="GX76" s="20" t="str">
        <f t="shared" si="154"/>
        <v/>
      </c>
      <c r="GY76" s="51" t="str">
        <f t="shared" si="155"/>
        <v/>
      </c>
      <c r="GZ76" s="20" t="str">
        <f t="shared" si="156"/>
        <v/>
      </c>
      <c r="HA76" s="51" t="b">
        <f t="shared" ref="HA76:HD76" si="977">HA30</f>
        <v>0</v>
      </c>
      <c r="HB76" s="51" t="b">
        <f t="shared" si="977"/>
        <v>0</v>
      </c>
      <c r="HC76" s="51" t="b">
        <f t="shared" si="977"/>
        <v>0</v>
      </c>
      <c r="HD76" s="51" t="b">
        <f t="shared" si="977"/>
        <v>0</v>
      </c>
      <c r="HE76" s="51" t="str">
        <f t="shared" si="158"/>
        <v/>
      </c>
      <c r="HF76" s="19" t="str">
        <f t="shared" si="159"/>
        <v/>
      </c>
      <c r="HG76" s="20" t="str">
        <f t="shared" si="160"/>
        <v/>
      </c>
      <c r="HH76" s="51" t="b">
        <f t="shared" ref="HH76:HK76" si="978">HH30</f>
        <v>0</v>
      </c>
      <c r="HI76" s="51" t="b">
        <f t="shared" si="978"/>
        <v>0</v>
      </c>
      <c r="HJ76" s="51" t="b">
        <f t="shared" si="978"/>
        <v>0</v>
      </c>
      <c r="HK76" s="51" t="b">
        <f t="shared" si="978"/>
        <v>0</v>
      </c>
      <c r="HL76" s="20" t="str">
        <f t="shared" si="162"/>
        <v/>
      </c>
      <c r="HM76" s="51" t="str">
        <f t="shared" si="163"/>
        <v/>
      </c>
      <c r="HN76" s="20" t="str">
        <f t="shared" si="164"/>
        <v/>
      </c>
      <c r="HO76" s="51" t="b">
        <f t="shared" ref="HO76:HP76" si="979">HO30</f>
        <v>0</v>
      </c>
      <c r="HP76" s="51" t="b">
        <f t="shared" si="979"/>
        <v>0</v>
      </c>
      <c r="HQ76" s="51" t="b">
        <f t="shared" ref="HQ76:HR76" si="980">HQ30</f>
        <v>0</v>
      </c>
      <c r="HR76" s="51" t="b">
        <f t="shared" si="980"/>
        <v>0</v>
      </c>
      <c r="HS76" s="20" t="str">
        <f t="shared" si="165"/>
        <v/>
      </c>
      <c r="HT76" s="51" t="str">
        <f t="shared" si="166"/>
        <v/>
      </c>
      <c r="HU76" s="20" t="str">
        <f t="shared" si="167"/>
        <v/>
      </c>
      <c r="HV76" s="51" t="b">
        <f t="shared" ref="HV76:HY76" si="981">HV30</f>
        <v>0</v>
      </c>
      <c r="HW76" s="51" t="b">
        <f t="shared" si="981"/>
        <v>0</v>
      </c>
      <c r="HX76" s="51" t="b">
        <f t="shared" si="981"/>
        <v>0</v>
      </c>
      <c r="HY76" s="51" t="b">
        <f t="shared" si="981"/>
        <v>0</v>
      </c>
      <c r="HZ76" s="51" t="str">
        <f t="shared" si="169"/>
        <v/>
      </c>
      <c r="IA76" s="19" t="str">
        <f t="shared" si="170"/>
        <v/>
      </c>
      <c r="IB76" s="20" t="str">
        <f t="shared" si="171"/>
        <v/>
      </c>
      <c r="IC76" s="51" t="b">
        <f t="shared" ref="IC76:IF76" si="982">IC30</f>
        <v>0</v>
      </c>
      <c r="ID76" s="51" t="b">
        <f t="shared" si="982"/>
        <v>0</v>
      </c>
      <c r="IE76" s="51" t="b">
        <f t="shared" si="982"/>
        <v>0</v>
      </c>
      <c r="IF76" s="51" t="b">
        <f t="shared" si="982"/>
        <v>0</v>
      </c>
      <c r="IG76" s="20" t="str">
        <f t="shared" si="173"/>
        <v/>
      </c>
      <c r="IH76" s="51" t="str">
        <f t="shared" si="174"/>
        <v/>
      </c>
      <c r="II76" s="20" t="str">
        <f t="shared" si="175"/>
        <v/>
      </c>
      <c r="IJ76" s="51" t="b">
        <f t="shared" ref="IJ76:IK76" si="983">IJ30</f>
        <v>0</v>
      </c>
      <c r="IK76" s="51" t="b">
        <f t="shared" si="983"/>
        <v>0</v>
      </c>
      <c r="IL76" s="51" t="b">
        <f t="shared" ref="IL76:IM76" si="984">IL30</f>
        <v>0</v>
      </c>
      <c r="IM76" s="51" t="b">
        <f t="shared" si="984"/>
        <v>0</v>
      </c>
      <c r="IN76" s="20" t="str">
        <f t="shared" si="176"/>
        <v/>
      </c>
      <c r="IO76" s="51" t="str">
        <f t="shared" si="177"/>
        <v/>
      </c>
      <c r="IP76" s="20" t="str">
        <f t="shared" si="178"/>
        <v/>
      </c>
      <c r="IQ76" s="51" t="b">
        <f t="shared" ref="IQ76:IT76" si="985">IQ30</f>
        <v>0</v>
      </c>
      <c r="IR76" s="51" t="b">
        <f t="shared" si="985"/>
        <v>0</v>
      </c>
      <c r="IS76" s="51" t="b">
        <f t="shared" si="985"/>
        <v>0</v>
      </c>
      <c r="IT76" s="51" t="b">
        <f t="shared" si="985"/>
        <v>0</v>
      </c>
      <c r="IU76" s="51" t="str">
        <f t="shared" si="180"/>
        <v/>
      </c>
      <c r="IV76" s="116"/>
    </row>
    <row r="77" spans="1:256" x14ac:dyDescent="0.2">
      <c r="C77">
        <v>22</v>
      </c>
      <c r="D77" s="19" t="str">
        <f t="shared" si="48"/>
        <v/>
      </c>
      <c r="E77" s="20" t="str">
        <f t="shared" si="49"/>
        <v/>
      </c>
      <c r="F77" s="51" t="str">
        <f t="shared" si="781"/>
        <v>FALSE</v>
      </c>
      <c r="G77" s="51" t="str">
        <f t="shared" si="781"/>
        <v>FALSE</v>
      </c>
      <c r="H77" s="51" t="str">
        <f t="shared" si="781"/>
        <v>FALSE</v>
      </c>
      <c r="I77" s="51" t="str">
        <f t="shared" si="781"/>
        <v>FALSE</v>
      </c>
      <c r="J77" s="20" t="str">
        <f t="shared" si="51"/>
        <v/>
      </c>
      <c r="K77" s="51" t="str">
        <f t="shared" si="52"/>
        <v/>
      </c>
      <c r="L77" s="20" t="str">
        <f t="shared" si="53"/>
        <v/>
      </c>
      <c r="M77" s="51" t="str">
        <f t="shared" si="825"/>
        <v>FALSE</v>
      </c>
      <c r="N77" s="51" t="str">
        <f t="shared" si="825"/>
        <v>FALSE</v>
      </c>
      <c r="O77" s="51" t="str">
        <f t="shared" si="825"/>
        <v>FALSE</v>
      </c>
      <c r="P77" s="51" t="str">
        <f t="shared" si="825"/>
        <v>FALSE</v>
      </c>
      <c r="Q77" s="20" t="str">
        <f t="shared" si="55"/>
        <v/>
      </c>
      <c r="R77" s="51" t="str">
        <f t="shared" si="56"/>
        <v/>
      </c>
      <c r="S77" s="51" t="str">
        <f t="shared" si="57"/>
        <v/>
      </c>
      <c r="T77" s="51" t="b">
        <f t="shared" si="782"/>
        <v>0</v>
      </c>
      <c r="U77" s="51" t="b">
        <f t="shared" si="782"/>
        <v>0</v>
      </c>
      <c r="V77" s="51" t="b">
        <f t="shared" si="782"/>
        <v>0</v>
      </c>
      <c r="W77" s="51" t="b">
        <f t="shared" si="782"/>
        <v>0</v>
      </c>
      <c r="X77" s="22" t="str">
        <f t="shared" si="59"/>
        <v/>
      </c>
      <c r="Y77" s="19" t="str">
        <f t="shared" si="60"/>
        <v/>
      </c>
      <c r="Z77" s="20" t="str">
        <f t="shared" si="61"/>
        <v/>
      </c>
      <c r="AA77" s="51" t="str">
        <f t="shared" si="783"/>
        <v>FALSE</v>
      </c>
      <c r="AB77" s="51" t="str">
        <f t="shared" si="783"/>
        <v>FALSE</v>
      </c>
      <c r="AC77" s="51" t="str">
        <f t="shared" si="783"/>
        <v>FALSE</v>
      </c>
      <c r="AD77" s="51" t="str">
        <f t="shared" si="783"/>
        <v>FALSE</v>
      </c>
      <c r="AE77" s="20" t="str">
        <f t="shared" si="63"/>
        <v/>
      </c>
      <c r="AF77" s="51" t="str">
        <f t="shared" si="64"/>
        <v/>
      </c>
      <c r="AG77" s="20" t="str">
        <f t="shared" si="65"/>
        <v/>
      </c>
      <c r="AH77" s="51" t="str">
        <f t="shared" ref="AH77:AK77" si="986">AH31</f>
        <v>FALSE</v>
      </c>
      <c r="AI77" s="51" t="str">
        <f t="shared" si="986"/>
        <v>FALSE</v>
      </c>
      <c r="AJ77" s="51" t="str">
        <f t="shared" si="986"/>
        <v>FALSE</v>
      </c>
      <c r="AK77" s="51" t="str">
        <f t="shared" si="986"/>
        <v>FALSE</v>
      </c>
      <c r="AL77" s="20" t="str">
        <f t="shared" si="66"/>
        <v/>
      </c>
      <c r="AM77" s="51" t="str">
        <f t="shared" si="67"/>
        <v/>
      </c>
      <c r="AN77" s="20" t="str">
        <f t="shared" si="68"/>
        <v/>
      </c>
      <c r="AO77" s="51" t="b">
        <f t="shared" si="785"/>
        <v>0</v>
      </c>
      <c r="AP77" s="51" t="b">
        <f t="shared" si="785"/>
        <v>0</v>
      </c>
      <c r="AQ77" s="51" t="b">
        <f t="shared" si="785"/>
        <v>0</v>
      </c>
      <c r="AR77" s="51" t="b">
        <f t="shared" si="785"/>
        <v>0</v>
      </c>
      <c r="AS77" s="51" t="str">
        <f t="shared" si="70"/>
        <v/>
      </c>
      <c r="AT77" s="19" t="str">
        <f t="shared" si="71"/>
        <v/>
      </c>
      <c r="AU77" s="20" t="str">
        <f t="shared" si="72"/>
        <v/>
      </c>
      <c r="AV77" s="51" t="str">
        <f t="shared" ref="AV77:AY77" si="987">AV31</f>
        <v>FALSE</v>
      </c>
      <c r="AW77" s="51" t="str">
        <f t="shared" si="987"/>
        <v>FALSE</v>
      </c>
      <c r="AX77" s="51" t="str">
        <f t="shared" si="987"/>
        <v>FALSE</v>
      </c>
      <c r="AY77" s="51" t="str">
        <f t="shared" si="987"/>
        <v>FALSE</v>
      </c>
      <c r="AZ77" s="20" t="str">
        <f t="shared" si="74"/>
        <v/>
      </c>
      <c r="BA77" s="51" t="str">
        <f t="shared" si="75"/>
        <v/>
      </c>
      <c r="BB77" s="20" t="str">
        <f t="shared" si="76"/>
        <v/>
      </c>
      <c r="BC77" s="51" t="str">
        <f t="shared" ref="BC77:BF77" si="988">BC31</f>
        <v>FALSE</v>
      </c>
      <c r="BD77" s="51" t="str">
        <f t="shared" si="988"/>
        <v>FALSE</v>
      </c>
      <c r="BE77" s="51" t="str">
        <f t="shared" si="988"/>
        <v>FALSE</v>
      </c>
      <c r="BF77" s="51" t="str">
        <f t="shared" si="988"/>
        <v>FALSE</v>
      </c>
      <c r="BG77" s="20" t="str">
        <f t="shared" si="77"/>
        <v/>
      </c>
      <c r="BH77" s="51" t="str">
        <f t="shared" si="78"/>
        <v/>
      </c>
      <c r="BI77" s="20" t="str">
        <f t="shared" si="79"/>
        <v/>
      </c>
      <c r="BJ77" s="51" t="b">
        <f t="shared" ref="BJ77:BM77" si="989">BJ31</f>
        <v>0</v>
      </c>
      <c r="BK77" s="51" t="b">
        <f t="shared" si="989"/>
        <v>0</v>
      </c>
      <c r="BL77" s="51" t="b">
        <f t="shared" si="989"/>
        <v>0</v>
      </c>
      <c r="BM77" s="51" t="b">
        <f t="shared" si="989"/>
        <v>0</v>
      </c>
      <c r="BN77" s="51" t="str">
        <f t="shared" si="81"/>
        <v/>
      </c>
      <c r="BO77" s="19" t="str">
        <f t="shared" si="82"/>
        <v/>
      </c>
      <c r="BP77" s="20" t="str">
        <f t="shared" si="83"/>
        <v/>
      </c>
      <c r="BQ77" s="51" t="b">
        <f t="shared" ref="BQ77:BT77" si="990">BQ31</f>
        <v>0</v>
      </c>
      <c r="BR77" s="51" t="b">
        <f t="shared" si="990"/>
        <v>0</v>
      </c>
      <c r="BS77" s="51" t="b">
        <f t="shared" si="990"/>
        <v>0</v>
      </c>
      <c r="BT77" s="51" t="b">
        <f t="shared" si="990"/>
        <v>0</v>
      </c>
      <c r="BU77" s="20" t="str">
        <f t="shared" si="85"/>
        <v/>
      </c>
      <c r="BV77" s="51" t="str">
        <f t="shared" si="86"/>
        <v/>
      </c>
      <c r="BW77" s="20" t="str">
        <f t="shared" si="87"/>
        <v/>
      </c>
      <c r="BX77" s="51" t="b">
        <f t="shared" ref="BX77:BY77" si="991">BX31</f>
        <v>0</v>
      </c>
      <c r="BY77" s="51" t="b">
        <f t="shared" si="991"/>
        <v>0</v>
      </c>
      <c r="BZ77" s="51" t="b">
        <f t="shared" ref="BZ77:CA77" si="992">BZ31</f>
        <v>0</v>
      </c>
      <c r="CA77" s="51" t="b">
        <f t="shared" si="992"/>
        <v>0</v>
      </c>
      <c r="CB77" s="20" t="str">
        <f t="shared" si="88"/>
        <v/>
      </c>
      <c r="CC77" s="51" t="str">
        <f t="shared" si="89"/>
        <v/>
      </c>
      <c r="CD77" s="20" t="str">
        <f t="shared" si="90"/>
        <v/>
      </c>
      <c r="CE77" s="51" t="b">
        <f t="shared" ref="CE77:CH77" si="993">CE31</f>
        <v>0</v>
      </c>
      <c r="CF77" s="51" t="b">
        <f t="shared" si="993"/>
        <v>0</v>
      </c>
      <c r="CG77" s="51" t="b">
        <f t="shared" si="993"/>
        <v>0</v>
      </c>
      <c r="CH77" s="51" t="b">
        <f t="shared" si="993"/>
        <v>0</v>
      </c>
      <c r="CI77" s="51" t="str">
        <f t="shared" si="92"/>
        <v/>
      </c>
      <c r="CJ77" s="19" t="str">
        <f t="shared" si="93"/>
        <v/>
      </c>
      <c r="CK77" s="20" t="str">
        <f t="shared" si="94"/>
        <v/>
      </c>
      <c r="CL77" s="51" t="b">
        <f t="shared" ref="CL77:CO77" si="994">CL31</f>
        <v>0</v>
      </c>
      <c r="CM77" s="51" t="b">
        <f t="shared" si="994"/>
        <v>0</v>
      </c>
      <c r="CN77" s="51" t="b">
        <f t="shared" si="994"/>
        <v>0</v>
      </c>
      <c r="CO77" s="51" t="b">
        <f t="shared" si="994"/>
        <v>0</v>
      </c>
      <c r="CP77" s="20" t="str">
        <f t="shared" si="96"/>
        <v/>
      </c>
      <c r="CQ77" s="51" t="str">
        <f t="shared" si="97"/>
        <v/>
      </c>
      <c r="CR77" s="20" t="str">
        <f t="shared" si="98"/>
        <v/>
      </c>
      <c r="CS77" s="51" t="b">
        <f t="shared" ref="CS77:CT77" si="995">CS31</f>
        <v>0</v>
      </c>
      <c r="CT77" s="51" t="b">
        <f t="shared" si="995"/>
        <v>0</v>
      </c>
      <c r="CU77" s="51" t="b">
        <f t="shared" ref="CU77:CV77" si="996">CU31</f>
        <v>0</v>
      </c>
      <c r="CV77" s="51" t="b">
        <f t="shared" si="996"/>
        <v>0</v>
      </c>
      <c r="CW77" s="20" t="str">
        <f t="shared" si="99"/>
        <v/>
      </c>
      <c r="CX77" s="51" t="str">
        <f t="shared" si="100"/>
        <v/>
      </c>
      <c r="CY77" s="20" t="str">
        <f t="shared" si="101"/>
        <v/>
      </c>
      <c r="CZ77" s="51" t="b">
        <f t="shared" ref="CZ77:DC77" si="997">CZ31</f>
        <v>0</v>
      </c>
      <c r="DA77" s="51" t="b">
        <f t="shared" si="997"/>
        <v>0</v>
      </c>
      <c r="DB77" s="51" t="b">
        <f t="shared" si="997"/>
        <v>0</v>
      </c>
      <c r="DC77" s="51" t="b">
        <f t="shared" si="997"/>
        <v>0</v>
      </c>
      <c r="DD77" s="51" t="str">
        <f t="shared" si="103"/>
        <v/>
      </c>
      <c r="DE77" s="19" t="str">
        <f t="shared" si="104"/>
        <v/>
      </c>
      <c r="DF77" s="20" t="str">
        <f t="shared" si="105"/>
        <v/>
      </c>
      <c r="DG77" s="51" t="b">
        <f t="shared" ref="DG77:DJ77" si="998">DG31</f>
        <v>0</v>
      </c>
      <c r="DH77" s="51" t="b">
        <f t="shared" si="998"/>
        <v>0</v>
      </c>
      <c r="DI77" s="51" t="b">
        <f t="shared" si="998"/>
        <v>0</v>
      </c>
      <c r="DJ77" s="51" t="b">
        <f t="shared" si="998"/>
        <v>0</v>
      </c>
      <c r="DK77" s="20" t="str">
        <f t="shared" si="107"/>
        <v/>
      </c>
      <c r="DL77" s="51" t="str">
        <f t="shared" si="108"/>
        <v/>
      </c>
      <c r="DM77" s="20" t="str">
        <f t="shared" si="109"/>
        <v/>
      </c>
      <c r="DN77" s="51" t="b">
        <f t="shared" ref="DN77:DO77" si="999">DN31</f>
        <v>0</v>
      </c>
      <c r="DO77" s="51" t="b">
        <f t="shared" si="999"/>
        <v>0</v>
      </c>
      <c r="DP77" s="51" t="b">
        <f t="shared" ref="DP77:DQ77" si="1000">DP31</f>
        <v>0</v>
      </c>
      <c r="DQ77" s="51" t="b">
        <f t="shared" si="1000"/>
        <v>0</v>
      </c>
      <c r="DR77" s="20" t="str">
        <f t="shared" si="110"/>
        <v/>
      </c>
      <c r="DS77" s="51" t="str">
        <f t="shared" si="111"/>
        <v/>
      </c>
      <c r="DT77" s="20" t="str">
        <f t="shared" si="112"/>
        <v/>
      </c>
      <c r="DU77" s="51" t="b">
        <f t="shared" ref="DU77:DX77" si="1001">DU31</f>
        <v>0</v>
      </c>
      <c r="DV77" s="51" t="b">
        <f t="shared" si="1001"/>
        <v>0</v>
      </c>
      <c r="DW77" s="51" t="b">
        <f t="shared" si="1001"/>
        <v>0</v>
      </c>
      <c r="DX77" s="51" t="b">
        <f t="shared" si="1001"/>
        <v>0</v>
      </c>
      <c r="DY77" s="51" t="str">
        <f t="shared" si="114"/>
        <v/>
      </c>
      <c r="DZ77" s="19" t="str">
        <f t="shared" si="115"/>
        <v/>
      </c>
      <c r="EA77" s="20" t="str">
        <f t="shared" si="116"/>
        <v/>
      </c>
      <c r="EB77" s="51" t="b">
        <f t="shared" ref="EB77:EE77" si="1002">EB31</f>
        <v>0</v>
      </c>
      <c r="EC77" s="51" t="b">
        <f t="shared" si="1002"/>
        <v>0</v>
      </c>
      <c r="ED77" s="51" t="b">
        <f t="shared" si="1002"/>
        <v>0</v>
      </c>
      <c r="EE77" s="51" t="b">
        <f t="shared" si="1002"/>
        <v>0</v>
      </c>
      <c r="EF77" s="20" t="str">
        <f t="shared" si="118"/>
        <v/>
      </c>
      <c r="EG77" s="51" t="str">
        <f t="shared" si="119"/>
        <v/>
      </c>
      <c r="EH77" s="20" t="str">
        <f t="shared" si="120"/>
        <v/>
      </c>
      <c r="EI77" s="51" t="b">
        <f t="shared" ref="EI77:EJ77" si="1003">EI31</f>
        <v>0</v>
      </c>
      <c r="EJ77" s="51" t="b">
        <f t="shared" si="1003"/>
        <v>0</v>
      </c>
      <c r="EK77" s="51" t="b">
        <f t="shared" ref="EK77:EL77" si="1004">EK31</f>
        <v>0</v>
      </c>
      <c r="EL77" s="51" t="b">
        <f t="shared" si="1004"/>
        <v>0</v>
      </c>
      <c r="EM77" s="20" t="str">
        <f t="shared" si="121"/>
        <v/>
      </c>
      <c r="EN77" s="51" t="str">
        <f t="shared" si="122"/>
        <v/>
      </c>
      <c r="EO77" s="20" t="str">
        <f t="shared" si="123"/>
        <v/>
      </c>
      <c r="EP77" s="51" t="b">
        <f t="shared" ref="EP77:ES77" si="1005">EP31</f>
        <v>0</v>
      </c>
      <c r="EQ77" s="51" t="b">
        <f t="shared" si="1005"/>
        <v>0</v>
      </c>
      <c r="ER77" s="51" t="b">
        <f t="shared" si="1005"/>
        <v>0</v>
      </c>
      <c r="ES77" s="51" t="b">
        <f t="shared" si="1005"/>
        <v>0</v>
      </c>
      <c r="ET77" s="51" t="str">
        <f t="shared" si="125"/>
        <v/>
      </c>
      <c r="EU77" s="19" t="str">
        <f t="shared" si="126"/>
        <v/>
      </c>
      <c r="EV77" s="20" t="str">
        <f t="shared" si="127"/>
        <v/>
      </c>
      <c r="EW77" s="51" t="b">
        <f t="shared" ref="EW77:EZ77" si="1006">EW31</f>
        <v>0</v>
      </c>
      <c r="EX77" s="51" t="b">
        <f t="shared" si="1006"/>
        <v>0</v>
      </c>
      <c r="EY77" s="51" t="b">
        <f t="shared" si="1006"/>
        <v>0</v>
      </c>
      <c r="EZ77" s="51" t="b">
        <f t="shared" si="1006"/>
        <v>0</v>
      </c>
      <c r="FA77" s="20" t="str">
        <f t="shared" si="129"/>
        <v/>
      </c>
      <c r="FB77" s="51" t="str">
        <f t="shared" si="130"/>
        <v/>
      </c>
      <c r="FC77" s="20" t="str">
        <f t="shared" si="131"/>
        <v/>
      </c>
      <c r="FD77" s="51" t="b">
        <f t="shared" ref="FD77:FE77" si="1007">FD31</f>
        <v>0</v>
      </c>
      <c r="FE77" s="51" t="b">
        <f t="shared" si="1007"/>
        <v>0</v>
      </c>
      <c r="FF77" s="51" t="b">
        <f t="shared" ref="FF77:FG77" si="1008">FF31</f>
        <v>0</v>
      </c>
      <c r="FG77" s="51" t="b">
        <f t="shared" si="1008"/>
        <v>0</v>
      </c>
      <c r="FH77" s="20" t="str">
        <f t="shared" si="132"/>
        <v/>
      </c>
      <c r="FI77" s="51" t="str">
        <f t="shared" si="133"/>
        <v/>
      </c>
      <c r="FJ77" s="20" t="str">
        <f t="shared" si="134"/>
        <v/>
      </c>
      <c r="FK77" s="51" t="b">
        <f t="shared" ref="FK77:FN77" si="1009">FK31</f>
        <v>0</v>
      </c>
      <c r="FL77" s="51" t="b">
        <f t="shared" si="1009"/>
        <v>0</v>
      </c>
      <c r="FM77" s="51" t="b">
        <f t="shared" si="1009"/>
        <v>0</v>
      </c>
      <c r="FN77" s="51" t="b">
        <f t="shared" si="1009"/>
        <v>0</v>
      </c>
      <c r="FO77" s="51" t="str">
        <f t="shared" si="136"/>
        <v/>
      </c>
      <c r="FP77" s="19" t="str">
        <f t="shared" si="137"/>
        <v/>
      </c>
      <c r="FQ77" s="20" t="str">
        <f t="shared" si="138"/>
        <v/>
      </c>
      <c r="FR77" s="51" t="b">
        <f t="shared" ref="FR77:FU77" si="1010">FR31</f>
        <v>0</v>
      </c>
      <c r="FS77" s="51" t="b">
        <f t="shared" si="1010"/>
        <v>0</v>
      </c>
      <c r="FT77" s="51" t="b">
        <f t="shared" si="1010"/>
        <v>0</v>
      </c>
      <c r="FU77" s="51" t="b">
        <f t="shared" si="1010"/>
        <v>0</v>
      </c>
      <c r="FV77" s="20" t="str">
        <f t="shared" si="140"/>
        <v/>
      </c>
      <c r="FW77" s="51" t="str">
        <f t="shared" si="141"/>
        <v/>
      </c>
      <c r="FX77" s="20" t="str">
        <f t="shared" si="142"/>
        <v/>
      </c>
      <c r="FY77" s="51" t="b">
        <f t="shared" ref="FY77:FZ77" si="1011">FY31</f>
        <v>0</v>
      </c>
      <c r="FZ77" s="51" t="b">
        <f t="shared" si="1011"/>
        <v>0</v>
      </c>
      <c r="GA77" s="51" t="b">
        <f t="shared" ref="GA77:GB77" si="1012">GA31</f>
        <v>0</v>
      </c>
      <c r="GB77" s="51" t="b">
        <f t="shared" si="1012"/>
        <v>0</v>
      </c>
      <c r="GC77" s="20" t="str">
        <f t="shared" si="143"/>
        <v/>
      </c>
      <c r="GD77" s="51" t="str">
        <f t="shared" si="144"/>
        <v/>
      </c>
      <c r="GE77" s="20" t="str">
        <f t="shared" si="145"/>
        <v/>
      </c>
      <c r="GF77" s="51" t="b">
        <f t="shared" ref="GF77:GI77" si="1013">GF31</f>
        <v>0</v>
      </c>
      <c r="GG77" s="51" t="b">
        <f t="shared" si="1013"/>
        <v>0</v>
      </c>
      <c r="GH77" s="51" t="b">
        <f t="shared" si="1013"/>
        <v>0</v>
      </c>
      <c r="GI77" s="51" t="b">
        <f t="shared" si="1013"/>
        <v>0</v>
      </c>
      <c r="GJ77" s="51" t="str">
        <f t="shared" si="147"/>
        <v/>
      </c>
      <c r="GK77" s="19" t="str">
        <f t="shared" si="148"/>
        <v/>
      </c>
      <c r="GL77" s="20" t="str">
        <f t="shared" si="149"/>
        <v/>
      </c>
      <c r="GM77" s="51" t="b">
        <f t="shared" ref="GM77:GP77" si="1014">GM31</f>
        <v>0</v>
      </c>
      <c r="GN77" s="51" t="b">
        <f t="shared" si="1014"/>
        <v>0</v>
      </c>
      <c r="GO77" s="51" t="b">
        <f t="shared" si="1014"/>
        <v>0</v>
      </c>
      <c r="GP77" s="51" t="b">
        <f t="shared" si="1014"/>
        <v>0</v>
      </c>
      <c r="GQ77" s="20" t="str">
        <f t="shared" si="151"/>
        <v/>
      </c>
      <c r="GR77" s="51" t="str">
        <f t="shared" si="152"/>
        <v/>
      </c>
      <c r="GS77" s="20" t="str">
        <f t="shared" si="153"/>
        <v/>
      </c>
      <c r="GT77" s="51" t="b">
        <f t="shared" ref="GT77:GU77" si="1015">GT31</f>
        <v>0</v>
      </c>
      <c r="GU77" s="51" t="b">
        <f t="shared" si="1015"/>
        <v>0</v>
      </c>
      <c r="GV77" s="51" t="b">
        <f t="shared" ref="GV77:GW77" si="1016">GV31</f>
        <v>0</v>
      </c>
      <c r="GW77" s="51" t="b">
        <f t="shared" si="1016"/>
        <v>0</v>
      </c>
      <c r="GX77" s="20" t="str">
        <f t="shared" si="154"/>
        <v/>
      </c>
      <c r="GY77" s="51" t="str">
        <f t="shared" si="155"/>
        <v/>
      </c>
      <c r="GZ77" s="20" t="str">
        <f t="shared" si="156"/>
        <v/>
      </c>
      <c r="HA77" s="51" t="b">
        <f t="shared" ref="HA77:HD77" si="1017">HA31</f>
        <v>0</v>
      </c>
      <c r="HB77" s="51" t="b">
        <f t="shared" si="1017"/>
        <v>0</v>
      </c>
      <c r="HC77" s="51" t="b">
        <f t="shared" si="1017"/>
        <v>0</v>
      </c>
      <c r="HD77" s="51" t="b">
        <f t="shared" si="1017"/>
        <v>0</v>
      </c>
      <c r="HE77" s="51" t="str">
        <f t="shared" si="158"/>
        <v/>
      </c>
      <c r="HF77" s="19" t="str">
        <f t="shared" si="159"/>
        <v/>
      </c>
      <c r="HG77" s="20" t="str">
        <f t="shared" si="160"/>
        <v/>
      </c>
      <c r="HH77" s="51" t="b">
        <f t="shared" ref="HH77:HK77" si="1018">HH31</f>
        <v>0</v>
      </c>
      <c r="HI77" s="51" t="b">
        <f t="shared" si="1018"/>
        <v>0</v>
      </c>
      <c r="HJ77" s="51" t="b">
        <f t="shared" si="1018"/>
        <v>0</v>
      </c>
      <c r="HK77" s="51" t="b">
        <f t="shared" si="1018"/>
        <v>0</v>
      </c>
      <c r="HL77" s="20" t="str">
        <f t="shared" si="162"/>
        <v/>
      </c>
      <c r="HM77" s="51" t="str">
        <f t="shared" si="163"/>
        <v/>
      </c>
      <c r="HN77" s="20" t="str">
        <f t="shared" si="164"/>
        <v/>
      </c>
      <c r="HO77" s="51" t="b">
        <f t="shared" ref="HO77:HP77" si="1019">HO31</f>
        <v>0</v>
      </c>
      <c r="HP77" s="51" t="b">
        <f t="shared" si="1019"/>
        <v>0</v>
      </c>
      <c r="HQ77" s="51" t="b">
        <f t="shared" ref="HQ77:HR77" si="1020">HQ31</f>
        <v>0</v>
      </c>
      <c r="HR77" s="51" t="b">
        <f t="shared" si="1020"/>
        <v>0</v>
      </c>
      <c r="HS77" s="20" t="str">
        <f t="shared" si="165"/>
        <v/>
      </c>
      <c r="HT77" s="51" t="str">
        <f t="shared" si="166"/>
        <v/>
      </c>
      <c r="HU77" s="20" t="str">
        <f t="shared" si="167"/>
        <v/>
      </c>
      <c r="HV77" s="51" t="b">
        <f t="shared" ref="HV77:HY77" si="1021">HV31</f>
        <v>0</v>
      </c>
      <c r="HW77" s="51" t="b">
        <f t="shared" si="1021"/>
        <v>0</v>
      </c>
      <c r="HX77" s="51" t="b">
        <f t="shared" si="1021"/>
        <v>0</v>
      </c>
      <c r="HY77" s="51" t="b">
        <f t="shared" si="1021"/>
        <v>0</v>
      </c>
      <c r="HZ77" s="51" t="str">
        <f t="shared" si="169"/>
        <v/>
      </c>
      <c r="IA77" s="19" t="str">
        <f t="shared" si="170"/>
        <v/>
      </c>
      <c r="IB77" s="20" t="str">
        <f t="shared" si="171"/>
        <v/>
      </c>
      <c r="IC77" s="51" t="b">
        <f t="shared" ref="IC77:IF77" si="1022">IC31</f>
        <v>0</v>
      </c>
      <c r="ID77" s="51" t="b">
        <f t="shared" si="1022"/>
        <v>0</v>
      </c>
      <c r="IE77" s="51" t="b">
        <f t="shared" si="1022"/>
        <v>0</v>
      </c>
      <c r="IF77" s="51" t="b">
        <f t="shared" si="1022"/>
        <v>0</v>
      </c>
      <c r="IG77" s="20" t="str">
        <f t="shared" si="173"/>
        <v/>
      </c>
      <c r="IH77" s="51" t="str">
        <f t="shared" si="174"/>
        <v/>
      </c>
      <c r="II77" s="20" t="str">
        <f t="shared" si="175"/>
        <v/>
      </c>
      <c r="IJ77" s="51" t="b">
        <f t="shared" ref="IJ77:IK77" si="1023">IJ31</f>
        <v>0</v>
      </c>
      <c r="IK77" s="51" t="b">
        <f t="shared" si="1023"/>
        <v>0</v>
      </c>
      <c r="IL77" s="51" t="b">
        <f t="shared" ref="IL77:IM77" si="1024">IL31</f>
        <v>0</v>
      </c>
      <c r="IM77" s="51" t="b">
        <f t="shared" si="1024"/>
        <v>0</v>
      </c>
      <c r="IN77" s="20" t="str">
        <f t="shared" si="176"/>
        <v/>
      </c>
      <c r="IO77" s="51" t="str">
        <f t="shared" si="177"/>
        <v/>
      </c>
      <c r="IP77" s="20" t="str">
        <f t="shared" si="178"/>
        <v/>
      </c>
      <c r="IQ77" s="51" t="b">
        <f t="shared" ref="IQ77:IT77" si="1025">IQ31</f>
        <v>0</v>
      </c>
      <c r="IR77" s="51" t="b">
        <f t="shared" si="1025"/>
        <v>0</v>
      </c>
      <c r="IS77" s="51" t="b">
        <f t="shared" si="1025"/>
        <v>0</v>
      </c>
      <c r="IT77" s="51" t="b">
        <f t="shared" si="1025"/>
        <v>0</v>
      </c>
      <c r="IU77" s="51" t="str">
        <f t="shared" si="180"/>
        <v/>
      </c>
      <c r="IV77" s="116"/>
    </row>
    <row r="78" spans="1:256" x14ac:dyDescent="0.2">
      <c r="C78">
        <v>23</v>
      </c>
      <c r="D78" s="19" t="str">
        <f t="shared" si="48"/>
        <v/>
      </c>
      <c r="E78" s="20" t="str">
        <f t="shared" si="49"/>
        <v/>
      </c>
      <c r="F78" s="51" t="str">
        <f t="shared" si="781"/>
        <v>FALSE</v>
      </c>
      <c r="G78" s="51" t="str">
        <f t="shared" si="781"/>
        <v>FALSE</v>
      </c>
      <c r="H78" s="51" t="str">
        <f t="shared" si="781"/>
        <v>FALSE</v>
      </c>
      <c r="I78" s="51" t="str">
        <f t="shared" si="781"/>
        <v>FALSE</v>
      </c>
      <c r="J78" s="20" t="str">
        <f t="shared" si="51"/>
        <v/>
      </c>
      <c r="K78" s="51" t="str">
        <f t="shared" si="52"/>
        <v/>
      </c>
      <c r="L78" s="20" t="str">
        <f t="shared" si="53"/>
        <v/>
      </c>
      <c r="M78" s="51" t="str">
        <f t="shared" si="825"/>
        <v>FALSE</v>
      </c>
      <c r="N78" s="51" t="str">
        <f t="shared" si="825"/>
        <v>FALSE</v>
      </c>
      <c r="O78" s="51" t="str">
        <f t="shared" si="825"/>
        <v>FALSE</v>
      </c>
      <c r="P78" s="51" t="str">
        <f t="shared" si="825"/>
        <v>FALSE</v>
      </c>
      <c r="Q78" s="20" t="str">
        <f t="shared" si="55"/>
        <v/>
      </c>
      <c r="R78" s="51" t="str">
        <f t="shared" si="56"/>
        <v/>
      </c>
      <c r="S78" s="51" t="str">
        <f t="shared" si="57"/>
        <v/>
      </c>
      <c r="T78" s="51" t="b">
        <f t="shared" si="782"/>
        <v>0</v>
      </c>
      <c r="U78" s="51" t="b">
        <f t="shared" si="782"/>
        <v>0</v>
      </c>
      <c r="V78" s="51" t="b">
        <f t="shared" si="782"/>
        <v>0</v>
      </c>
      <c r="W78" s="51" t="b">
        <f t="shared" si="782"/>
        <v>0</v>
      </c>
      <c r="X78" s="22" t="str">
        <f t="shared" si="59"/>
        <v/>
      </c>
      <c r="Y78" s="19" t="str">
        <f t="shared" si="60"/>
        <v/>
      </c>
      <c r="Z78" s="20" t="str">
        <f t="shared" si="61"/>
        <v/>
      </c>
      <c r="AA78" s="51" t="str">
        <f t="shared" si="783"/>
        <v>FALSE</v>
      </c>
      <c r="AB78" s="51" t="str">
        <f t="shared" si="783"/>
        <v>FALSE</v>
      </c>
      <c r="AC78" s="51" t="str">
        <f t="shared" si="783"/>
        <v>FALSE</v>
      </c>
      <c r="AD78" s="51" t="str">
        <f t="shared" si="783"/>
        <v>FALSE</v>
      </c>
      <c r="AE78" s="20" t="str">
        <f t="shared" si="63"/>
        <v/>
      </c>
      <c r="AF78" s="51" t="str">
        <f t="shared" si="64"/>
        <v/>
      </c>
      <c r="AG78" s="20" t="str">
        <f t="shared" si="65"/>
        <v/>
      </c>
      <c r="AH78" s="51" t="str">
        <f t="shared" ref="AH78:AK78" si="1026">AH32</f>
        <v>FALSE</v>
      </c>
      <c r="AI78" s="51" t="str">
        <f t="shared" si="1026"/>
        <v>FALSE</v>
      </c>
      <c r="AJ78" s="51" t="str">
        <f t="shared" si="1026"/>
        <v>FALSE</v>
      </c>
      <c r="AK78" s="51" t="str">
        <f t="shared" si="1026"/>
        <v>FALSE</v>
      </c>
      <c r="AL78" s="20" t="str">
        <f t="shared" si="66"/>
        <v/>
      </c>
      <c r="AM78" s="51" t="str">
        <f t="shared" si="67"/>
        <v/>
      </c>
      <c r="AN78" s="20" t="str">
        <f t="shared" si="68"/>
        <v/>
      </c>
      <c r="AO78" s="51" t="b">
        <f t="shared" si="785"/>
        <v>0</v>
      </c>
      <c r="AP78" s="51" t="b">
        <f t="shared" si="785"/>
        <v>0</v>
      </c>
      <c r="AQ78" s="51" t="b">
        <f t="shared" si="785"/>
        <v>0</v>
      </c>
      <c r="AR78" s="51" t="b">
        <f t="shared" si="785"/>
        <v>0</v>
      </c>
      <c r="AS78" s="51" t="str">
        <f t="shared" si="70"/>
        <v/>
      </c>
      <c r="AT78" s="19" t="str">
        <f t="shared" si="71"/>
        <v/>
      </c>
      <c r="AU78" s="20" t="str">
        <f t="shared" si="72"/>
        <v/>
      </c>
      <c r="AV78" s="51" t="str">
        <f t="shared" ref="AV78:AY78" si="1027">AV32</f>
        <v>FALSE</v>
      </c>
      <c r="AW78" s="51" t="str">
        <f t="shared" si="1027"/>
        <v>FALSE</v>
      </c>
      <c r="AX78" s="51" t="str">
        <f t="shared" si="1027"/>
        <v>FALSE</v>
      </c>
      <c r="AY78" s="51" t="str">
        <f t="shared" si="1027"/>
        <v>FALSE</v>
      </c>
      <c r="AZ78" s="20" t="str">
        <f t="shared" si="74"/>
        <v/>
      </c>
      <c r="BA78" s="51" t="str">
        <f t="shared" si="75"/>
        <v/>
      </c>
      <c r="BB78" s="20" t="str">
        <f t="shared" si="76"/>
        <v/>
      </c>
      <c r="BC78" s="51" t="str">
        <f t="shared" ref="BC78:BF78" si="1028">BC32</f>
        <v>FALSE</v>
      </c>
      <c r="BD78" s="51" t="str">
        <f t="shared" si="1028"/>
        <v>FALSE</v>
      </c>
      <c r="BE78" s="51" t="str">
        <f t="shared" si="1028"/>
        <v>FALSE</v>
      </c>
      <c r="BF78" s="51" t="str">
        <f t="shared" si="1028"/>
        <v>FALSE</v>
      </c>
      <c r="BG78" s="20" t="str">
        <f t="shared" si="77"/>
        <v/>
      </c>
      <c r="BH78" s="51" t="str">
        <f t="shared" si="78"/>
        <v/>
      </c>
      <c r="BI78" s="20" t="str">
        <f t="shared" si="79"/>
        <v/>
      </c>
      <c r="BJ78" s="51" t="b">
        <f t="shared" ref="BJ78:BM78" si="1029">BJ32</f>
        <v>0</v>
      </c>
      <c r="BK78" s="51" t="b">
        <f t="shared" si="1029"/>
        <v>0</v>
      </c>
      <c r="BL78" s="51" t="b">
        <f t="shared" si="1029"/>
        <v>0</v>
      </c>
      <c r="BM78" s="51" t="b">
        <f t="shared" si="1029"/>
        <v>0</v>
      </c>
      <c r="BN78" s="51" t="str">
        <f t="shared" si="81"/>
        <v/>
      </c>
      <c r="BO78" s="19" t="str">
        <f t="shared" si="82"/>
        <v/>
      </c>
      <c r="BP78" s="20" t="str">
        <f t="shared" si="83"/>
        <v/>
      </c>
      <c r="BQ78" s="51" t="b">
        <f t="shared" ref="BQ78:BT78" si="1030">BQ32</f>
        <v>0</v>
      </c>
      <c r="BR78" s="51" t="b">
        <f t="shared" si="1030"/>
        <v>0</v>
      </c>
      <c r="BS78" s="51" t="b">
        <f t="shared" si="1030"/>
        <v>0</v>
      </c>
      <c r="BT78" s="51" t="b">
        <f t="shared" si="1030"/>
        <v>0</v>
      </c>
      <c r="BU78" s="20" t="str">
        <f t="shared" si="85"/>
        <v/>
      </c>
      <c r="BV78" s="51" t="str">
        <f t="shared" si="86"/>
        <v/>
      </c>
      <c r="BW78" s="20" t="str">
        <f t="shared" si="87"/>
        <v/>
      </c>
      <c r="BX78" s="51" t="b">
        <f t="shared" ref="BX78:BY78" si="1031">BX32</f>
        <v>0</v>
      </c>
      <c r="BY78" s="51" t="b">
        <f t="shared" si="1031"/>
        <v>0</v>
      </c>
      <c r="BZ78" s="51" t="b">
        <f t="shared" ref="BZ78:CA78" si="1032">BZ32</f>
        <v>0</v>
      </c>
      <c r="CA78" s="51" t="b">
        <f t="shared" si="1032"/>
        <v>0</v>
      </c>
      <c r="CB78" s="20" t="str">
        <f t="shared" si="88"/>
        <v/>
      </c>
      <c r="CC78" s="51" t="str">
        <f t="shared" si="89"/>
        <v/>
      </c>
      <c r="CD78" s="20" t="str">
        <f t="shared" si="90"/>
        <v/>
      </c>
      <c r="CE78" s="51" t="b">
        <f t="shared" ref="CE78:CH78" si="1033">CE32</f>
        <v>0</v>
      </c>
      <c r="CF78" s="51" t="b">
        <f t="shared" si="1033"/>
        <v>0</v>
      </c>
      <c r="CG78" s="51" t="b">
        <f t="shared" si="1033"/>
        <v>0</v>
      </c>
      <c r="CH78" s="51" t="b">
        <f t="shared" si="1033"/>
        <v>0</v>
      </c>
      <c r="CI78" s="51" t="str">
        <f t="shared" si="92"/>
        <v/>
      </c>
      <c r="CJ78" s="19" t="str">
        <f t="shared" si="93"/>
        <v/>
      </c>
      <c r="CK78" s="20" t="str">
        <f t="shared" si="94"/>
        <v/>
      </c>
      <c r="CL78" s="51" t="b">
        <f t="shared" ref="CL78:CO78" si="1034">CL32</f>
        <v>0</v>
      </c>
      <c r="CM78" s="51" t="b">
        <f t="shared" si="1034"/>
        <v>0</v>
      </c>
      <c r="CN78" s="51" t="b">
        <f t="shared" si="1034"/>
        <v>0</v>
      </c>
      <c r="CO78" s="51" t="b">
        <f t="shared" si="1034"/>
        <v>0</v>
      </c>
      <c r="CP78" s="20" t="str">
        <f t="shared" si="96"/>
        <v/>
      </c>
      <c r="CQ78" s="51" t="str">
        <f t="shared" si="97"/>
        <v/>
      </c>
      <c r="CR78" s="20" t="str">
        <f t="shared" si="98"/>
        <v/>
      </c>
      <c r="CS78" s="51" t="b">
        <f t="shared" ref="CS78:CT78" si="1035">CS32</f>
        <v>0</v>
      </c>
      <c r="CT78" s="51" t="b">
        <f t="shared" si="1035"/>
        <v>0</v>
      </c>
      <c r="CU78" s="51" t="b">
        <f t="shared" ref="CU78:CV78" si="1036">CU32</f>
        <v>0</v>
      </c>
      <c r="CV78" s="51" t="b">
        <f t="shared" si="1036"/>
        <v>0</v>
      </c>
      <c r="CW78" s="20" t="str">
        <f t="shared" si="99"/>
        <v/>
      </c>
      <c r="CX78" s="51" t="str">
        <f t="shared" si="100"/>
        <v/>
      </c>
      <c r="CY78" s="20" t="str">
        <f t="shared" si="101"/>
        <v/>
      </c>
      <c r="CZ78" s="51" t="b">
        <f t="shared" ref="CZ78:DC78" si="1037">CZ32</f>
        <v>0</v>
      </c>
      <c r="DA78" s="51" t="b">
        <f t="shared" si="1037"/>
        <v>0</v>
      </c>
      <c r="DB78" s="51" t="b">
        <f t="shared" si="1037"/>
        <v>0</v>
      </c>
      <c r="DC78" s="51" t="b">
        <f t="shared" si="1037"/>
        <v>0</v>
      </c>
      <c r="DD78" s="51" t="str">
        <f t="shared" si="103"/>
        <v/>
      </c>
      <c r="DE78" s="19" t="str">
        <f t="shared" si="104"/>
        <v/>
      </c>
      <c r="DF78" s="20" t="str">
        <f t="shared" si="105"/>
        <v/>
      </c>
      <c r="DG78" s="51" t="b">
        <f t="shared" ref="DG78:DJ78" si="1038">DG32</f>
        <v>0</v>
      </c>
      <c r="DH78" s="51" t="b">
        <f t="shared" si="1038"/>
        <v>0</v>
      </c>
      <c r="DI78" s="51" t="b">
        <f t="shared" si="1038"/>
        <v>0</v>
      </c>
      <c r="DJ78" s="51" t="b">
        <f t="shared" si="1038"/>
        <v>0</v>
      </c>
      <c r="DK78" s="20" t="str">
        <f t="shared" si="107"/>
        <v/>
      </c>
      <c r="DL78" s="51" t="str">
        <f t="shared" si="108"/>
        <v/>
      </c>
      <c r="DM78" s="20" t="str">
        <f t="shared" si="109"/>
        <v/>
      </c>
      <c r="DN78" s="51" t="b">
        <f t="shared" ref="DN78:DO78" si="1039">DN32</f>
        <v>0</v>
      </c>
      <c r="DO78" s="51" t="b">
        <f t="shared" si="1039"/>
        <v>0</v>
      </c>
      <c r="DP78" s="51" t="b">
        <f t="shared" ref="DP78:DQ78" si="1040">DP32</f>
        <v>0</v>
      </c>
      <c r="DQ78" s="51" t="b">
        <f t="shared" si="1040"/>
        <v>0</v>
      </c>
      <c r="DR78" s="20" t="str">
        <f t="shared" si="110"/>
        <v/>
      </c>
      <c r="DS78" s="51" t="str">
        <f t="shared" si="111"/>
        <v/>
      </c>
      <c r="DT78" s="20" t="str">
        <f t="shared" si="112"/>
        <v/>
      </c>
      <c r="DU78" s="51" t="b">
        <f t="shared" ref="DU78:DX78" si="1041">DU32</f>
        <v>0</v>
      </c>
      <c r="DV78" s="51" t="b">
        <f t="shared" si="1041"/>
        <v>0</v>
      </c>
      <c r="DW78" s="51" t="b">
        <f t="shared" si="1041"/>
        <v>0</v>
      </c>
      <c r="DX78" s="51" t="b">
        <f t="shared" si="1041"/>
        <v>0</v>
      </c>
      <c r="DY78" s="51" t="str">
        <f t="shared" si="114"/>
        <v/>
      </c>
      <c r="DZ78" s="19" t="str">
        <f t="shared" si="115"/>
        <v/>
      </c>
      <c r="EA78" s="20" t="str">
        <f t="shared" si="116"/>
        <v/>
      </c>
      <c r="EB78" s="51" t="b">
        <f t="shared" ref="EB78:EE78" si="1042">EB32</f>
        <v>0</v>
      </c>
      <c r="EC78" s="51" t="b">
        <f t="shared" si="1042"/>
        <v>0</v>
      </c>
      <c r="ED78" s="51" t="b">
        <f t="shared" si="1042"/>
        <v>0</v>
      </c>
      <c r="EE78" s="51" t="b">
        <f t="shared" si="1042"/>
        <v>0</v>
      </c>
      <c r="EF78" s="20" t="str">
        <f t="shared" si="118"/>
        <v/>
      </c>
      <c r="EG78" s="51" t="str">
        <f t="shared" si="119"/>
        <v/>
      </c>
      <c r="EH78" s="20" t="str">
        <f t="shared" si="120"/>
        <v/>
      </c>
      <c r="EI78" s="51" t="b">
        <f t="shared" ref="EI78:EJ78" si="1043">EI32</f>
        <v>0</v>
      </c>
      <c r="EJ78" s="51" t="b">
        <f t="shared" si="1043"/>
        <v>0</v>
      </c>
      <c r="EK78" s="51" t="b">
        <f t="shared" ref="EK78:EL78" si="1044">EK32</f>
        <v>0</v>
      </c>
      <c r="EL78" s="51" t="b">
        <f t="shared" si="1044"/>
        <v>0</v>
      </c>
      <c r="EM78" s="20" t="str">
        <f t="shared" si="121"/>
        <v/>
      </c>
      <c r="EN78" s="51" t="str">
        <f t="shared" si="122"/>
        <v/>
      </c>
      <c r="EO78" s="20" t="str">
        <f t="shared" si="123"/>
        <v/>
      </c>
      <c r="EP78" s="51" t="b">
        <f t="shared" ref="EP78:ES78" si="1045">EP32</f>
        <v>0</v>
      </c>
      <c r="EQ78" s="51" t="b">
        <f t="shared" si="1045"/>
        <v>0</v>
      </c>
      <c r="ER78" s="51" t="b">
        <f t="shared" si="1045"/>
        <v>0</v>
      </c>
      <c r="ES78" s="51" t="b">
        <f t="shared" si="1045"/>
        <v>0</v>
      </c>
      <c r="ET78" s="51" t="str">
        <f t="shared" si="125"/>
        <v/>
      </c>
      <c r="EU78" s="19" t="str">
        <f t="shared" si="126"/>
        <v/>
      </c>
      <c r="EV78" s="20" t="str">
        <f t="shared" si="127"/>
        <v/>
      </c>
      <c r="EW78" s="51" t="b">
        <f t="shared" ref="EW78:EZ78" si="1046">EW32</f>
        <v>0</v>
      </c>
      <c r="EX78" s="51" t="b">
        <f t="shared" si="1046"/>
        <v>0</v>
      </c>
      <c r="EY78" s="51" t="b">
        <f t="shared" si="1046"/>
        <v>0</v>
      </c>
      <c r="EZ78" s="51" t="b">
        <f t="shared" si="1046"/>
        <v>0</v>
      </c>
      <c r="FA78" s="20" t="str">
        <f t="shared" si="129"/>
        <v/>
      </c>
      <c r="FB78" s="51" t="str">
        <f t="shared" si="130"/>
        <v/>
      </c>
      <c r="FC78" s="20" t="str">
        <f t="shared" si="131"/>
        <v/>
      </c>
      <c r="FD78" s="51" t="b">
        <f t="shared" ref="FD78:FE78" si="1047">FD32</f>
        <v>0</v>
      </c>
      <c r="FE78" s="51" t="b">
        <f t="shared" si="1047"/>
        <v>0</v>
      </c>
      <c r="FF78" s="51" t="b">
        <f t="shared" ref="FF78:FG78" si="1048">FF32</f>
        <v>0</v>
      </c>
      <c r="FG78" s="51" t="b">
        <f t="shared" si="1048"/>
        <v>0</v>
      </c>
      <c r="FH78" s="20" t="str">
        <f t="shared" si="132"/>
        <v/>
      </c>
      <c r="FI78" s="51" t="str">
        <f t="shared" si="133"/>
        <v/>
      </c>
      <c r="FJ78" s="20" t="str">
        <f t="shared" si="134"/>
        <v/>
      </c>
      <c r="FK78" s="51" t="b">
        <f t="shared" ref="FK78:FN78" si="1049">FK32</f>
        <v>0</v>
      </c>
      <c r="FL78" s="51" t="b">
        <f t="shared" si="1049"/>
        <v>0</v>
      </c>
      <c r="FM78" s="51" t="b">
        <f t="shared" si="1049"/>
        <v>0</v>
      </c>
      <c r="FN78" s="51" t="b">
        <f t="shared" si="1049"/>
        <v>0</v>
      </c>
      <c r="FO78" s="51" t="str">
        <f t="shared" si="136"/>
        <v/>
      </c>
      <c r="FP78" s="19" t="str">
        <f t="shared" si="137"/>
        <v/>
      </c>
      <c r="FQ78" s="20" t="str">
        <f t="shared" si="138"/>
        <v/>
      </c>
      <c r="FR78" s="51" t="b">
        <f t="shared" ref="FR78:FU78" si="1050">FR32</f>
        <v>0</v>
      </c>
      <c r="FS78" s="51" t="b">
        <f t="shared" si="1050"/>
        <v>0</v>
      </c>
      <c r="FT78" s="51" t="b">
        <f t="shared" si="1050"/>
        <v>0</v>
      </c>
      <c r="FU78" s="51" t="b">
        <f t="shared" si="1050"/>
        <v>0</v>
      </c>
      <c r="FV78" s="20" t="str">
        <f t="shared" si="140"/>
        <v/>
      </c>
      <c r="FW78" s="51" t="str">
        <f t="shared" si="141"/>
        <v/>
      </c>
      <c r="FX78" s="20" t="str">
        <f t="shared" si="142"/>
        <v/>
      </c>
      <c r="FY78" s="51" t="b">
        <f t="shared" ref="FY78:FZ78" si="1051">FY32</f>
        <v>0</v>
      </c>
      <c r="FZ78" s="51" t="b">
        <f t="shared" si="1051"/>
        <v>0</v>
      </c>
      <c r="GA78" s="51" t="b">
        <f t="shared" ref="GA78:GB78" si="1052">GA32</f>
        <v>0</v>
      </c>
      <c r="GB78" s="51" t="b">
        <f t="shared" si="1052"/>
        <v>0</v>
      </c>
      <c r="GC78" s="20" t="str">
        <f t="shared" si="143"/>
        <v/>
      </c>
      <c r="GD78" s="51" t="str">
        <f t="shared" si="144"/>
        <v/>
      </c>
      <c r="GE78" s="20" t="str">
        <f t="shared" si="145"/>
        <v/>
      </c>
      <c r="GF78" s="51" t="b">
        <f t="shared" ref="GF78:GI78" si="1053">GF32</f>
        <v>0</v>
      </c>
      <c r="GG78" s="51" t="b">
        <f t="shared" si="1053"/>
        <v>0</v>
      </c>
      <c r="GH78" s="51" t="b">
        <f t="shared" si="1053"/>
        <v>0</v>
      </c>
      <c r="GI78" s="51" t="b">
        <f t="shared" si="1053"/>
        <v>0</v>
      </c>
      <c r="GJ78" s="51" t="str">
        <f t="shared" si="147"/>
        <v/>
      </c>
      <c r="GK78" s="19" t="str">
        <f t="shared" si="148"/>
        <v/>
      </c>
      <c r="GL78" s="20" t="str">
        <f t="shared" si="149"/>
        <v/>
      </c>
      <c r="GM78" s="51" t="b">
        <f t="shared" ref="GM78:GP78" si="1054">GM32</f>
        <v>0</v>
      </c>
      <c r="GN78" s="51" t="b">
        <f t="shared" si="1054"/>
        <v>0</v>
      </c>
      <c r="GO78" s="51" t="b">
        <f t="shared" si="1054"/>
        <v>0</v>
      </c>
      <c r="GP78" s="51" t="b">
        <f t="shared" si="1054"/>
        <v>0</v>
      </c>
      <c r="GQ78" s="20" t="str">
        <f t="shared" si="151"/>
        <v/>
      </c>
      <c r="GR78" s="51" t="str">
        <f t="shared" si="152"/>
        <v/>
      </c>
      <c r="GS78" s="20" t="str">
        <f t="shared" si="153"/>
        <v/>
      </c>
      <c r="GT78" s="51" t="b">
        <f t="shared" ref="GT78:GU78" si="1055">GT32</f>
        <v>0</v>
      </c>
      <c r="GU78" s="51" t="b">
        <f t="shared" si="1055"/>
        <v>0</v>
      </c>
      <c r="GV78" s="51" t="b">
        <f t="shared" ref="GV78:GW78" si="1056">GV32</f>
        <v>0</v>
      </c>
      <c r="GW78" s="51" t="b">
        <f t="shared" si="1056"/>
        <v>0</v>
      </c>
      <c r="GX78" s="20" t="str">
        <f t="shared" si="154"/>
        <v/>
      </c>
      <c r="GY78" s="51" t="str">
        <f t="shared" si="155"/>
        <v/>
      </c>
      <c r="GZ78" s="20" t="str">
        <f t="shared" si="156"/>
        <v/>
      </c>
      <c r="HA78" s="51" t="b">
        <f t="shared" ref="HA78:HD78" si="1057">HA32</f>
        <v>0</v>
      </c>
      <c r="HB78" s="51" t="b">
        <f t="shared" si="1057"/>
        <v>0</v>
      </c>
      <c r="HC78" s="51" t="b">
        <f t="shared" si="1057"/>
        <v>0</v>
      </c>
      <c r="HD78" s="51" t="b">
        <f t="shared" si="1057"/>
        <v>0</v>
      </c>
      <c r="HE78" s="51" t="str">
        <f t="shared" si="158"/>
        <v/>
      </c>
      <c r="HF78" s="19" t="str">
        <f t="shared" si="159"/>
        <v/>
      </c>
      <c r="HG78" s="20" t="str">
        <f t="shared" si="160"/>
        <v/>
      </c>
      <c r="HH78" s="51" t="b">
        <f t="shared" ref="HH78:HK78" si="1058">HH32</f>
        <v>0</v>
      </c>
      <c r="HI78" s="51" t="b">
        <f t="shared" si="1058"/>
        <v>0</v>
      </c>
      <c r="HJ78" s="51" t="b">
        <f t="shared" si="1058"/>
        <v>0</v>
      </c>
      <c r="HK78" s="51" t="b">
        <f t="shared" si="1058"/>
        <v>0</v>
      </c>
      <c r="HL78" s="20" t="str">
        <f t="shared" si="162"/>
        <v/>
      </c>
      <c r="HM78" s="51" t="str">
        <f t="shared" si="163"/>
        <v/>
      </c>
      <c r="HN78" s="20" t="str">
        <f t="shared" si="164"/>
        <v/>
      </c>
      <c r="HO78" s="51" t="b">
        <f t="shared" ref="HO78:HP78" si="1059">HO32</f>
        <v>0</v>
      </c>
      <c r="HP78" s="51" t="b">
        <f t="shared" si="1059"/>
        <v>0</v>
      </c>
      <c r="HQ78" s="51" t="b">
        <f t="shared" ref="HQ78:HR78" si="1060">HQ32</f>
        <v>0</v>
      </c>
      <c r="HR78" s="51" t="b">
        <f t="shared" si="1060"/>
        <v>0</v>
      </c>
      <c r="HS78" s="20" t="str">
        <f t="shared" si="165"/>
        <v/>
      </c>
      <c r="HT78" s="51" t="str">
        <f t="shared" si="166"/>
        <v/>
      </c>
      <c r="HU78" s="20" t="str">
        <f t="shared" si="167"/>
        <v/>
      </c>
      <c r="HV78" s="51" t="b">
        <f t="shared" ref="HV78:HY78" si="1061">HV32</f>
        <v>0</v>
      </c>
      <c r="HW78" s="51" t="b">
        <f t="shared" si="1061"/>
        <v>0</v>
      </c>
      <c r="HX78" s="51" t="b">
        <f t="shared" si="1061"/>
        <v>0</v>
      </c>
      <c r="HY78" s="51" t="b">
        <f t="shared" si="1061"/>
        <v>0</v>
      </c>
      <c r="HZ78" s="51" t="str">
        <f t="shared" si="169"/>
        <v/>
      </c>
      <c r="IA78" s="19" t="str">
        <f t="shared" si="170"/>
        <v/>
      </c>
      <c r="IB78" s="20" t="str">
        <f t="shared" si="171"/>
        <v/>
      </c>
      <c r="IC78" s="51" t="b">
        <f t="shared" ref="IC78:IF78" si="1062">IC32</f>
        <v>0</v>
      </c>
      <c r="ID78" s="51" t="b">
        <f t="shared" si="1062"/>
        <v>0</v>
      </c>
      <c r="IE78" s="51" t="b">
        <f t="shared" si="1062"/>
        <v>0</v>
      </c>
      <c r="IF78" s="51" t="b">
        <f t="shared" si="1062"/>
        <v>0</v>
      </c>
      <c r="IG78" s="20" t="str">
        <f t="shared" si="173"/>
        <v/>
      </c>
      <c r="IH78" s="51" t="str">
        <f t="shared" si="174"/>
        <v/>
      </c>
      <c r="II78" s="20" t="str">
        <f t="shared" si="175"/>
        <v/>
      </c>
      <c r="IJ78" s="51" t="b">
        <f t="shared" ref="IJ78:IK78" si="1063">IJ32</f>
        <v>0</v>
      </c>
      <c r="IK78" s="51" t="b">
        <f t="shared" si="1063"/>
        <v>0</v>
      </c>
      <c r="IL78" s="51" t="b">
        <f t="shared" ref="IL78:IM78" si="1064">IL32</f>
        <v>0</v>
      </c>
      <c r="IM78" s="51" t="b">
        <f t="shared" si="1064"/>
        <v>0</v>
      </c>
      <c r="IN78" s="20" t="str">
        <f t="shared" si="176"/>
        <v/>
      </c>
      <c r="IO78" s="51" t="str">
        <f t="shared" si="177"/>
        <v/>
      </c>
      <c r="IP78" s="20" t="str">
        <f t="shared" si="178"/>
        <v/>
      </c>
      <c r="IQ78" s="51" t="b">
        <f t="shared" ref="IQ78:IT78" si="1065">IQ32</f>
        <v>0</v>
      </c>
      <c r="IR78" s="51" t="b">
        <f t="shared" si="1065"/>
        <v>0</v>
      </c>
      <c r="IS78" s="51" t="b">
        <f t="shared" si="1065"/>
        <v>0</v>
      </c>
      <c r="IT78" s="51" t="b">
        <f t="shared" si="1065"/>
        <v>0</v>
      </c>
      <c r="IU78" s="51" t="str">
        <f t="shared" si="180"/>
        <v/>
      </c>
      <c r="IV78" s="116"/>
    </row>
    <row r="79" spans="1:256" x14ac:dyDescent="0.2">
      <c r="C79">
        <v>24</v>
      </c>
      <c r="D79" s="19" t="str">
        <f t="shared" si="48"/>
        <v/>
      </c>
      <c r="E79" s="20" t="str">
        <f t="shared" si="49"/>
        <v/>
      </c>
      <c r="F79" s="51" t="str">
        <f t="shared" si="781"/>
        <v>FALSE</v>
      </c>
      <c r="G79" s="51" t="str">
        <f t="shared" si="781"/>
        <v>FALSE</v>
      </c>
      <c r="H79" s="51" t="str">
        <f t="shared" si="781"/>
        <v>FALSE</v>
      </c>
      <c r="I79" s="51" t="str">
        <f t="shared" si="781"/>
        <v>FALSE</v>
      </c>
      <c r="J79" s="20" t="str">
        <f t="shared" si="51"/>
        <v/>
      </c>
      <c r="K79" s="51" t="str">
        <f t="shared" si="52"/>
        <v/>
      </c>
      <c r="L79" s="20" t="str">
        <f t="shared" si="53"/>
        <v/>
      </c>
      <c r="M79" s="51" t="str">
        <f t="shared" si="825"/>
        <v>FALSE</v>
      </c>
      <c r="N79" s="51" t="str">
        <f t="shared" si="825"/>
        <v>FALSE</v>
      </c>
      <c r="O79" s="51" t="str">
        <f t="shared" si="825"/>
        <v>FALSE</v>
      </c>
      <c r="P79" s="51" t="str">
        <f t="shared" si="825"/>
        <v>FALSE</v>
      </c>
      <c r="Q79" s="20" t="str">
        <f t="shared" si="55"/>
        <v/>
      </c>
      <c r="R79" s="51" t="str">
        <f t="shared" si="56"/>
        <v/>
      </c>
      <c r="S79" s="51" t="str">
        <f t="shared" si="57"/>
        <v/>
      </c>
      <c r="T79" s="51" t="b">
        <f t="shared" si="782"/>
        <v>0</v>
      </c>
      <c r="U79" s="51" t="b">
        <f t="shared" si="782"/>
        <v>0</v>
      </c>
      <c r="V79" s="51" t="b">
        <f t="shared" si="782"/>
        <v>0</v>
      </c>
      <c r="W79" s="51" t="b">
        <f t="shared" si="782"/>
        <v>0</v>
      </c>
      <c r="X79" s="22" t="str">
        <f t="shared" si="59"/>
        <v/>
      </c>
      <c r="Y79" s="19" t="str">
        <f t="shared" si="60"/>
        <v/>
      </c>
      <c r="Z79" s="20" t="str">
        <f t="shared" si="61"/>
        <v/>
      </c>
      <c r="AA79" s="51" t="str">
        <f t="shared" si="783"/>
        <v>FALSE</v>
      </c>
      <c r="AB79" s="51" t="str">
        <f t="shared" si="783"/>
        <v>FALSE</v>
      </c>
      <c r="AC79" s="51" t="str">
        <f t="shared" si="783"/>
        <v>FALSE</v>
      </c>
      <c r="AD79" s="51" t="str">
        <f t="shared" si="783"/>
        <v>FALSE</v>
      </c>
      <c r="AE79" s="20" t="str">
        <f t="shared" si="63"/>
        <v/>
      </c>
      <c r="AF79" s="51" t="str">
        <f t="shared" si="64"/>
        <v/>
      </c>
      <c r="AG79" s="20" t="str">
        <f t="shared" si="65"/>
        <v/>
      </c>
      <c r="AH79" s="51" t="str">
        <f t="shared" ref="AH79:AK79" si="1066">AH33</f>
        <v>FALSE</v>
      </c>
      <c r="AI79" s="51" t="str">
        <f t="shared" si="1066"/>
        <v>FALSE</v>
      </c>
      <c r="AJ79" s="51" t="str">
        <f t="shared" si="1066"/>
        <v>FALSE</v>
      </c>
      <c r="AK79" s="51" t="str">
        <f t="shared" si="1066"/>
        <v>FALSE</v>
      </c>
      <c r="AL79" s="20" t="str">
        <f t="shared" si="66"/>
        <v/>
      </c>
      <c r="AM79" s="51" t="str">
        <f t="shared" si="67"/>
        <v/>
      </c>
      <c r="AN79" s="20" t="str">
        <f t="shared" si="68"/>
        <v/>
      </c>
      <c r="AO79" s="51" t="b">
        <f t="shared" si="785"/>
        <v>0</v>
      </c>
      <c r="AP79" s="51" t="b">
        <f t="shared" si="785"/>
        <v>0</v>
      </c>
      <c r="AQ79" s="51" t="b">
        <f t="shared" si="785"/>
        <v>0</v>
      </c>
      <c r="AR79" s="51" t="b">
        <f t="shared" si="785"/>
        <v>0</v>
      </c>
      <c r="AS79" s="51" t="str">
        <f t="shared" si="70"/>
        <v/>
      </c>
      <c r="AT79" s="19" t="str">
        <f t="shared" si="71"/>
        <v/>
      </c>
      <c r="AU79" s="20" t="str">
        <f t="shared" si="72"/>
        <v/>
      </c>
      <c r="AV79" s="51" t="str">
        <f t="shared" ref="AV79:AY79" si="1067">AV33</f>
        <v>FALSE</v>
      </c>
      <c r="AW79" s="51" t="str">
        <f t="shared" si="1067"/>
        <v>FALSE</v>
      </c>
      <c r="AX79" s="51" t="str">
        <f t="shared" si="1067"/>
        <v>FALSE</v>
      </c>
      <c r="AY79" s="51" t="str">
        <f t="shared" si="1067"/>
        <v>FALSE</v>
      </c>
      <c r="AZ79" s="20" t="str">
        <f t="shared" si="74"/>
        <v/>
      </c>
      <c r="BA79" s="51" t="str">
        <f t="shared" si="75"/>
        <v/>
      </c>
      <c r="BB79" s="20" t="str">
        <f t="shared" si="76"/>
        <v/>
      </c>
      <c r="BC79" s="51" t="str">
        <f t="shared" ref="BC79:BF79" si="1068">BC33</f>
        <v>FALSE</v>
      </c>
      <c r="BD79" s="51" t="str">
        <f t="shared" si="1068"/>
        <v>FALSE</v>
      </c>
      <c r="BE79" s="51" t="str">
        <f t="shared" si="1068"/>
        <v>FALSE</v>
      </c>
      <c r="BF79" s="51" t="str">
        <f t="shared" si="1068"/>
        <v>FALSE</v>
      </c>
      <c r="BG79" s="20" t="str">
        <f t="shared" si="77"/>
        <v/>
      </c>
      <c r="BH79" s="51" t="str">
        <f t="shared" si="78"/>
        <v/>
      </c>
      <c r="BI79" s="20" t="str">
        <f t="shared" si="79"/>
        <v/>
      </c>
      <c r="BJ79" s="51" t="b">
        <f t="shared" ref="BJ79:BM79" si="1069">BJ33</f>
        <v>0</v>
      </c>
      <c r="BK79" s="51" t="b">
        <f t="shared" si="1069"/>
        <v>0</v>
      </c>
      <c r="BL79" s="51" t="b">
        <f t="shared" si="1069"/>
        <v>0</v>
      </c>
      <c r="BM79" s="51" t="b">
        <f t="shared" si="1069"/>
        <v>0</v>
      </c>
      <c r="BN79" s="51" t="str">
        <f t="shared" si="81"/>
        <v/>
      </c>
      <c r="BO79" s="19" t="str">
        <f t="shared" si="82"/>
        <v/>
      </c>
      <c r="BP79" s="20" t="str">
        <f t="shared" si="83"/>
        <v/>
      </c>
      <c r="BQ79" s="51" t="b">
        <f t="shared" ref="BQ79:BT79" si="1070">BQ33</f>
        <v>0</v>
      </c>
      <c r="BR79" s="51" t="b">
        <f t="shared" si="1070"/>
        <v>0</v>
      </c>
      <c r="BS79" s="51" t="b">
        <f t="shared" si="1070"/>
        <v>0</v>
      </c>
      <c r="BT79" s="51" t="b">
        <f t="shared" si="1070"/>
        <v>0</v>
      </c>
      <c r="BU79" s="20" t="str">
        <f t="shared" si="85"/>
        <v/>
      </c>
      <c r="BV79" s="51" t="str">
        <f t="shared" si="86"/>
        <v/>
      </c>
      <c r="BW79" s="20" t="str">
        <f t="shared" si="87"/>
        <v/>
      </c>
      <c r="BX79" s="51" t="b">
        <f t="shared" ref="BX79:BY79" si="1071">BX33</f>
        <v>0</v>
      </c>
      <c r="BY79" s="51" t="b">
        <f t="shared" si="1071"/>
        <v>0</v>
      </c>
      <c r="BZ79" s="51" t="b">
        <f t="shared" ref="BZ79:CA79" si="1072">BZ33</f>
        <v>0</v>
      </c>
      <c r="CA79" s="51" t="b">
        <f t="shared" si="1072"/>
        <v>0</v>
      </c>
      <c r="CB79" s="20" t="str">
        <f t="shared" si="88"/>
        <v/>
      </c>
      <c r="CC79" s="51" t="str">
        <f t="shared" si="89"/>
        <v/>
      </c>
      <c r="CD79" s="20" t="str">
        <f t="shared" si="90"/>
        <v/>
      </c>
      <c r="CE79" s="51" t="b">
        <f t="shared" ref="CE79:CH79" si="1073">CE33</f>
        <v>0</v>
      </c>
      <c r="CF79" s="51" t="b">
        <f t="shared" si="1073"/>
        <v>0</v>
      </c>
      <c r="CG79" s="51" t="b">
        <f t="shared" si="1073"/>
        <v>0</v>
      </c>
      <c r="CH79" s="51" t="b">
        <f t="shared" si="1073"/>
        <v>0</v>
      </c>
      <c r="CI79" s="51" t="str">
        <f t="shared" si="92"/>
        <v/>
      </c>
      <c r="CJ79" s="19" t="str">
        <f t="shared" si="93"/>
        <v/>
      </c>
      <c r="CK79" s="20" t="str">
        <f t="shared" si="94"/>
        <v/>
      </c>
      <c r="CL79" s="51" t="b">
        <f t="shared" ref="CL79:CO79" si="1074">CL33</f>
        <v>0</v>
      </c>
      <c r="CM79" s="51" t="b">
        <f t="shared" si="1074"/>
        <v>0</v>
      </c>
      <c r="CN79" s="51" t="b">
        <f t="shared" si="1074"/>
        <v>0</v>
      </c>
      <c r="CO79" s="51" t="b">
        <f t="shared" si="1074"/>
        <v>0</v>
      </c>
      <c r="CP79" s="20" t="str">
        <f t="shared" si="96"/>
        <v/>
      </c>
      <c r="CQ79" s="51" t="str">
        <f t="shared" si="97"/>
        <v/>
      </c>
      <c r="CR79" s="20" t="str">
        <f t="shared" si="98"/>
        <v/>
      </c>
      <c r="CS79" s="51" t="b">
        <f t="shared" ref="CS79:CT79" si="1075">CS33</f>
        <v>0</v>
      </c>
      <c r="CT79" s="51" t="b">
        <f t="shared" si="1075"/>
        <v>0</v>
      </c>
      <c r="CU79" s="51" t="b">
        <f t="shared" ref="CU79:CV79" si="1076">CU33</f>
        <v>0</v>
      </c>
      <c r="CV79" s="51" t="b">
        <f t="shared" si="1076"/>
        <v>0</v>
      </c>
      <c r="CW79" s="20" t="str">
        <f t="shared" si="99"/>
        <v/>
      </c>
      <c r="CX79" s="51" t="str">
        <f t="shared" si="100"/>
        <v/>
      </c>
      <c r="CY79" s="20" t="str">
        <f t="shared" si="101"/>
        <v/>
      </c>
      <c r="CZ79" s="51" t="b">
        <f t="shared" ref="CZ79:DC79" si="1077">CZ33</f>
        <v>0</v>
      </c>
      <c r="DA79" s="51" t="b">
        <f t="shared" si="1077"/>
        <v>0</v>
      </c>
      <c r="DB79" s="51" t="b">
        <f t="shared" si="1077"/>
        <v>0</v>
      </c>
      <c r="DC79" s="51" t="b">
        <f t="shared" si="1077"/>
        <v>0</v>
      </c>
      <c r="DD79" s="51" t="str">
        <f t="shared" si="103"/>
        <v/>
      </c>
      <c r="DE79" s="19" t="str">
        <f t="shared" si="104"/>
        <v/>
      </c>
      <c r="DF79" s="20" t="str">
        <f t="shared" si="105"/>
        <v/>
      </c>
      <c r="DG79" s="51" t="b">
        <f t="shared" ref="DG79:DJ79" si="1078">DG33</f>
        <v>0</v>
      </c>
      <c r="DH79" s="51" t="b">
        <f t="shared" si="1078"/>
        <v>0</v>
      </c>
      <c r="DI79" s="51" t="b">
        <f t="shared" si="1078"/>
        <v>0</v>
      </c>
      <c r="DJ79" s="51" t="b">
        <f t="shared" si="1078"/>
        <v>0</v>
      </c>
      <c r="DK79" s="20" t="str">
        <f t="shared" si="107"/>
        <v/>
      </c>
      <c r="DL79" s="51" t="str">
        <f t="shared" si="108"/>
        <v/>
      </c>
      <c r="DM79" s="20" t="str">
        <f t="shared" si="109"/>
        <v/>
      </c>
      <c r="DN79" s="51" t="b">
        <f t="shared" ref="DN79:DO79" si="1079">DN33</f>
        <v>0</v>
      </c>
      <c r="DO79" s="51" t="b">
        <f t="shared" si="1079"/>
        <v>0</v>
      </c>
      <c r="DP79" s="51" t="b">
        <f t="shared" ref="DP79:DQ79" si="1080">DP33</f>
        <v>0</v>
      </c>
      <c r="DQ79" s="51" t="b">
        <f t="shared" si="1080"/>
        <v>0</v>
      </c>
      <c r="DR79" s="20" t="str">
        <f t="shared" si="110"/>
        <v/>
      </c>
      <c r="DS79" s="51" t="str">
        <f t="shared" si="111"/>
        <v/>
      </c>
      <c r="DT79" s="20" t="str">
        <f t="shared" si="112"/>
        <v/>
      </c>
      <c r="DU79" s="51" t="b">
        <f t="shared" ref="DU79:DX79" si="1081">DU33</f>
        <v>0</v>
      </c>
      <c r="DV79" s="51" t="b">
        <f t="shared" si="1081"/>
        <v>0</v>
      </c>
      <c r="DW79" s="51" t="b">
        <f t="shared" si="1081"/>
        <v>0</v>
      </c>
      <c r="DX79" s="51" t="b">
        <f t="shared" si="1081"/>
        <v>0</v>
      </c>
      <c r="DY79" s="51" t="str">
        <f t="shared" si="114"/>
        <v/>
      </c>
      <c r="DZ79" s="19" t="str">
        <f t="shared" si="115"/>
        <v/>
      </c>
      <c r="EA79" s="20" t="str">
        <f t="shared" si="116"/>
        <v/>
      </c>
      <c r="EB79" s="51" t="b">
        <f t="shared" ref="EB79:EE79" si="1082">EB33</f>
        <v>0</v>
      </c>
      <c r="EC79" s="51" t="b">
        <f t="shared" si="1082"/>
        <v>0</v>
      </c>
      <c r="ED79" s="51" t="b">
        <f t="shared" si="1082"/>
        <v>0</v>
      </c>
      <c r="EE79" s="51" t="b">
        <f t="shared" si="1082"/>
        <v>0</v>
      </c>
      <c r="EF79" s="20" t="str">
        <f t="shared" si="118"/>
        <v/>
      </c>
      <c r="EG79" s="51" t="str">
        <f t="shared" si="119"/>
        <v/>
      </c>
      <c r="EH79" s="20" t="str">
        <f t="shared" si="120"/>
        <v/>
      </c>
      <c r="EI79" s="51" t="b">
        <f t="shared" ref="EI79:EJ79" si="1083">EI33</f>
        <v>0</v>
      </c>
      <c r="EJ79" s="51" t="b">
        <f t="shared" si="1083"/>
        <v>0</v>
      </c>
      <c r="EK79" s="51" t="b">
        <f t="shared" ref="EK79:EL79" si="1084">EK33</f>
        <v>0</v>
      </c>
      <c r="EL79" s="51" t="b">
        <f t="shared" si="1084"/>
        <v>0</v>
      </c>
      <c r="EM79" s="20" t="str">
        <f t="shared" si="121"/>
        <v/>
      </c>
      <c r="EN79" s="51" t="str">
        <f t="shared" si="122"/>
        <v/>
      </c>
      <c r="EO79" s="20" t="str">
        <f t="shared" si="123"/>
        <v/>
      </c>
      <c r="EP79" s="51" t="b">
        <f t="shared" ref="EP79:ES79" si="1085">EP33</f>
        <v>0</v>
      </c>
      <c r="EQ79" s="51" t="b">
        <f t="shared" si="1085"/>
        <v>0</v>
      </c>
      <c r="ER79" s="51" t="b">
        <f t="shared" si="1085"/>
        <v>0</v>
      </c>
      <c r="ES79" s="51" t="b">
        <f t="shared" si="1085"/>
        <v>0</v>
      </c>
      <c r="ET79" s="51" t="str">
        <f t="shared" si="125"/>
        <v/>
      </c>
      <c r="EU79" s="19" t="str">
        <f t="shared" si="126"/>
        <v/>
      </c>
      <c r="EV79" s="20" t="str">
        <f t="shared" si="127"/>
        <v/>
      </c>
      <c r="EW79" s="51" t="b">
        <f t="shared" ref="EW79:EZ79" si="1086">EW33</f>
        <v>0</v>
      </c>
      <c r="EX79" s="51" t="b">
        <f t="shared" si="1086"/>
        <v>0</v>
      </c>
      <c r="EY79" s="51" t="b">
        <f t="shared" si="1086"/>
        <v>0</v>
      </c>
      <c r="EZ79" s="51" t="b">
        <f t="shared" si="1086"/>
        <v>0</v>
      </c>
      <c r="FA79" s="20" t="str">
        <f t="shared" si="129"/>
        <v/>
      </c>
      <c r="FB79" s="51" t="str">
        <f t="shared" si="130"/>
        <v/>
      </c>
      <c r="FC79" s="20" t="str">
        <f t="shared" si="131"/>
        <v/>
      </c>
      <c r="FD79" s="51" t="b">
        <f t="shared" ref="FD79:FE79" si="1087">FD33</f>
        <v>0</v>
      </c>
      <c r="FE79" s="51" t="b">
        <f t="shared" si="1087"/>
        <v>0</v>
      </c>
      <c r="FF79" s="51" t="b">
        <f t="shared" ref="FF79:FG79" si="1088">FF33</f>
        <v>0</v>
      </c>
      <c r="FG79" s="51" t="b">
        <f t="shared" si="1088"/>
        <v>0</v>
      </c>
      <c r="FH79" s="20" t="str">
        <f t="shared" si="132"/>
        <v/>
      </c>
      <c r="FI79" s="51" t="str">
        <f t="shared" si="133"/>
        <v/>
      </c>
      <c r="FJ79" s="20" t="str">
        <f t="shared" si="134"/>
        <v/>
      </c>
      <c r="FK79" s="51" t="b">
        <f t="shared" ref="FK79:FN79" si="1089">FK33</f>
        <v>0</v>
      </c>
      <c r="FL79" s="51" t="b">
        <f t="shared" si="1089"/>
        <v>0</v>
      </c>
      <c r="FM79" s="51" t="b">
        <f t="shared" si="1089"/>
        <v>0</v>
      </c>
      <c r="FN79" s="51" t="b">
        <f t="shared" si="1089"/>
        <v>0</v>
      </c>
      <c r="FO79" s="51" t="str">
        <f t="shared" si="136"/>
        <v/>
      </c>
      <c r="FP79" s="19" t="str">
        <f t="shared" si="137"/>
        <v/>
      </c>
      <c r="FQ79" s="20" t="str">
        <f t="shared" si="138"/>
        <v/>
      </c>
      <c r="FR79" s="51" t="b">
        <f t="shared" ref="FR79:FU79" si="1090">FR33</f>
        <v>0</v>
      </c>
      <c r="FS79" s="51" t="b">
        <f t="shared" si="1090"/>
        <v>0</v>
      </c>
      <c r="FT79" s="51" t="b">
        <f t="shared" si="1090"/>
        <v>0</v>
      </c>
      <c r="FU79" s="51" t="b">
        <f t="shared" si="1090"/>
        <v>0</v>
      </c>
      <c r="FV79" s="20" t="str">
        <f t="shared" si="140"/>
        <v/>
      </c>
      <c r="FW79" s="51" t="str">
        <f t="shared" si="141"/>
        <v/>
      </c>
      <c r="FX79" s="20" t="str">
        <f t="shared" si="142"/>
        <v/>
      </c>
      <c r="FY79" s="51" t="b">
        <f t="shared" ref="FY79:FZ79" si="1091">FY33</f>
        <v>0</v>
      </c>
      <c r="FZ79" s="51" t="b">
        <f t="shared" si="1091"/>
        <v>0</v>
      </c>
      <c r="GA79" s="51" t="b">
        <f t="shared" ref="GA79:GB79" si="1092">GA33</f>
        <v>0</v>
      </c>
      <c r="GB79" s="51" t="b">
        <f t="shared" si="1092"/>
        <v>0</v>
      </c>
      <c r="GC79" s="20" t="str">
        <f t="shared" si="143"/>
        <v/>
      </c>
      <c r="GD79" s="51" t="str">
        <f t="shared" si="144"/>
        <v/>
      </c>
      <c r="GE79" s="20" t="str">
        <f t="shared" si="145"/>
        <v/>
      </c>
      <c r="GF79" s="51" t="b">
        <f t="shared" ref="GF79:GI79" si="1093">GF33</f>
        <v>0</v>
      </c>
      <c r="GG79" s="51" t="b">
        <f t="shared" si="1093"/>
        <v>0</v>
      </c>
      <c r="GH79" s="51" t="b">
        <f t="shared" si="1093"/>
        <v>0</v>
      </c>
      <c r="GI79" s="51" t="b">
        <f t="shared" si="1093"/>
        <v>0</v>
      </c>
      <c r="GJ79" s="51" t="str">
        <f t="shared" si="147"/>
        <v/>
      </c>
      <c r="GK79" s="19" t="str">
        <f t="shared" si="148"/>
        <v/>
      </c>
      <c r="GL79" s="20" t="str">
        <f t="shared" si="149"/>
        <v/>
      </c>
      <c r="GM79" s="51" t="b">
        <f t="shared" ref="GM79:GP79" si="1094">GM33</f>
        <v>0</v>
      </c>
      <c r="GN79" s="51" t="b">
        <f t="shared" si="1094"/>
        <v>0</v>
      </c>
      <c r="GO79" s="51" t="b">
        <f t="shared" si="1094"/>
        <v>0</v>
      </c>
      <c r="GP79" s="51" t="b">
        <f t="shared" si="1094"/>
        <v>0</v>
      </c>
      <c r="GQ79" s="20" t="str">
        <f t="shared" si="151"/>
        <v/>
      </c>
      <c r="GR79" s="51" t="str">
        <f t="shared" si="152"/>
        <v/>
      </c>
      <c r="GS79" s="20" t="str">
        <f t="shared" si="153"/>
        <v/>
      </c>
      <c r="GT79" s="51" t="b">
        <f t="shared" ref="GT79:GU79" si="1095">GT33</f>
        <v>0</v>
      </c>
      <c r="GU79" s="51" t="b">
        <f t="shared" si="1095"/>
        <v>0</v>
      </c>
      <c r="GV79" s="51" t="b">
        <f t="shared" ref="GV79:GW79" si="1096">GV33</f>
        <v>0</v>
      </c>
      <c r="GW79" s="51" t="b">
        <f t="shared" si="1096"/>
        <v>0</v>
      </c>
      <c r="GX79" s="20" t="str">
        <f t="shared" si="154"/>
        <v/>
      </c>
      <c r="GY79" s="51" t="str">
        <f t="shared" si="155"/>
        <v/>
      </c>
      <c r="GZ79" s="20" t="str">
        <f t="shared" si="156"/>
        <v/>
      </c>
      <c r="HA79" s="51" t="b">
        <f t="shared" ref="HA79:HD79" si="1097">HA33</f>
        <v>0</v>
      </c>
      <c r="HB79" s="51" t="b">
        <f t="shared" si="1097"/>
        <v>0</v>
      </c>
      <c r="HC79" s="51" t="b">
        <f t="shared" si="1097"/>
        <v>0</v>
      </c>
      <c r="HD79" s="51" t="b">
        <f t="shared" si="1097"/>
        <v>0</v>
      </c>
      <c r="HE79" s="51" t="str">
        <f t="shared" si="158"/>
        <v/>
      </c>
      <c r="HF79" s="19" t="str">
        <f t="shared" si="159"/>
        <v/>
      </c>
      <c r="HG79" s="20" t="str">
        <f t="shared" si="160"/>
        <v/>
      </c>
      <c r="HH79" s="51" t="b">
        <f t="shared" ref="HH79:HK79" si="1098">HH33</f>
        <v>0</v>
      </c>
      <c r="HI79" s="51" t="b">
        <f t="shared" si="1098"/>
        <v>0</v>
      </c>
      <c r="HJ79" s="51" t="b">
        <f t="shared" si="1098"/>
        <v>0</v>
      </c>
      <c r="HK79" s="51" t="b">
        <f t="shared" si="1098"/>
        <v>0</v>
      </c>
      <c r="HL79" s="20" t="str">
        <f t="shared" si="162"/>
        <v/>
      </c>
      <c r="HM79" s="51" t="str">
        <f t="shared" si="163"/>
        <v/>
      </c>
      <c r="HN79" s="20" t="str">
        <f t="shared" si="164"/>
        <v/>
      </c>
      <c r="HO79" s="51" t="b">
        <f t="shared" ref="HO79:HP79" si="1099">HO33</f>
        <v>0</v>
      </c>
      <c r="HP79" s="51" t="b">
        <f t="shared" si="1099"/>
        <v>0</v>
      </c>
      <c r="HQ79" s="51" t="b">
        <f t="shared" ref="HQ79:HR79" si="1100">HQ33</f>
        <v>0</v>
      </c>
      <c r="HR79" s="51" t="b">
        <f t="shared" si="1100"/>
        <v>0</v>
      </c>
      <c r="HS79" s="20" t="str">
        <f t="shared" si="165"/>
        <v/>
      </c>
      <c r="HT79" s="51" t="str">
        <f t="shared" si="166"/>
        <v/>
      </c>
      <c r="HU79" s="20" t="str">
        <f t="shared" si="167"/>
        <v/>
      </c>
      <c r="HV79" s="51" t="b">
        <f t="shared" ref="HV79:HY79" si="1101">HV33</f>
        <v>0</v>
      </c>
      <c r="HW79" s="51" t="b">
        <f t="shared" si="1101"/>
        <v>0</v>
      </c>
      <c r="HX79" s="51" t="b">
        <f t="shared" si="1101"/>
        <v>0</v>
      </c>
      <c r="HY79" s="51" t="b">
        <f t="shared" si="1101"/>
        <v>0</v>
      </c>
      <c r="HZ79" s="51" t="str">
        <f t="shared" si="169"/>
        <v/>
      </c>
      <c r="IA79" s="19" t="str">
        <f t="shared" si="170"/>
        <v/>
      </c>
      <c r="IB79" s="20" t="str">
        <f t="shared" si="171"/>
        <v/>
      </c>
      <c r="IC79" s="51" t="b">
        <f t="shared" ref="IC79:IF79" si="1102">IC33</f>
        <v>0</v>
      </c>
      <c r="ID79" s="51" t="b">
        <f t="shared" si="1102"/>
        <v>0</v>
      </c>
      <c r="IE79" s="51" t="b">
        <f t="shared" si="1102"/>
        <v>0</v>
      </c>
      <c r="IF79" s="51" t="b">
        <f t="shared" si="1102"/>
        <v>0</v>
      </c>
      <c r="IG79" s="20" t="str">
        <f t="shared" si="173"/>
        <v/>
      </c>
      <c r="IH79" s="51" t="str">
        <f t="shared" si="174"/>
        <v/>
      </c>
      <c r="II79" s="20" t="str">
        <f t="shared" si="175"/>
        <v/>
      </c>
      <c r="IJ79" s="51" t="b">
        <f t="shared" ref="IJ79:IK79" si="1103">IJ33</f>
        <v>0</v>
      </c>
      <c r="IK79" s="51" t="b">
        <f t="shared" si="1103"/>
        <v>0</v>
      </c>
      <c r="IL79" s="51" t="b">
        <f t="shared" ref="IL79:IM79" si="1104">IL33</f>
        <v>0</v>
      </c>
      <c r="IM79" s="51" t="b">
        <f t="shared" si="1104"/>
        <v>0</v>
      </c>
      <c r="IN79" s="20" t="str">
        <f t="shared" si="176"/>
        <v/>
      </c>
      <c r="IO79" s="51" t="str">
        <f t="shared" si="177"/>
        <v/>
      </c>
      <c r="IP79" s="20" t="str">
        <f t="shared" si="178"/>
        <v/>
      </c>
      <c r="IQ79" s="51" t="b">
        <f t="shared" ref="IQ79:IT79" si="1105">IQ33</f>
        <v>0</v>
      </c>
      <c r="IR79" s="51" t="b">
        <f t="shared" si="1105"/>
        <v>0</v>
      </c>
      <c r="IS79" s="51" t="b">
        <f t="shared" si="1105"/>
        <v>0</v>
      </c>
      <c r="IT79" s="51" t="b">
        <f t="shared" si="1105"/>
        <v>0</v>
      </c>
      <c r="IU79" s="51" t="str">
        <f t="shared" si="180"/>
        <v/>
      </c>
      <c r="IV79" s="116"/>
    </row>
    <row r="80" spans="1:256" x14ac:dyDescent="0.2">
      <c r="C80">
        <v>25</v>
      </c>
      <c r="D80" s="19" t="str">
        <f t="shared" si="48"/>
        <v/>
      </c>
      <c r="E80" s="20" t="str">
        <f t="shared" si="49"/>
        <v/>
      </c>
      <c r="F80" s="51" t="b">
        <f t="shared" si="781"/>
        <v>0</v>
      </c>
      <c r="G80" s="51" t="b">
        <f t="shared" si="781"/>
        <v>0</v>
      </c>
      <c r="H80" s="51" t="b">
        <f t="shared" si="781"/>
        <v>0</v>
      </c>
      <c r="I80" s="51" t="b">
        <f t="shared" si="781"/>
        <v>0</v>
      </c>
      <c r="J80" s="20" t="str">
        <f t="shared" si="51"/>
        <v/>
      </c>
      <c r="K80" s="51" t="str">
        <f t="shared" si="52"/>
        <v/>
      </c>
      <c r="L80" s="20" t="str">
        <f t="shared" si="53"/>
        <v/>
      </c>
      <c r="M80" s="51" t="b">
        <f t="shared" si="825"/>
        <v>0</v>
      </c>
      <c r="N80" s="51" t="b">
        <f t="shared" si="825"/>
        <v>0</v>
      </c>
      <c r="O80" s="51" t="b">
        <f t="shared" si="825"/>
        <v>0</v>
      </c>
      <c r="P80" s="51" t="b">
        <f t="shared" si="825"/>
        <v>0</v>
      </c>
      <c r="Q80" s="20" t="str">
        <f t="shared" si="55"/>
        <v/>
      </c>
      <c r="R80" s="51" t="str">
        <f t="shared" si="56"/>
        <v/>
      </c>
      <c r="S80" s="51" t="str">
        <f t="shared" si="57"/>
        <v/>
      </c>
      <c r="T80" s="51" t="b">
        <f t="shared" si="782"/>
        <v>0</v>
      </c>
      <c r="U80" s="51" t="b">
        <f t="shared" si="782"/>
        <v>0</v>
      </c>
      <c r="V80" s="51" t="b">
        <f t="shared" si="782"/>
        <v>0</v>
      </c>
      <c r="W80" s="51" t="b">
        <f t="shared" si="782"/>
        <v>0</v>
      </c>
      <c r="X80" s="22" t="str">
        <f t="shared" si="59"/>
        <v/>
      </c>
      <c r="Y80" s="19" t="str">
        <f t="shared" si="60"/>
        <v/>
      </c>
      <c r="Z80" s="20" t="str">
        <f t="shared" si="61"/>
        <v/>
      </c>
      <c r="AA80" s="51" t="b">
        <f t="shared" si="783"/>
        <v>0</v>
      </c>
      <c r="AB80" s="51" t="b">
        <f t="shared" si="783"/>
        <v>0</v>
      </c>
      <c r="AC80" s="51" t="b">
        <f t="shared" si="783"/>
        <v>0</v>
      </c>
      <c r="AD80" s="51" t="b">
        <f t="shared" si="783"/>
        <v>0</v>
      </c>
      <c r="AE80" s="20" t="str">
        <f t="shared" si="63"/>
        <v/>
      </c>
      <c r="AF80" s="51" t="str">
        <f t="shared" si="64"/>
        <v/>
      </c>
      <c r="AG80" s="20" t="str">
        <f t="shared" si="65"/>
        <v/>
      </c>
      <c r="AH80" s="51" t="b">
        <f t="shared" ref="AH80:AK80" si="1106">AH34</f>
        <v>0</v>
      </c>
      <c r="AI80" s="51" t="b">
        <f t="shared" si="1106"/>
        <v>0</v>
      </c>
      <c r="AJ80" s="51" t="b">
        <f t="shared" si="1106"/>
        <v>0</v>
      </c>
      <c r="AK80" s="51" t="b">
        <f t="shared" si="1106"/>
        <v>0</v>
      </c>
      <c r="AL80" s="20" t="str">
        <f t="shared" si="66"/>
        <v/>
      </c>
      <c r="AM80" s="51" t="str">
        <f t="shared" si="67"/>
        <v/>
      </c>
      <c r="AN80" s="20" t="str">
        <f t="shared" si="68"/>
        <v/>
      </c>
      <c r="AO80" s="51" t="b">
        <f t="shared" si="785"/>
        <v>0</v>
      </c>
      <c r="AP80" s="51" t="b">
        <f t="shared" si="785"/>
        <v>0</v>
      </c>
      <c r="AQ80" s="51" t="b">
        <f t="shared" si="785"/>
        <v>0</v>
      </c>
      <c r="AR80" s="51" t="b">
        <f t="shared" si="785"/>
        <v>0</v>
      </c>
      <c r="AS80" s="51" t="str">
        <f t="shared" si="70"/>
        <v/>
      </c>
      <c r="AT80" s="19" t="str">
        <f t="shared" si="71"/>
        <v/>
      </c>
      <c r="AU80" s="20" t="str">
        <f t="shared" si="72"/>
        <v/>
      </c>
      <c r="AV80" s="51" t="b">
        <f t="shared" ref="AV80:AY80" si="1107">AV34</f>
        <v>0</v>
      </c>
      <c r="AW80" s="51" t="b">
        <f t="shared" si="1107"/>
        <v>0</v>
      </c>
      <c r="AX80" s="51" t="b">
        <f t="shared" si="1107"/>
        <v>0</v>
      </c>
      <c r="AY80" s="51" t="b">
        <f t="shared" si="1107"/>
        <v>0</v>
      </c>
      <c r="AZ80" s="20" t="str">
        <f t="shared" si="74"/>
        <v/>
      </c>
      <c r="BA80" s="51" t="str">
        <f t="shared" si="75"/>
        <v/>
      </c>
      <c r="BB80" s="20" t="str">
        <f t="shared" si="76"/>
        <v/>
      </c>
      <c r="BC80" s="51" t="b">
        <f t="shared" ref="BC80:BF80" si="1108">BC34</f>
        <v>0</v>
      </c>
      <c r="BD80" s="51" t="b">
        <f t="shared" si="1108"/>
        <v>0</v>
      </c>
      <c r="BE80" s="51" t="b">
        <f t="shared" si="1108"/>
        <v>0</v>
      </c>
      <c r="BF80" s="51" t="b">
        <f t="shared" si="1108"/>
        <v>0</v>
      </c>
      <c r="BG80" s="20" t="str">
        <f t="shared" si="77"/>
        <v/>
      </c>
      <c r="BH80" s="51" t="str">
        <f t="shared" si="78"/>
        <v/>
      </c>
      <c r="BI80" s="20" t="str">
        <f t="shared" si="79"/>
        <v/>
      </c>
      <c r="BJ80" s="51" t="b">
        <f t="shared" ref="BJ80:BM80" si="1109">BJ34</f>
        <v>0</v>
      </c>
      <c r="BK80" s="51" t="b">
        <f t="shared" si="1109"/>
        <v>0</v>
      </c>
      <c r="BL80" s="51" t="b">
        <f t="shared" si="1109"/>
        <v>0</v>
      </c>
      <c r="BM80" s="51" t="b">
        <f t="shared" si="1109"/>
        <v>0</v>
      </c>
      <c r="BN80" s="51" t="str">
        <f t="shared" si="81"/>
        <v/>
      </c>
      <c r="BO80" s="19" t="str">
        <f t="shared" si="82"/>
        <v/>
      </c>
      <c r="BP80" s="20" t="str">
        <f t="shared" si="83"/>
        <v/>
      </c>
      <c r="BQ80" s="51" t="b">
        <f t="shared" ref="BQ80:BT80" si="1110">BQ34</f>
        <v>0</v>
      </c>
      <c r="BR80" s="51" t="b">
        <f t="shared" si="1110"/>
        <v>0</v>
      </c>
      <c r="BS80" s="51" t="b">
        <f t="shared" si="1110"/>
        <v>0</v>
      </c>
      <c r="BT80" s="51" t="b">
        <f t="shared" si="1110"/>
        <v>0</v>
      </c>
      <c r="BU80" s="20" t="str">
        <f t="shared" si="85"/>
        <v/>
      </c>
      <c r="BV80" s="51" t="str">
        <f t="shared" si="86"/>
        <v/>
      </c>
      <c r="BW80" s="20" t="str">
        <f t="shared" si="87"/>
        <v/>
      </c>
      <c r="BX80" s="51" t="b">
        <f t="shared" ref="BX80:BY80" si="1111">BX34</f>
        <v>0</v>
      </c>
      <c r="BY80" s="51" t="b">
        <f t="shared" si="1111"/>
        <v>0</v>
      </c>
      <c r="BZ80" s="51" t="b">
        <f t="shared" ref="BZ80:CA80" si="1112">BZ34</f>
        <v>0</v>
      </c>
      <c r="CA80" s="51" t="b">
        <f t="shared" si="1112"/>
        <v>0</v>
      </c>
      <c r="CB80" s="20" t="str">
        <f t="shared" si="88"/>
        <v/>
      </c>
      <c r="CC80" s="51" t="str">
        <f t="shared" si="89"/>
        <v/>
      </c>
      <c r="CD80" s="20" t="str">
        <f t="shared" si="90"/>
        <v/>
      </c>
      <c r="CE80" s="51" t="b">
        <f t="shared" ref="CE80:CH80" si="1113">CE34</f>
        <v>0</v>
      </c>
      <c r="CF80" s="51" t="b">
        <f t="shared" si="1113"/>
        <v>0</v>
      </c>
      <c r="CG80" s="51" t="b">
        <f t="shared" si="1113"/>
        <v>0</v>
      </c>
      <c r="CH80" s="51" t="b">
        <f t="shared" si="1113"/>
        <v>0</v>
      </c>
      <c r="CI80" s="51" t="str">
        <f t="shared" si="92"/>
        <v/>
      </c>
      <c r="CJ80" s="19" t="str">
        <f t="shared" si="93"/>
        <v/>
      </c>
      <c r="CK80" s="20" t="str">
        <f t="shared" si="94"/>
        <v/>
      </c>
      <c r="CL80" s="51" t="b">
        <f t="shared" ref="CL80:CO80" si="1114">CL34</f>
        <v>0</v>
      </c>
      <c r="CM80" s="51" t="b">
        <f t="shared" si="1114"/>
        <v>0</v>
      </c>
      <c r="CN80" s="51" t="b">
        <f t="shared" si="1114"/>
        <v>0</v>
      </c>
      <c r="CO80" s="51" t="b">
        <f t="shared" si="1114"/>
        <v>0</v>
      </c>
      <c r="CP80" s="20" t="str">
        <f t="shared" si="96"/>
        <v/>
      </c>
      <c r="CQ80" s="51" t="str">
        <f t="shared" si="97"/>
        <v/>
      </c>
      <c r="CR80" s="20" t="str">
        <f t="shared" si="98"/>
        <v/>
      </c>
      <c r="CS80" s="51" t="b">
        <f t="shared" ref="CS80:CT80" si="1115">CS34</f>
        <v>0</v>
      </c>
      <c r="CT80" s="51" t="b">
        <f t="shared" si="1115"/>
        <v>0</v>
      </c>
      <c r="CU80" s="51" t="b">
        <f t="shared" ref="CU80:CV80" si="1116">CU34</f>
        <v>0</v>
      </c>
      <c r="CV80" s="51" t="b">
        <f t="shared" si="1116"/>
        <v>0</v>
      </c>
      <c r="CW80" s="20" t="str">
        <f t="shared" si="99"/>
        <v/>
      </c>
      <c r="CX80" s="51" t="str">
        <f t="shared" si="100"/>
        <v/>
      </c>
      <c r="CY80" s="20" t="str">
        <f t="shared" si="101"/>
        <v/>
      </c>
      <c r="CZ80" s="51" t="b">
        <f t="shared" ref="CZ80:DC80" si="1117">CZ34</f>
        <v>0</v>
      </c>
      <c r="DA80" s="51" t="b">
        <f t="shared" si="1117"/>
        <v>0</v>
      </c>
      <c r="DB80" s="51" t="b">
        <f t="shared" si="1117"/>
        <v>0</v>
      </c>
      <c r="DC80" s="51" t="b">
        <f t="shared" si="1117"/>
        <v>0</v>
      </c>
      <c r="DD80" s="51" t="str">
        <f t="shared" si="103"/>
        <v/>
      </c>
      <c r="DE80" s="19" t="str">
        <f t="shared" si="104"/>
        <v/>
      </c>
      <c r="DF80" s="20" t="str">
        <f t="shared" si="105"/>
        <v/>
      </c>
      <c r="DG80" s="51" t="b">
        <f t="shared" ref="DG80:DJ80" si="1118">DG34</f>
        <v>0</v>
      </c>
      <c r="DH80" s="51" t="b">
        <f t="shared" si="1118"/>
        <v>0</v>
      </c>
      <c r="DI80" s="51" t="b">
        <f t="shared" si="1118"/>
        <v>0</v>
      </c>
      <c r="DJ80" s="51" t="b">
        <f t="shared" si="1118"/>
        <v>0</v>
      </c>
      <c r="DK80" s="20" t="str">
        <f t="shared" si="107"/>
        <v/>
      </c>
      <c r="DL80" s="51" t="str">
        <f t="shared" si="108"/>
        <v/>
      </c>
      <c r="DM80" s="20" t="str">
        <f t="shared" si="109"/>
        <v/>
      </c>
      <c r="DN80" s="51" t="b">
        <f t="shared" ref="DN80:DO80" si="1119">DN34</f>
        <v>0</v>
      </c>
      <c r="DO80" s="51" t="b">
        <f t="shared" si="1119"/>
        <v>0</v>
      </c>
      <c r="DP80" s="51" t="b">
        <f t="shared" ref="DP80:DQ80" si="1120">DP34</f>
        <v>0</v>
      </c>
      <c r="DQ80" s="51" t="b">
        <f t="shared" si="1120"/>
        <v>0</v>
      </c>
      <c r="DR80" s="20" t="str">
        <f t="shared" si="110"/>
        <v/>
      </c>
      <c r="DS80" s="51" t="str">
        <f t="shared" si="111"/>
        <v/>
      </c>
      <c r="DT80" s="20" t="str">
        <f t="shared" si="112"/>
        <v/>
      </c>
      <c r="DU80" s="51" t="b">
        <f t="shared" ref="DU80:DX80" si="1121">DU34</f>
        <v>0</v>
      </c>
      <c r="DV80" s="51" t="b">
        <f t="shared" si="1121"/>
        <v>0</v>
      </c>
      <c r="DW80" s="51" t="b">
        <f t="shared" si="1121"/>
        <v>0</v>
      </c>
      <c r="DX80" s="51" t="b">
        <f t="shared" si="1121"/>
        <v>0</v>
      </c>
      <c r="DY80" s="51" t="str">
        <f t="shared" si="114"/>
        <v/>
      </c>
      <c r="DZ80" s="19" t="str">
        <f t="shared" si="115"/>
        <v/>
      </c>
      <c r="EA80" s="20" t="str">
        <f t="shared" si="116"/>
        <v/>
      </c>
      <c r="EB80" s="51" t="b">
        <f t="shared" ref="EB80:EE80" si="1122">EB34</f>
        <v>0</v>
      </c>
      <c r="EC80" s="51" t="b">
        <f t="shared" si="1122"/>
        <v>0</v>
      </c>
      <c r="ED80" s="51" t="b">
        <f t="shared" si="1122"/>
        <v>0</v>
      </c>
      <c r="EE80" s="51" t="b">
        <f t="shared" si="1122"/>
        <v>0</v>
      </c>
      <c r="EF80" s="20" t="str">
        <f t="shared" si="118"/>
        <v/>
      </c>
      <c r="EG80" s="51" t="str">
        <f t="shared" si="119"/>
        <v/>
      </c>
      <c r="EH80" s="20" t="str">
        <f t="shared" si="120"/>
        <v/>
      </c>
      <c r="EI80" s="51" t="b">
        <f t="shared" ref="EI80:EJ80" si="1123">EI34</f>
        <v>0</v>
      </c>
      <c r="EJ80" s="51" t="b">
        <f t="shared" si="1123"/>
        <v>0</v>
      </c>
      <c r="EK80" s="51" t="b">
        <f t="shared" ref="EK80:EL80" si="1124">EK34</f>
        <v>0</v>
      </c>
      <c r="EL80" s="51" t="b">
        <f t="shared" si="1124"/>
        <v>0</v>
      </c>
      <c r="EM80" s="20" t="str">
        <f t="shared" si="121"/>
        <v/>
      </c>
      <c r="EN80" s="51" t="str">
        <f t="shared" si="122"/>
        <v/>
      </c>
      <c r="EO80" s="20" t="str">
        <f t="shared" si="123"/>
        <v/>
      </c>
      <c r="EP80" s="51" t="b">
        <f t="shared" ref="EP80:ES80" si="1125">EP34</f>
        <v>0</v>
      </c>
      <c r="EQ80" s="51" t="b">
        <f t="shared" si="1125"/>
        <v>0</v>
      </c>
      <c r="ER80" s="51" t="b">
        <f t="shared" si="1125"/>
        <v>0</v>
      </c>
      <c r="ES80" s="51" t="b">
        <f t="shared" si="1125"/>
        <v>0</v>
      </c>
      <c r="ET80" s="51" t="str">
        <f t="shared" si="125"/>
        <v/>
      </c>
      <c r="EU80" s="19" t="str">
        <f t="shared" si="126"/>
        <v/>
      </c>
      <c r="EV80" s="20" t="str">
        <f t="shared" si="127"/>
        <v/>
      </c>
      <c r="EW80" s="51" t="b">
        <f t="shared" ref="EW80:EZ80" si="1126">EW34</f>
        <v>0</v>
      </c>
      <c r="EX80" s="51" t="b">
        <f t="shared" si="1126"/>
        <v>0</v>
      </c>
      <c r="EY80" s="51" t="b">
        <f t="shared" si="1126"/>
        <v>0</v>
      </c>
      <c r="EZ80" s="51" t="b">
        <f t="shared" si="1126"/>
        <v>0</v>
      </c>
      <c r="FA80" s="20" t="str">
        <f t="shared" si="129"/>
        <v/>
      </c>
      <c r="FB80" s="51" t="str">
        <f t="shared" si="130"/>
        <v/>
      </c>
      <c r="FC80" s="20" t="str">
        <f t="shared" si="131"/>
        <v/>
      </c>
      <c r="FD80" s="51" t="b">
        <f t="shared" ref="FD80:FE80" si="1127">FD34</f>
        <v>0</v>
      </c>
      <c r="FE80" s="51" t="b">
        <f t="shared" si="1127"/>
        <v>0</v>
      </c>
      <c r="FF80" s="51" t="b">
        <f t="shared" ref="FF80:FG80" si="1128">FF34</f>
        <v>0</v>
      </c>
      <c r="FG80" s="51" t="b">
        <f t="shared" si="1128"/>
        <v>0</v>
      </c>
      <c r="FH80" s="20" t="str">
        <f t="shared" si="132"/>
        <v/>
      </c>
      <c r="FI80" s="51" t="str">
        <f t="shared" si="133"/>
        <v/>
      </c>
      <c r="FJ80" s="20" t="str">
        <f t="shared" si="134"/>
        <v/>
      </c>
      <c r="FK80" s="51" t="b">
        <f t="shared" ref="FK80:FN80" si="1129">FK34</f>
        <v>0</v>
      </c>
      <c r="FL80" s="51" t="b">
        <f t="shared" si="1129"/>
        <v>0</v>
      </c>
      <c r="FM80" s="51" t="b">
        <f t="shared" si="1129"/>
        <v>0</v>
      </c>
      <c r="FN80" s="51" t="b">
        <f t="shared" si="1129"/>
        <v>0</v>
      </c>
      <c r="FO80" s="51" t="str">
        <f t="shared" si="136"/>
        <v/>
      </c>
      <c r="FP80" s="19" t="str">
        <f t="shared" si="137"/>
        <v/>
      </c>
      <c r="FQ80" s="20" t="str">
        <f t="shared" si="138"/>
        <v/>
      </c>
      <c r="FR80" s="51" t="b">
        <f t="shared" ref="FR80:FU80" si="1130">FR34</f>
        <v>0</v>
      </c>
      <c r="FS80" s="51" t="b">
        <f t="shared" si="1130"/>
        <v>0</v>
      </c>
      <c r="FT80" s="51" t="b">
        <f t="shared" si="1130"/>
        <v>0</v>
      </c>
      <c r="FU80" s="51" t="b">
        <f t="shared" si="1130"/>
        <v>0</v>
      </c>
      <c r="FV80" s="20" t="str">
        <f t="shared" si="140"/>
        <v/>
      </c>
      <c r="FW80" s="51" t="str">
        <f t="shared" si="141"/>
        <v/>
      </c>
      <c r="FX80" s="20" t="str">
        <f t="shared" si="142"/>
        <v/>
      </c>
      <c r="FY80" s="51" t="b">
        <f t="shared" ref="FY80:FZ80" si="1131">FY34</f>
        <v>0</v>
      </c>
      <c r="FZ80" s="51" t="b">
        <f t="shared" si="1131"/>
        <v>0</v>
      </c>
      <c r="GA80" s="51" t="b">
        <f t="shared" ref="GA80:GB80" si="1132">GA34</f>
        <v>0</v>
      </c>
      <c r="GB80" s="51" t="b">
        <f t="shared" si="1132"/>
        <v>0</v>
      </c>
      <c r="GC80" s="20" t="str">
        <f t="shared" si="143"/>
        <v/>
      </c>
      <c r="GD80" s="51" t="str">
        <f t="shared" si="144"/>
        <v/>
      </c>
      <c r="GE80" s="20" t="str">
        <f t="shared" si="145"/>
        <v/>
      </c>
      <c r="GF80" s="51" t="b">
        <f t="shared" ref="GF80:GI80" si="1133">GF34</f>
        <v>0</v>
      </c>
      <c r="GG80" s="51" t="b">
        <f t="shared" si="1133"/>
        <v>0</v>
      </c>
      <c r="GH80" s="51" t="b">
        <f t="shared" si="1133"/>
        <v>0</v>
      </c>
      <c r="GI80" s="51" t="b">
        <f t="shared" si="1133"/>
        <v>0</v>
      </c>
      <c r="GJ80" s="51" t="str">
        <f t="shared" si="147"/>
        <v/>
      </c>
      <c r="GK80" s="19" t="str">
        <f t="shared" si="148"/>
        <v/>
      </c>
      <c r="GL80" s="20" t="str">
        <f t="shared" si="149"/>
        <v/>
      </c>
      <c r="GM80" s="51" t="b">
        <f t="shared" ref="GM80:GP80" si="1134">GM34</f>
        <v>0</v>
      </c>
      <c r="GN80" s="51" t="b">
        <f t="shared" si="1134"/>
        <v>0</v>
      </c>
      <c r="GO80" s="51" t="b">
        <f t="shared" si="1134"/>
        <v>0</v>
      </c>
      <c r="GP80" s="51" t="b">
        <f t="shared" si="1134"/>
        <v>0</v>
      </c>
      <c r="GQ80" s="20" t="str">
        <f t="shared" si="151"/>
        <v/>
      </c>
      <c r="GR80" s="51" t="str">
        <f t="shared" si="152"/>
        <v/>
      </c>
      <c r="GS80" s="20" t="str">
        <f t="shared" si="153"/>
        <v/>
      </c>
      <c r="GT80" s="51" t="b">
        <f t="shared" ref="GT80:GU80" si="1135">GT34</f>
        <v>0</v>
      </c>
      <c r="GU80" s="51" t="b">
        <f t="shared" si="1135"/>
        <v>0</v>
      </c>
      <c r="GV80" s="51" t="b">
        <f t="shared" ref="GV80:GW80" si="1136">GV34</f>
        <v>0</v>
      </c>
      <c r="GW80" s="51" t="b">
        <f t="shared" si="1136"/>
        <v>0</v>
      </c>
      <c r="GX80" s="20" t="str">
        <f t="shared" si="154"/>
        <v/>
      </c>
      <c r="GY80" s="51" t="str">
        <f t="shared" si="155"/>
        <v/>
      </c>
      <c r="GZ80" s="20" t="str">
        <f t="shared" si="156"/>
        <v/>
      </c>
      <c r="HA80" s="51" t="b">
        <f t="shared" ref="HA80:HD80" si="1137">HA34</f>
        <v>0</v>
      </c>
      <c r="HB80" s="51" t="b">
        <f t="shared" si="1137"/>
        <v>0</v>
      </c>
      <c r="HC80" s="51" t="b">
        <f t="shared" si="1137"/>
        <v>0</v>
      </c>
      <c r="HD80" s="51" t="b">
        <f t="shared" si="1137"/>
        <v>0</v>
      </c>
      <c r="HE80" s="51" t="str">
        <f t="shared" si="158"/>
        <v/>
      </c>
      <c r="HF80" s="19" t="str">
        <f t="shared" si="159"/>
        <v/>
      </c>
      <c r="HG80" s="20" t="str">
        <f t="shared" si="160"/>
        <v/>
      </c>
      <c r="HH80" s="51" t="b">
        <f t="shared" ref="HH80:HK80" si="1138">HH34</f>
        <v>0</v>
      </c>
      <c r="HI80" s="51" t="b">
        <f t="shared" si="1138"/>
        <v>0</v>
      </c>
      <c r="HJ80" s="51" t="b">
        <f t="shared" si="1138"/>
        <v>0</v>
      </c>
      <c r="HK80" s="51" t="b">
        <f t="shared" si="1138"/>
        <v>0</v>
      </c>
      <c r="HL80" s="20" t="str">
        <f t="shared" si="162"/>
        <v/>
      </c>
      <c r="HM80" s="51" t="str">
        <f t="shared" si="163"/>
        <v/>
      </c>
      <c r="HN80" s="20" t="str">
        <f t="shared" si="164"/>
        <v/>
      </c>
      <c r="HO80" s="51" t="b">
        <f t="shared" ref="HO80:HP80" si="1139">HO34</f>
        <v>0</v>
      </c>
      <c r="HP80" s="51" t="b">
        <f t="shared" si="1139"/>
        <v>0</v>
      </c>
      <c r="HQ80" s="51" t="b">
        <f t="shared" ref="HQ80:HR80" si="1140">HQ34</f>
        <v>0</v>
      </c>
      <c r="HR80" s="51" t="b">
        <f t="shared" si="1140"/>
        <v>0</v>
      </c>
      <c r="HS80" s="20" t="str">
        <f t="shared" si="165"/>
        <v/>
      </c>
      <c r="HT80" s="51" t="str">
        <f t="shared" si="166"/>
        <v/>
      </c>
      <c r="HU80" s="20" t="str">
        <f t="shared" si="167"/>
        <v/>
      </c>
      <c r="HV80" s="51" t="b">
        <f t="shared" ref="HV80:HY80" si="1141">HV34</f>
        <v>0</v>
      </c>
      <c r="HW80" s="51" t="b">
        <f t="shared" si="1141"/>
        <v>0</v>
      </c>
      <c r="HX80" s="51" t="b">
        <f t="shared" si="1141"/>
        <v>0</v>
      </c>
      <c r="HY80" s="51" t="b">
        <f t="shared" si="1141"/>
        <v>0</v>
      </c>
      <c r="HZ80" s="51" t="str">
        <f t="shared" si="169"/>
        <v/>
      </c>
      <c r="IA80" s="19" t="str">
        <f t="shared" si="170"/>
        <v/>
      </c>
      <c r="IB80" s="20" t="str">
        <f t="shared" si="171"/>
        <v/>
      </c>
      <c r="IC80" s="51" t="b">
        <f t="shared" ref="IC80:IF80" si="1142">IC34</f>
        <v>0</v>
      </c>
      <c r="ID80" s="51" t="b">
        <f t="shared" si="1142"/>
        <v>0</v>
      </c>
      <c r="IE80" s="51" t="b">
        <f t="shared" si="1142"/>
        <v>0</v>
      </c>
      <c r="IF80" s="51" t="b">
        <f t="shared" si="1142"/>
        <v>0</v>
      </c>
      <c r="IG80" s="20" t="str">
        <f t="shared" si="173"/>
        <v/>
      </c>
      <c r="IH80" s="51" t="str">
        <f t="shared" si="174"/>
        <v/>
      </c>
      <c r="II80" s="20" t="str">
        <f t="shared" si="175"/>
        <v/>
      </c>
      <c r="IJ80" s="51" t="b">
        <f t="shared" ref="IJ80:IK80" si="1143">IJ34</f>
        <v>0</v>
      </c>
      <c r="IK80" s="51" t="b">
        <f t="shared" si="1143"/>
        <v>0</v>
      </c>
      <c r="IL80" s="51" t="b">
        <f t="shared" ref="IL80:IM80" si="1144">IL34</f>
        <v>0</v>
      </c>
      <c r="IM80" s="51" t="b">
        <f t="shared" si="1144"/>
        <v>0</v>
      </c>
      <c r="IN80" s="20" t="str">
        <f t="shared" si="176"/>
        <v/>
      </c>
      <c r="IO80" s="51" t="str">
        <f t="shared" si="177"/>
        <v/>
      </c>
      <c r="IP80" s="20" t="str">
        <f t="shared" si="178"/>
        <v/>
      </c>
      <c r="IQ80" s="51" t="b">
        <f t="shared" ref="IQ80:IT80" si="1145">IQ34</f>
        <v>0</v>
      </c>
      <c r="IR80" s="51" t="b">
        <f t="shared" si="1145"/>
        <v>0</v>
      </c>
      <c r="IS80" s="51" t="b">
        <f t="shared" si="1145"/>
        <v>0</v>
      </c>
      <c r="IT80" s="51" t="b">
        <f t="shared" si="1145"/>
        <v>0</v>
      </c>
      <c r="IU80" s="51" t="str">
        <f t="shared" si="180"/>
        <v/>
      </c>
      <c r="IV80" s="116"/>
    </row>
    <row r="81" spans="3:256" x14ac:dyDescent="0.2">
      <c r="C81">
        <v>26</v>
      </c>
      <c r="D81" s="19" t="str">
        <f t="shared" si="48"/>
        <v/>
      </c>
      <c r="E81" s="20" t="str">
        <f t="shared" si="49"/>
        <v/>
      </c>
      <c r="F81" s="51" t="b">
        <f t="shared" si="781"/>
        <v>0</v>
      </c>
      <c r="G81" s="51" t="b">
        <f t="shared" si="781"/>
        <v>0</v>
      </c>
      <c r="H81" s="51" t="b">
        <f t="shared" si="781"/>
        <v>0</v>
      </c>
      <c r="I81" s="51" t="b">
        <f t="shared" si="781"/>
        <v>0</v>
      </c>
      <c r="J81" s="20" t="str">
        <f t="shared" si="51"/>
        <v/>
      </c>
      <c r="K81" s="51" t="str">
        <f t="shared" si="52"/>
        <v/>
      </c>
      <c r="L81" s="20" t="str">
        <f t="shared" si="53"/>
        <v/>
      </c>
      <c r="M81" s="51" t="b">
        <f t="shared" si="825"/>
        <v>0</v>
      </c>
      <c r="N81" s="51" t="b">
        <f t="shared" si="825"/>
        <v>0</v>
      </c>
      <c r="O81" s="51" t="b">
        <f t="shared" si="825"/>
        <v>0</v>
      </c>
      <c r="P81" s="51" t="b">
        <f t="shared" si="825"/>
        <v>0</v>
      </c>
      <c r="Q81" s="20" t="str">
        <f t="shared" si="55"/>
        <v/>
      </c>
      <c r="R81" s="51" t="str">
        <f t="shared" si="56"/>
        <v/>
      </c>
      <c r="S81" s="51" t="str">
        <f t="shared" si="57"/>
        <v/>
      </c>
      <c r="T81" s="51" t="b">
        <f t="shared" si="782"/>
        <v>0</v>
      </c>
      <c r="U81" s="51" t="b">
        <f t="shared" si="782"/>
        <v>0</v>
      </c>
      <c r="V81" s="51" t="b">
        <f t="shared" si="782"/>
        <v>0</v>
      </c>
      <c r="W81" s="51" t="b">
        <f t="shared" si="782"/>
        <v>0</v>
      </c>
      <c r="X81" s="22" t="str">
        <f t="shared" si="59"/>
        <v/>
      </c>
      <c r="Y81" s="19" t="str">
        <f t="shared" si="60"/>
        <v/>
      </c>
      <c r="Z81" s="20" t="str">
        <f t="shared" si="61"/>
        <v/>
      </c>
      <c r="AA81" s="51" t="b">
        <f t="shared" si="783"/>
        <v>0</v>
      </c>
      <c r="AB81" s="51" t="b">
        <f t="shared" si="783"/>
        <v>0</v>
      </c>
      <c r="AC81" s="51" t="b">
        <f t="shared" si="783"/>
        <v>0</v>
      </c>
      <c r="AD81" s="51" t="b">
        <f t="shared" si="783"/>
        <v>0</v>
      </c>
      <c r="AE81" s="20" t="str">
        <f t="shared" si="63"/>
        <v/>
      </c>
      <c r="AF81" s="51" t="str">
        <f t="shared" si="64"/>
        <v/>
      </c>
      <c r="AG81" s="20" t="str">
        <f t="shared" si="65"/>
        <v/>
      </c>
      <c r="AH81" s="51" t="b">
        <f t="shared" ref="AH81:AK81" si="1146">AH35</f>
        <v>0</v>
      </c>
      <c r="AI81" s="51" t="b">
        <f t="shared" si="1146"/>
        <v>0</v>
      </c>
      <c r="AJ81" s="51" t="b">
        <f t="shared" si="1146"/>
        <v>0</v>
      </c>
      <c r="AK81" s="51" t="b">
        <f t="shared" si="1146"/>
        <v>0</v>
      </c>
      <c r="AL81" s="20" t="str">
        <f t="shared" si="66"/>
        <v/>
      </c>
      <c r="AM81" s="51" t="str">
        <f t="shared" si="67"/>
        <v/>
      </c>
      <c r="AN81" s="20" t="str">
        <f t="shared" si="68"/>
        <v/>
      </c>
      <c r="AO81" s="51" t="b">
        <f t="shared" si="785"/>
        <v>0</v>
      </c>
      <c r="AP81" s="51" t="b">
        <f t="shared" si="785"/>
        <v>0</v>
      </c>
      <c r="AQ81" s="51" t="b">
        <f t="shared" si="785"/>
        <v>0</v>
      </c>
      <c r="AR81" s="51" t="b">
        <f t="shared" si="785"/>
        <v>0</v>
      </c>
      <c r="AS81" s="51" t="str">
        <f t="shared" si="70"/>
        <v/>
      </c>
      <c r="AT81" s="19" t="str">
        <f t="shared" si="71"/>
        <v/>
      </c>
      <c r="AU81" s="20" t="str">
        <f t="shared" si="72"/>
        <v/>
      </c>
      <c r="AV81" s="51" t="b">
        <f t="shared" ref="AV81:AY81" si="1147">AV35</f>
        <v>0</v>
      </c>
      <c r="AW81" s="51" t="b">
        <f t="shared" si="1147"/>
        <v>0</v>
      </c>
      <c r="AX81" s="51" t="b">
        <f t="shared" si="1147"/>
        <v>0</v>
      </c>
      <c r="AY81" s="51" t="b">
        <f t="shared" si="1147"/>
        <v>0</v>
      </c>
      <c r="AZ81" s="20" t="str">
        <f t="shared" si="74"/>
        <v/>
      </c>
      <c r="BA81" s="51" t="str">
        <f t="shared" si="75"/>
        <v/>
      </c>
      <c r="BB81" s="20" t="str">
        <f t="shared" si="76"/>
        <v/>
      </c>
      <c r="BC81" s="51" t="b">
        <f t="shared" ref="BC81:BF81" si="1148">BC35</f>
        <v>0</v>
      </c>
      <c r="BD81" s="51" t="b">
        <f t="shared" si="1148"/>
        <v>0</v>
      </c>
      <c r="BE81" s="51" t="b">
        <f t="shared" si="1148"/>
        <v>0</v>
      </c>
      <c r="BF81" s="51" t="b">
        <f t="shared" si="1148"/>
        <v>0</v>
      </c>
      <c r="BG81" s="20" t="str">
        <f t="shared" si="77"/>
        <v/>
      </c>
      <c r="BH81" s="51" t="str">
        <f t="shared" si="78"/>
        <v/>
      </c>
      <c r="BI81" s="20" t="str">
        <f t="shared" si="79"/>
        <v/>
      </c>
      <c r="BJ81" s="51" t="b">
        <f t="shared" ref="BJ81:BM81" si="1149">BJ35</f>
        <v>0</v>
      </c>
      <c r="BK81" s="51" t="b">
        <f t="shared" si="1149"/>
        <v>0</v>
      </c>
      <c r="BL81" s="51" t="b">
        <f t="shared" si="1149"/>
        <v>0</v>
      </c>
      <c r="BM81" s="51" t="b">
        <f t="shared" si="1149"/>
        <v>0</v>
      </c>
      <c r="BN81" s="51" t="str">
        <f t="shared" si="81"/>
        <v/>
      </c>
      <c r="BO81" s="19" t="str">
        <f t="shared" si="82"/>
        <v/>
      </c>
      <c r="BP81" s="20" t="str">
        <f t="shared" si="83"/>
        <v/>
      </c>
      <c r="BQ81" s="51" t="b">
        <f t="shared" ref="BQ81:BT81" si="1150">BQ35</f>
        <v>0</v>
      </c>
      <c r="BR81" s="51" t="b">
        <f t="shared" si="1150"/>
        <v>0</v>
      </c>
      <c r="BS81" s="51" t="b">
        <f t="shared" si="1150"/>
        <v>0</v>
      </c>
      <c r="BT81" s="51" t="b">
        <f t="shared" si="1150"/>
        <v>0</v>
      </c>
      <c r="BU81" s="20" t="str">
        <f t="shared" si="85"/>
        <v/>
      </c>
      <c r="BV81" s="51" t="str">
        <f t="shared" si="86"/>
        <v/>
      </c>
      <c r="BW81" s="20" t="str">
        <f t="shared" si="87"/>
        <v/>
      </c>
      <c r="BX81" s="51" t="b">
        <f t="shared" ref="BX81:BY81" si="1151">BX35</f>
        <v>0</v>
      </c>
      <c r="BY81" s="51" t="b">
        <f t="shared" si="1151"/>
        <v>0</v>
      </c>
      <c r="BZ81" s="51" t="b">
        <f t="shared" ref="BZ81:CA81" si="1152">BZ35</f>
        <v>0</v>
      </c>
      <c r="CA81" s="51" t="b">
        <f t="shared" si="1152"/>
        <v>0</v>
      </c>
      <c r="CB81" s="20" t="str">
        <f t="shared" si="88"/>
        <v/>
      </c>
      <c r="CC81" s="51" t="str">
        <f t="shared" si="89"/>
        <v/>
      </c>
      <c r="CD81" s="20" t="str">
        <f t="shared" si="90"/>
        <v/>
      </c>
      <c r="CE81" s="51" t="b">
        <f t="shared" ref="CE81:CH81" si="1153">CE35</f>
        <v>0</v>
      </c>
      <c r="CF81" s="51" t="b">
        <f t="shared" si="1153"/>
        <v>0</v>
      </c>
      <c r="CG81" s="51" t="b">
        <f t="shared" si="1153"/>
        <v>0</v>
      </c>
      <c r="CH81" s="51" t="b">
        <f t="shared" si="1153"/>
        <v>0</v>
      </c>
      <c r="CI81" s="51" t="str">
        <f t="shared" si="92"/>
        <v/>
      </c>
      <c r="CJ81" s="19" t="str">
        <f t="shared" si="93"/>
        <v/>
      </c>
      <c r="CK81" s="20" t="str">
        <f t="shared" si="94"/>
        <v/>
      </c>
      <c r="CL81" s="51" t="b">
        <f t="shared" ref="CL81:CO81" si="1154">CL35</f>
        <v>0</v>
      </c>
      <c r="CM81" s="51" t="b">
        <f t="shared" si="1154"/>
        <v>0</v>
      </c>
      <c r="CN81" s="51" t="b">
        <f t="shared" si="1154"/>
        <v>0</v>
      </c>
      <c r="CO81" s="51" t="b">
        <f t="shared" si="1154"/>
        <v>0</v>
      </c>
      <c r="CP81" s="20" t="str">
        <f t="shared" si="96"/>
        <v/>
      </c>
      <c r="CQ81" s="51" t="str">
        <f t="shared" si="97"/>
        <v/>
      </c>
      <c r="CR81" s="20" t="str">
        <f t="shared" si="98"/>
        <v/>
      </c>
      <c r="CS81" s="51" t="b">
        <f t="shared" ref="CS81:CT81" si="1155">CS35</f>
        <v>0</v>
      </c>
      <c r="CT81" s="51" t="b">
        <f t="shared" si="1155"/>
        <v>0</v>
      </c>
      <c r="CU81" s="51" t="b">
        <f t="shared" ref="CU81:CV81" si="1156">CU35</f>
        <v>0</v>
      </c>
      <c r="CV81" s="51" t="b">
        <f t="shared" si="1156"/>
        <v>0</v>
      </c>
      <c r="CW81" s="20" t="str">
        <f t="shared" si="99"/>
        <v/>
      </c>
      <c r="CX81" s="51" t="str">
        <f t="shared" si="100"/>
        <v/>
      </c>
      <c r="CY81" s="20" t="str">
        <f t="shared" si="101"/>
        <v/>
      </c>
      <c r="CZ81" s="51" t="b">
        <f t="shared" ref="CZ81:DC81" si="1157">CZ35</f>
        <v>0</v>
      </c>
      <c r="DA81" s="51" t="b">
        <f t="shared" si="1157"/>
        <v>0</v>
      </c>
      <c r="DB81" s="51" t="b">
        <f t="shared" si="1157"/>
        <v>0</v>
      </c>
      <c r="DC81" s="51" t="b">
        <f t="shared" si="1157"/>
        <v>0</v>
      </c>
      <c r="DD81" s="51" t="str">
        <f t="shared" si="103"/>
        <v/>
      </c>
      <c r="DE81" s="19" t="str">
        <f t="shared" si="104"/>
        <v/>
      </c>
      <c r="DF81" s="20" t="str">
        <f t="shared" si="105"/>
        <v/>
      </c>
      <c r="DG81" s="51" t="b">
        <f t="shared" ref="DG81:DJ81" si="1158">DG35</f>
        <v>0</v>
      </c>
      <c r="DH81" s="51" t="b">
        <f t="shared" si="1158"/>
        <v>0</v>
      </c>
      <c r="DI81" s="51" t="b">
        <f t="shared" si="1158"/>
        <v>0</v>
      </c>
      <c r="DJ81" s="51" t="b">
        <f t="shared" si="1158"/>
        <v>0</v>
      </c>
      <c r="DK81" s="20" t="str">
        <f t="shared" si="107"/>
        <v/>
      </c>
      <c r="DL81" s="51" t="str">
        <f t="shared" si="108"/>
        <v/>
      </c>
      <c r="DM81" s="20" t="str">
        <f t="shared" si="109"/>
        <v/>
      </c>
      <c r="DN81" s="51" t="b">
        <f t="shared" ref="DN81:DO81" si="1159">DN35</f>
        <v>0</v>
      </c>
      <c r="DO81" s="51" t="b">
        <f t="shared" si="1159"/>
        <v>0</v>
      </c>
      <c r="DP81" s="51" t="b">
        <f t="shared" ref="DP81:DQ81" si="1160">DP35</f>
        <v>0</v>
      </c>
      <c r="DQ81" s="51" t="b">
        <f t="shared" si="1160"/>
        <v>0</v>
      </c>
      <c r="DR81" s="20" t="str">
        <f t="shared" si="110"/>
        <v/>
      </c>
      <c r="DS81" s="51" t="str">
        <f t="shared" si="111"/>
        <v/>
      </c>
      <c r="DT81" s="20" t="str">
        <f t="shared" si="112"/>
        <v/>
      </c>
      <c r="DU81" s="51" t="b">
        <f t="shared" ref="DU81:DX81" si="1161">DU35</f>
        <v>0</v>
      </c>
      <c r="DV81" s="51" t="b">
        <f t="shared" si="1161"/>
        <v>0</v>
      </c>
      <c r="DW81" s="51" t="b">
        <f t="shared" si="1161"/>
        <v>0</v>
      </c>
      <c r="DX81" s="51" t="b">
        <f t="shared" si="1161"/>
        <v>0</v>
      </c>
      <c r="DY81" s="51" t="str">
        <f t="shared" si="114"/>
        <v/>
      </c>
      <c r="DZ81" s="19" t="str">
        <f t="shared" si="115"/>
        <v/>
      </c>
      <c r="EA81" s="20" t="str">
        <f t="shared" si="116"/>
        <v/>
      </c>
      <c r="EB81" s="51" t="b">
        <f t="shared" ref="EB81:EE81" si="1162">EB35</f>
        <v>0</v>
      </c>
      <c r="EC81" s="51" t="b">
        <f t="shared" si="1162"/>
        <v>0</v>
      </c>
      <c r="ED81" s="51" t="b">
        <f t="shared" si="1162"/>
        <v>0</v>
      </c>
      <c r="EE81" s="51" t="b">
        <f t="shared" si="1162"/>
        <v>0</v>
      </c>
      <c r="EF81" s="20" t="str">
        <f t="shared" si="118"/>
        <v/>
      </c>
      <c r="EG81" s="51" t="str">
        <f t="shared" si="119"/>
        <v/>
      </c>
      <c r="EH81" s="20" t="str">
        <f t="shared" si="120"/>
        <v/>
      </c>
      <c r="EI81" s="51" t="b">
        <f t="shared" ref="EI81:EJ81" si="1163">EI35</f>
        <v>0</v>
      </c>
      <c r="EJ81" s="51" t="b">
        <f t="shared" si="1163"/>
        <v>0</v>
      </c>
      <c r="EK81" s="51" t="b">
        <f t="shared" ref="EK81:EL81" si="1164">EK35</f>
        <v>0</v>
      </c>
      <c r="EL81" s="51" t="b">
        <f t="shared" si="1164"/>
        <v>0</v>
      </c>
      <c r="EM81" s="20" t="str">
        <f t="shared" si="121"/>
        <v/>
      </c>
      <c r="EN81" s="51" t="str">
        <f t="shared" si="122"/>
        <v/>
      </c>
      <c r="EO81" s="20" t="str">
        <f t="shared" si="123"/>
        <v/>
      </c>
      <c r="EP81" s="51" t="b">
        <f t="shared" ref="EP81:ES81" si="1165">EP35</f>
        <v>0</v>
      </c>
      <c r="EQ81" s="51" t="b">
        <f t="shared" si="1165"/>
        <v>0</v>
      </c>
      <c r="ER81" s="51" t="b">
        <f t="shared" si="1165"/>
        <v>0</v>
      </c>
      <c r="ES81" s="51" t="b">
        <f t="shared" si="1165"/>
        <v>0</v>
      </c>
      <c r="ET81" s="51" t="str">
        <f t="shared" si="125"/>
        <v/>
      </c>
      <c r="EU81" s="19" t="str">
        <f t="shared" si="126"/>
        <v/>
      </c>
      <c r="EV81" s="20" t="str">
        <f t="shared" si="127"/>
        <v/>
      </c>
      <c r="EW81" s="51" t="b">
        <f t="shared" ref="EW81:EZ81" si="1166">EW35</f>
        <v>0</v>
      </c>
      <c r="EX81" s="51" t="b">
        <f t="shared" si="1166"/>
        <v>0</v>
      </c>
      <c r="EY81" s="51" t="b">
        <f t="shared" si="1166"/>
        <v>0</v>
      </c>
      <c r="EZ81" s="51" t="b">
        <f t="shared" si="1166"/>
        <v>0</v>
      </c>
      <c r="FA81" s="20" t="str">
        <f t="shared" si="129"/>
        <v/>
      </c>
      <c r="FB81" s="51" t="str">
        <f t="shared" si="130"/>
        <v/>
      </c>
      <c r="FC81" s="20" t="str">
        <f t="shared" si="131"/>
        <v/>
      </c>
      <c r="FD81" s="51" t="b">
        <f t="shared" ref="FD81:FE81" si="1167">FD35</f>
        <v>0</v>
      </c>
      <c r="FE81" s="51" t="b">
        <f t="shared" si="1167"/>
        <v>0</v>
      </c>
      <c r="FF81" s="51" t="b">
        <f t="shared" ref="FF81:FG81" si="1168">FF35</f>
        <v>0</v>
      </c>
      <c r="FG81" s="51" t="b">
        <f t="shared" si="1168"/>
        <v>0</v>
      </c>
      <c r="FH81" s="20" t="str">
        <f t="shared" si="132"/>
        <v/>
      </c>
      <c r="FI81" s="51" t="str">
        <f t="shared" si="133"/>
        <v/>
      </c>
      <c r="FJ81" s="20" t="str">
        <f t="shared" si="134"/>
        <v/>
      </c>
      <c r="FK81" s="51" t="b">
        <f t="shared" ref="FK81:FN81" si="1169">FK35</f>
        <v>0</v>
      </c>
      <c r="FL81" s="51" t="b">
        <f t="shared" si="1169"/>
        <v>0</v>
      </c>
      <c r="FM81" s="51" t="b">
        <f t="shared" si="1169"/>
        <v>0</v>
      </c>
      <c r="FN81" s="51" t="b">
        <f t="shared" si="1169"/>
        <v>0</v>
      </c>
      <c r="FO81" s="51" t="str">
        <f t="shared" si="136"/>
        <v/>
      </c>
      <c r="FP81" s="19" t="str">
        <f t="shared" si="137"/>
        <v/>
      </c>
      <c r="FQ81" s="20" t="str">
        <f t="shared" si="138"/>
        <v/>
      </c>
      <c r="FR81" s="51" t="b">
        <f t="shared" ref="FR81:FU81" si="1170">FR35</f>
        <v>0</v>
      </c>
      <c r="FS81" s="51" t="b">
        <f t="shared" si="1170"/>
        <v>0</v>
      </c>
      <c r="FT81" s="51" t="b">
        <f t="shared" si="1170"/>
        <v>0</v>
      </c>
      <c r="FU81" s="51" t="b">
        <f t="shared" si="1170"/>
        <v>0</v>
      </c>
      <c r="FV81" s="20" t="str">
        <f t="shared" si="140"/>
        <v/>
      </c>
      <c r="FW81" s="51" t="str">
        <f t="shared" si="141"/>
        <v/>
      </c>
      <c r="FX81" s="20" t="str">
        <f t="shared" si="142"/>
        <v/>
      </c>
      <c r="FY81" s="51" t="b">
        <f t="shared" ref="FY81:FZ81" si="1171">FY35</f>
        <v>0</v>
      </c>
      <c r="FZ81" s="51" t="b">
        <f t="shared" si="1171"/>
        <v>0</v>
      </c>
      <c r="GA81" s="51" t="b">
        <f t="shared" ref="GA81:GB81" si="1172">GA35</f>
        <v>0</v>
      </c>
      <c r="GB81" s="51" t="b">
        <f t="shared" si="1172"/>
        <v>0</v>
      </c>
      <c r="GC81" s="20" t="str">
        <f t="shared" si="143"/>
        <v/>
      </c>
      <c r="GD81" s="51" t="str">
        <f t="shared" si="144"/>
        <v/>
      </c>
      <c r="GE81" s="20" t="str">
        <f t="shared" si="145"/>
        <v/>
      </c>
      <c r="GF81" s="51" t="b">
        <f t="shared" ref="GF81:GI81" si="1173">GF35</f>
        <v>0</v>
      </c>
      <c r="GG81" s="51" t="b">
        <f t="shared" si="1173"/>
        <v>0</v>
      </c>
      <c r="GH81" s="51" t="b">
        <f t="shared" si="1173"/>
        <v>0</v>
      </c>
      <c r="GI81" s="51" t="b">
        <f t="shared" si="1173"/>
        <v>0</v>
      </c>
      <c r="GJ81" s="51" t="str">
        <f t="shared" si="147"/>
        <v/>
      </c>
      <c r="GK81" s="19" t="str">
        <f t="shared" si="148"/>
        <v/>
      </c>
      <c r="GL81" s="20" t="str">
        <f t="shared" si="149"/>
        <v/>
      </c>
      <c r="GM81" s="51" t="b">
        <f t="shared" ref="GM81:GP81" si="1174">GM35</f>
        <v>0</v>
      </c>
      <c r="GN81" s="51" t="b">
        <f t="shared" si="1174"/>
        <v>0</v>
      </c>
      <c r="GO81" s="51" t="b">
        <f t="shared" si="1174"/>
        <v>0</v>
      </c>
      <c r="GP81" s="51" t="b">
        <f t="shared" si="1174"/>
        <v>0</v>
      </c>
      <c r="GQ81" s="20" t="str">
        <f t="shared" si="151"/>
        <v/>
      </c>
      <c r="GR81" s="51" t="str">
        <f t="shared" si="152"/>
        <v/>
      </c>
      <c r="GS81" s="20" t="str">
        <f t="shared" si="153"/>
        <v/>
      </c>
      <c r="GT81" s="51" t="b">
        <f t="shared" ref="GT81:GU81" si="1175">GT35</f>
        <v>0</v>
      </c>
      <c r="GU81" s="51" t="b">
        <f t="shared" si="1175"/>
        <v>0</v>
      </c>
      <c r="GV81" s="51" t="b">
        <f t="shared" ref="GV81:GW81" si="1176">GV35</f>
        <v>0</v>
      </c>
      <c r="GW81" s="51" t="b">
        <f t="shared" si="1176"/>
        <v>0</v>
      </c>
      <c r="GX81" s="20" t="str">
        <f t="shared" si="154"/>
        <v/>
      </c>
      <c r="GY81" s="51" t="str">
        <f t="shared" si="155"/>
        <v/>
      </c>
      <c r="GZ81" s="20" t="str">
        <f t="shared" si="156"/>
        <v/>
      </c>
      <c r="HA81" s="51" t="b">
        <f t="shared" ref="HA81:HD81" si="1177">HA35</f>
        <v>0</v>
      </c>
      <c r="HB81" s="51" t="b">
        <f t="shared" si="1177"/>
        <v>0</v>
      </c>
      <c r="HC81" s="51" t="b">
        <f t="shared" si="1177"/>
        <v>0</v>
      </c>
      <c r="HD81" s="51" t="b">
        <f t="shared" si="1177"/>
        <v>0</v>
      </c>
      <c r="HE81" s="51" t="str">
        <f t="shared" si="158"/>
        <v/>
      </c>
      <c r="HF81" s="19" t="str">
        <f t="shared" si="159"/>
        <v/>
      </c>
      <c r="HG81" s="20" t="str">
        <f t="shared" si="160"/>
        <v/>
      </c>
      <c r="HH81" s="51" t="b">
        <f t="shared" ref="HH81:HK81" si="1178">HH35</f>
        <v>0</v>
      </c>
      <c r="HI81" s="51" t="b">
        <f t="shared" si="1178"/>
        <v>0</v>
      </c>
      <c r="HJ81" s="51" t="b">
        <f t="shared" si="1178"/>
        <v>0</v>
      </c>
      <c r="HK81" s="51" t="b">
        <f t="shared" si="1178"/>
        <v>0</v>
      </c>
      <c r="HL81" s="20" t="str">
        <f t="shared" si="162"/>
        <v/>
      </c>
      <c r="HM81" s="51" t="str">
        <f t="shared" si="163"/>
        <v/>
      </c>
      <c r="HN81" s="20" t="str">
        <f t="shared" si="164"/>
        <v/>
      </c>
      <c r="HO81" s="51" t="b">
        <f t="shared" ref="HO81:HP81" si="1179">HO35</f>
        <v>0</v>
      </c>
      <c r="HP81" s="51" t="b">
        <f t="shared" si="1179"/>
        <v>0</v>
      </c>
      <c r="HQ81" s="51" t="b">
        <f t="shared" ref="HQ81:HR81" si="1180">HQ35</f>
        <v>0</v>
      </c>
      <c r="HR81" s="51" t="b">
        <f t="shared" si="1180"/>
        <v>0</v>
      </c>
      <c r="HS81" s="20" t="str">
        <f t="shared" si="165"/>
        <v/>
      </c>
      <c r="HT81" s="51" t="str">
        <f t="shared" si="166"/>
        <v/>
      </c>
      <c r="HU81" s="20" t="str">
        <f t="shared" si="167"/>
        <v/>
      </c>
      <c r="HV81" s="51" t="b">
        <f t="shared" ref="HV81:HY81" si="1181">HV35</f>
        <v>0</v>
      </c>
      <c r="HW81" s="51" t="b">
        <f t="shared" si="1181"/>
        <v>0</v>
      </c>
      <c r="HX81" s="51" t="b">
        <f t="shared" si="1181"/>
        <v>0</v>
      </c>
      <c r="HY81" s="51" t="b">
        <f t="shared" si="1181"/>
        <v>0</v>
      </c>
      <c r="HZ81" s="51" t="str">
        <f t="shared" si="169"/>
        <v/>
      </c>
      <c r="IA81" s="19" t="str">
        <f t="shared" si="170"/>
        <v/>
      </c>
      <c r="IB81" s="20" t="str">
        <f t="shared" si="171"/>
        <v/>
      </c>
      <c r="IC81" s="51" t="b">
        <f t="shared" ref="IC81:IF81" si="1182">IC35</f>
        <v>0</v>
      </c>
      <c r="ID81" s="51" t="b">
        <f t="shared" si="1182"/>
        <v>0</v>
      </c>
      <c r="IE81" s="51" t="b">
        <f t="shared" si="1182"/>
        <v>0</v>
      </c>
      <c r="IF81" s="51" t="b">
        <f t="shared" si="1182"/>
        <v>0</v>
      </c>
      <c r="IG81" s="20" t="str">
        <f t="shared" si="173"/>
        <v/>
      </c>
      <c r="IH81" s="51" t="str">
        <f t="shared" si="174"/>
        <v/>
      </c>
      <c r="II81" s="20" t="str">
        <f t="shared" si="175"/>
        <v/>
      </c>
      <c r="IJ81" s="51" t="b">
        <f t="shared" ref="IJ81:IK81" si="1183">IJ35</f>
        <v>0</v>
      </c>
      <c r="IK81" s="51" t="b">
        <f t="shared" si="1183"/>
        <v>0</v>
      </c>
      <c r="IL81" s="51" t="b">
        <f t="shared" ref="IL81:IM81" si="1184">IL35</f>
        <v>0</v>
      </c>
      <c r="IM81" s="51" t="b">
        <f t="shared" si="1184"/>
        <v>0</v>
      </c>
      <c r="IN81" s="20" t="str">
        <f t="shared" si="176"/>
        <v/>
      </c>
      <c r="IO81" s="51" t="str">
        <f t="shared" si="177"/>
        <v/>
      </c>
      <c r="IP81" s="20" t="str">
        <f t="shared" si="178"/>
        <v/>
      </c>
      <c r="IQ81" s="51" t="b">
        <f t="shared" ref="IQ81:IT81" si="1185">IQ35</f>
        <v>0</v>
      </c>
      <c r="IR81" s="51" t="b">
        <f t="shared" si="1185"/>
        <v>0</v>
      </c>
      <c r="IS81" s="51" t="b">
        <f t="shared" si="1185"/>
        <v>0</v>
      </c>
      <c r="IT81" s="51" t="b">
        <f t="shared" si="1185"/>
        <v>0</v>
      </c>
      <c r="IU81" s="51" t="str">
        <f t="shared" si="180"/>
        <v/>
      </c>
      <c r="IV81" s="116"/>
    </row>
    <row r="82" spans="3:256" x14ac:dyDescent="0.2">
      <c r="C82">
        <v>27</v>
      </c>
      <c r="D82" s="19" t="str">
        <f t="shared" si="48"/>
        <v/>
      </c>
      <c r="E82" s="20" t="str">
        <f t="shared" si="49"/>
        <v/>
      </c>
      <c r="F82" s="51" t="b">
        <f t="shared" si="781"/>
        <v>0</v>
      </c>
      <c r="G82" s="51" t="b">
        <f t="shared" si="781"/>
        <v>0</v>
      </c>
      <c r="H82" s="51" t="b">
        <f t="shared" si="781"/>
        <v>0</v>
      </c>
      <c r="I82" s="51" t="b">
        <f t="shared" si="781"/>
        <v>0</v>
      </c>
      <c r="J82" s="20" t="str">
        <f t="shared" si="51"/>
        <v/>
      </c>
      <c r="K82" s="51" t="str">
        <f t="shared" si="52"/>
        <v/>
      </c>
      <c r="L82" s="20" t="str">
        <f t="shared" si="53"/>
        <v/>
      </c>
      <c r="M82" s="51" t="b">
        <f t="shared" si="825"/>
        <v>0</v>
      </c>
      <c r="N82" s="51" t="b">
        <f t="shared" si="825"/>
        <v>0</v>
      </c>
      <c r="O82" s="51" t="b">
        <f t="shared" si="825"/>
        <v>0</v>
      </c>
      <c r="P82" s="51" t="b">
        <f t="shared" si="825"/>
        <v>0</v>
      </c>
      <c r="Q82" s="20" t="str">
        <f t="shared" si="55"/>
        <v/>
      </c>
      <c r="R82" s="51" t="str">
        <f t="shared" si="56"/>
        <v/>
      </c>
      <c r="S82" s="51" t="str">
        <f t="shared" si="57"/>
        <v/>
      </c>
      <c r="T82" s="51" t="b">
        <f t="shared" si="782"/>
        <v>0</v>
      </c>
      <c r="U82" s="51" t="b">
        <f t="shared" si="782"/>
        <v>0</v>
      </c>
      <c r="V82" s="51" t="b">
        <f t="shared" si="782"/>
        <v>0</v>
      </c>
      <c r="W82" s="51" t="b">
        <f t="shared" si="782"/>
        <v>0</v>
      </c>
      <c r="X82" s="22" t="str">
        <f t="shared" si="59"/>
        <v/>
      </c>
      <c r="Y82" s="19" t="str">
        <f t="shared" si="60"/>
        <v/>
      </c>
      <c r="Z82" s="20" t="str">
        <f t="shared" si="61"/>
        <v/>
      </c>
      <c r="AA82" s="51" t="b">
        <f t="shared" si="783"/>
        <v>0</v>
      </c>
      <c r="AB82" s="51" t="b">
        <f t="shared" si="783"/>
        <v>0</v>
      </c>
      <c r="AC82" s="51" t="b">
        <f t="shared" si="783"/>
        <v>0</v>
      </c>
      <c r="AD82" s="51" t="b">
        <f t="shared" si="783"/>
        <v>0</v>
      </c>
      <c r="AE82" s="20" t="str">
        <f t="shared" si="63"/>
        <v/>
      </c>
      <c r="AF82" s="51" t="str">
        <f t="shared" si="64"/>
        <v/>
      </c>
      <c r="AG82" s="20" t="str">
        <f t="shared" si="65"/>
        <v/>
      </c>
      <c r="AH82" s="51" t="b">
        <f t="shared" ref="AH82:AK82" si="1186">AH36</f>
        <v>0</v>
      </c>
      <c r="AI82" s="51" t="b">
        <f t="shared" si="1186"/>
        <v>0</v>
      </c>
      <c r="AJ82" s="51" t="b">
        <f t="shared" si="1186"/>
        <v>0</v>
      </c>
      <c r="AK82" s="51" t="b">
        <f t="shared" si="1186"/>
        <v>0</v>
      </c>
      <c r="AL82" s="20" t="str">
        <f t="shared" si="66"/>
        <v/>
      </c>
      <c r="AM82" s="51" t="str">
        <f t="shared" si="67"/>
        <v/>
      </c>
      <c r="AN82" s="20" t="str">
        <f t="shared" si="68"/>
        <v/>
      </c>
      <c r="AO82" s="51" t="b">
        <f t="shared" si="785"/>
        <v>0</v>
      </c>
      <c r="AP82" s="51" t="b">
        <f t="shared" si="785"/>
        <v>0</v>
      </c>
      <c r="AQ82" s="51" t="b">
        <f t="shared" si="785"/>
        <v>0</v>
      </c>
      <c r="AR82" s="51" t="b">
        <f t="shared" si="785"/>
        <v>0</v>
      </c>
      <c r="AS82" s="51" t="str">
        <f t="shared" si="70"/>
        <v/>
      </c>
      <c r="AT82" s="19" t="str">
        <f t="shared" si="71"/>
        <v/>
      </c>
      <c r="AU82" s="20" t="str">
        <f t="shared" si="72"/>
        <v/>
      </c>
      <c r="AV82" s="51" t="b">
        <f t="shared" ref="AV82:AY82" si="1187">AV36</f>
        <v>0</v>
      </c>
      <c r="AW82" s="51" t="b">
        <f t="shared" si="1187"/>
        <v>0</v>
      </c>
      <c r="AX82" s="51" t="b">
        <f t="shared" si="1187"/>
        <v>0</v>
      </c>
      <c r="AY82" s="51" t="b">
        <f t="shared" si="1187"/>
        <v>0</v>
      </c>
      <c r="AZ82" s="20" t="str">
        <f t="shared" si="74"/>
        <v/>
      </c>
      <c r="BA82" s="51" t="str">
        <f t="shared" si="75"/>
        <v/>
      </c>
      <c r="BB82" s="20" t="str">
        <f t="shared" si="76"/>
        <v/>
      </c>
      <c r="BC82" s="51" t="b">
        <f t="shared" ref="BC82:BF82" si="1188">BC36</f>
        <v>0</v>
      </c>
      <c r="BD82" s="51" t="b">
        <f t="shared" si="1188"/>
        <v>0</v>
      </c>
      <c r="BE82" s="51" t="b">
        <f t="shared" si="1188"/>
        <v>0</v>
      </c>
      <c r="BF82" s="51" t="b">
        <f t="shared" si="1188"/>
        <v>0</v>
      </c>
      <c r="BG82" s="20" t="str">
        <f t="shared" si="77"/>
        <v/>
      </c>
      <c r="BH82" s="51" t="str">
        <f t="shared" si="78"/>
        <v/>
      </c>
      <c r="BI82" s="20" t="str">
        <f t="shared" si="79"/>
        <v/>
      </c>
      <c r="BJ82" s="51" t="b">
        <f t="shared" ref="BJ82:BM82" si="1189">BJ36</f>
        <v>0</v>
      </c>
      <c r="BK82" s="51" t="b">
        <f t="shared" si="1189"/>
        <v>0</v>
      </c>
      <c r="BL82" s="51" t="b">
        <f t="shared" si="1189"/>
        <v>0</v>
      </c>
      <c r="BM82" s="51" t="b">
        <f t="shared" si="1189"/>
        <v>0</v>
      </c>
      <c r="BN82" s="51" t="str">
        <f t="shared" si="81"/>
        <v/>
      </c>
      <c r="BO82" s="19" t="str">
        <f t="shared" si="82"/>
        <v/>
      </c>
      <c r="BP82" s="20" t="str">
        <f t="shared" si="83"/>
        <v/>
      </c>
      <c r="BQ82" s="51" t="b">
        <f t="shared" ref="BQ82:BT82" si="1190">BQ36</f>
        <v>0</v>
      </c>
      <c r="BR82" s="51" t="b">
        <f t="shared" si="1190"/>
        <v>0</v>
      </c>
      <c r="BS82" s="51" t="b">
        <f t="shared" si="1190"/>
        <v>0</v>
      </c>
      <c r="BT82" s="51" t="b">
        <f t="shared" si="1190"/>
        <v>0</v>
      </c>
      <c r="BU82" s="20" t="str">
        <f t="shared" si="85"/>
        <v/>
      </c>
      <c r="BV82" s="51" t="str">
        <f t="shared" si="86"/>
        <v/>
      </c>
      <c r="BW82" s="20" t="str">
        <f t="shared" si="87"/>
        <v/>
      </c>
      <c r="BX82" s="51" t="b">
        <f t="shared" ref="BX82:BY82" si="1191">BX36</f>
        <v>0</v>
      </c>
      <c r="BY82" s="51" t="b">
        <f t="shared" si="1191"/>
        <v>0</v>
      </c>
      <c r="BZ82" s="51" t="b">
        <f t="shared" ref="BZ82:CA82" si="1192">BZ36</f>
        <v>0</v>
      </c>
      <c r="CA82" s="51" t="b">
        <f t="shared" si="1192"/>
        <v>0</v>
      </c>
      <c r="CB82" s="20" t="str">
        <f t="shared" si="88"/>
        <v/>
      </c>
      <c r="CC82" s="51" t="str">
        <f t="shared" si="89"/>
        <v/>
      </c>
      <c r="CD82" s="20" t="str">
        <f t="shared" si="90"/>
        <v/>
      </c>
      <c r="CE82" s="51" t="b">
        <f t="shared" ref="CE82:CH82" si="1193">CE36</f>
        <v>0</v>
      </c>
      <c r="CF82" s="51" t="b">
        <f t="shared" si="1193"/>
        <v>0</v>
      </c>
      <c r="CG82" s="51" t="b">
        <f t="shared" si="1193"/>
        <v>0</v>
      </c>
      <c r="CH82" s="51" t="b">
        <f t="shared" si="1193"/>
        <v>0</v>
      </c>
      <c r="CI82" s="51" t="str">
        <f t="shared" si="92"/>
        <v/>
      </c>
      <c r="CJ82" s="19" t="str">
        <f t="shared" si="93"/>
        <v/>
      </c>
      <c r="CK82" s="20" t="str">
        <f t="shared" si="94"/>
        <v/>
      </c>
      <c r="CL82" s="51" t="b">
        <f t="shared" ref="CL82:CO82" si="1194">CL36</f>
        <v>0</v>
      </c>
      <c r="CM82" s="51" t="b">
        <f t="shared" si="1194"/>
        <v>0</v>
      </c>
      <c r="CN82" s="51" t="b">
        <f t="shared" si="1194"/>
        <v>0</v>
      </c>
      <c r="CO82" s="51" t="b">
        <f t="shared" si="1194"/>
        <v>0</v>
      </c>
      <c r="CP82" s="20" t="str">
        <f t="shared" si="96"/>
        <v/>
      </c>
      <c r="CQ82" s="51" t="str">
        <f t="shared" si="97"/>
        <v/>
      </c>
      <c r="CR82" s="20" t="str">
        <f t="shared" si="98"/>
        <v/>
      </c>
      <c r="CS82" s="51" t="b">
        <f t="shared" ref="CS82:CT82" si="1195">CS36</f>
        <v>0</v>
      </c>
      <c r="CT82" s="51" t="b">
        <f t="shared" si="1195"/>
        <v>0</v>
      </c>
      <c r="CU82" s="51" t="b">
        <f t="shared" ref="CU82:CV82" si="1196">CU36</f>
        <v>0</v>
      </c>
      <c r="CV82" s="51" t="b">
        <f t="shared" si="1196"/>
        <v>0</v>
      </c>
      <c r="CW82" s="20" t="str">
        <f t="shared" si="99"/>
        <v/>
      </c>
      <c r="CX82" s="51" t="str">
        <f t="shared" si="100"/>
        <v/>
      </c>
      <c r="CY82" s="20" t="str">
        <f t="shared" si="101"/>
        <v/>
      </c>
      <c r="CZ82" s="51" t="b">
        <f t="shared" ref="CZ82:DC82" si="1197">CZ36</f>
        <v>0</v>
      </c>
      <c r="DA82" s="51" t="b">
        <f t="shared" si="1197"/>
        <v>0</v>
      </c>
      <c r="DB82" s="51" t="b">
        <f t="shared" si="1197"/>
        <v>0</v>
      </c>
      <c r="DC82" s="51" t="b">
        <f t="shared" si="1197"/>
        <v>0</v>
      </c>
      <c r="DD82" s="51" t="str">
        <f t="shared" si="103"/>
        <v/>
      </c>
      <c r="DE82" s="19" t="str">
        <f t="shared" si="104"/>
        <v/>
      </c>
      <c r="DF82" s="20" t="str">
        <f t="shared" si="105"/>
        <v/>
      </c>
      <c r="DG82" s="51" t="b">
        <f t="shared" ref="DG82:DJ82" si="1198">DG36</f>
        <v>0</v>
      </c>
      <c r="DH82" s="51" t="b">
        <f t="shared" si="1198"/>
        <v>0</v>
      </c>
      <c r="DI82" s="51" t="b">
        <f t="shared" si="1198"/>
        <v>0</v>
      </c>
      <c r="DJ82" s="51" t="b">
        <f t="shared" si="1198"/>
        <v>0</v>
      </c>
      <c r="DK82" s="20" t="str">
        <f t="shared" si="107"/>
        <v/>
      </c>
      <c r="DL82" s="51" t="str">
        <f t="shared" si="108"/>
        <v/>
      </c>
      <c r="DM82" s="20" t="str">
        <f t="shared" si="109"/>
        <v/>
      </c>
      <c r="DN82" s="51" t="b">
        <f t="shared" ref="DN82:DO82" si="1199">DN36</f>
        <v>0</v>
      </c>
      <c r="DO82" s="51" t="b">
        <f t="shared" si="1199"/>
        <v>0</v>
      </c>
      <c r="DP82" s="51" t="b">
        <f t="shared" ref="DP82:DQ82" si="1200">DP36</f>
        <v>0</v>
      </c>
      <c r="DQ82" s="51" t="b">
        <f t="shared" si="1200"/>
        <v>0</v>
      </c>
      <c r="DR82" s="20" t="str">
        <f t="shared" si="110"/>
        <v/>
      </c>
      <c r="DS82" s="51" t="str">
        <f t="shared" si="111"/>
        <v/>
      </c>
      <c r="DT82" s="20" t="str">
        <f t="shared" si="112"/>
        <v/>
      </c>
      <c r="DU82" s="51" t="b">
        <f t="shared" ref="DU82:DX82" si="1201">DU36</f>
        <v>0</v>
      </c>
      <c r="DV82" s="51" t="b">
        <f t="shared" si="1201"/>
        <v>0</v>
      </c>
      <c r="DW82" s="51" t="b">
        <f t="shared" si="1201"/>
        <v>0</v>
      </c>
      <c r="DX82" s="51" t="b">
        <f t="shared" si="1201"/>
        <v>0</v>
      </c>
      <c r="DY82" s="51" t="str">
        <f t="shared" si="114"/>
        <v/>
      </c>
      <c r="DZ82" s="19" t="str">
        <f t="shared" si="115"/>
        <v/>
      </c>
      <c r="EA82" s="20" t="str">
        <f t="shared" si="116"/>
        <v/>
      </c>
      <c r="EB82" s="51" t="b">
        <f t="shared" ref="EB82:EE82" si="1202">EB36</f>
        <v>0</v>
      </c>
      <c r="EC82" s="51" t="b">
        <f t="shared" si="1202"/>
        <v>0</v>
      </c>
      <c r="ED82" s="51" t="b">
        <f t="shared" si="1202"/>
        <v>0</v>
      </c>
      <c r="EE82" s="51" t="b">
        <f t="shared" si="1202"/>
        <v>0</v>
      </c>
      <c r="EF82" s="20" t="str">
        <f t="shared" si="118"/>
        <v/>
      </c>
      <c r="EG82" s="51" t="str">
        <f t="shared" si="119"/>
        <v/>
      </c>
      <c r="EH82" s="20" t="str">
        <f t="shared" si="120"/>
        <v/>
      </c>
      <c r="EI82" s="51" t="b">
        <f t="shared" ref="EI82:EJ82" si="1203">EI36</f>
        <v>0</v>
      </c>
      <c r="EJ82" s="51" t="b">
        <f t="shared" si="1203"/>
        <v>0</v>
      </c>
      <c r="EK82" s="51" t="b">
        <f t="shared" ref="EK82:EL82" si="1204">EK36</f>
        <v>0</v>
      </c>
      <c r="EL82" s="51" t="b">
        <f t="shared" si="1204"/>
        <v>0</v>
      </c>
      <c r="EM82" s="20" t="str">
        <f t="shared" si="121"/>
        <v/>
      </c>
      <c r="EN82" s="51" t="str">
        <f t="shared" si="122"/>
        <v/>
      </c>
      <c r="EO82" s="20" t="str">
        <f t="shared" si="123"/>
        <v/>
      </c>
      <c r="EP82" s="51" t="b">
        <f t="shared" ref="EP82:ES82" si="1205">EP36</f>
        <v>0</v>
      </c>
      <c r="EQ82" s="51" t="b">
        <f t="shared" si="1205"/>
        <v>0</v>
      </c>
      <c r="ER82" s="51" t="b">
        <f t="shared" si="1205"/>
        <v>0</v>
      </c>
      <c r="ES82" s="51" t="b">
        <f t="shared" si="1205"/>
        <v>0</v>
      </c>
      <c r="ET82" s="51" t="str">
        <f t="shared" si="125"/>
        <v/>
      </c>
      <c r="EU82" s="19" t="str">
        <f t="shared" si="126"/>
        <v/>
      </c>
      <c r="EV82" s="20" t="str">
        <f t="shared" si="127"/>
        <v/>
      </c>
      <c r="EW82" s="51" t="b">
        <f t="shared" ref="EW82:EZ82" si="1206">EW36</f>
        <v>0</v>
      </c>
      <c r="EX82" s="51" t="b">
        <f t="shared" si="1206"/>
        <v>0</v>
      </c>
      <c r="EY82" s="51" t="b">
        <f t="shared" si="1206"/>
        <v>0</v>
      </c>
      <c r="EZ82" s="51" t="b">
        <f t="shared" si="1206"/>
        <v>0</v>
      </c>
      <c r="FA82" s="20" t="str">
        <f t="shared" si="129"/>
        <v/>
      </c>
      <c r="FB82" s="51" t="str">
        <f t="shared" si="130"/>
        <v/>
      </c>
      <c r="FC82" s="20" t="str">
        <f t="shared" si="131"/>
        <v/>
      </c>
      <c r="FD82" s="51" t="b">
        <f t="shared" ref="FD82:FE82" si="1207">FD36</f>
        <v>0</v>
      </c>
      <c r="FE82" s="51" t="b">
        <f t="shared" si="1207"/>
        <v>0</v>
      </c>
      <c r="FF82" s="51" t="b">
        <f t="shared" ref="FF82:FG82" si="1208">FF36</f>
        <v>0</v>
      </c>
      <c r="FG82" s="51" t="b">
        <f t="shared" si="1208"/>
        <v>0</v>
      </c>
      <c r="FH82" s="20" t="str">
        <f t="shared" si="132"/>
        <v/>
      </c>
      <c r="FI82" s="51" t="str">
        <f t="shared" si="133"/>
        <v/>
      </c>
      <c r="FJ82" s="20" t="str">
        <f t="shared" si="134"/>
        <v/>
      </c>
      <c r="FK82" s="51" t="b">
        <f t="shared" ref="FK82:FN82" si="1209">FK36</f>
        <v>0</v>
      </c>
      <c r="FL82" s="51" t="b">
        <f t="shared" si="1209"/>
        <v>0</v>
      </c>
      <c r="FM82" s="51" t="b">
        <f t="shared" si="1209"/>
        <v>0</v>
      </c>
      <c r="FN82" s="51" t="b">
        <f t="shared" si="1209"/>
        <v>0</v>
      </c>
      <c r="FO82" s="51" t="str">
        <f t="shared" si="136"/>
        <v/>
      </c>
      <c r="FP82" s="19" t="str">
        <f t="shared" si="137"/>
        <v/>
      </c>
      <c r="FQ82" s="20" t="str">
        <f t="shared" si="138"/>
        <v/>
      </c>
      <c r="FR82" s="51" t="b">
        <f t="shared" ref="FR82:FU82" si="1210">FR36</f>
        <v>0</v>
      </c>
      <c r="FS82" s="51" t="b">
        <f t="shared" si="1210"/>
        <v>0</v>
      </c>
      <c r="FT82" s="51" t="b">
        <f t="shared" si="1210"/>
        <v>0</v>
      </c>
      <c r="FU82" s="51" t="b">
        <f t="shared" si="1210"/>
        <v>0</v>
      </c>
      <c r="FV82" s="20" t="str">
        <f t="shared" si="140"/>
        <v/>
      </c>
      <c r="FW82" s="51" t="str">
        <f t="shared" si="141"/>
        <v/>
      </c>
      <c r="FX82" s="20" t="str">
        <f t="shared" si="142"/>
        <v/>
      </c>
      <c r="FY82" s="51" t="b">
        <f t="shared" ref="FY82:FZ82" si="1211">FY36</f>
        <v>0</v>
      </c>
      <c r="FZ82" s="51" t="b">
        <f t="shared" si="1211"/>
        <v>0</v>
      </c>
      <c r="GA82" s="51" t="b">
        <f t="shared" ref="GA82:GB82" si="1212">GA36</f>
        <v>0</v>
      </c>
      <c r="GB82" s="51" t="b">
        <f t="shared" si="1212"/>
        <v>0</v>
      </c>
      <c r="GC82" s="20" t="str">
        <f t="shared" si="143"/>
        <v/>
      </c>
      <c r="GD82" s="51" t="str">
        <f t="shared" si="144"/>
        <v/>
      </c>
      <c r="GE82" s="20" t="str">
        <f t="shared" si="145"/>
        <v/>
      </c>
      <c r="GF82" s="51" t="b">
        <f t="shared" ref="GF82:GI82" si="1213">GF36</f>
        <v>0</v>
      </c>
      <c r="GG82" s="51" t="b">
        <f t="shared" si="1213"/>
        <v>0</v>
      </c>
      <c r="GH82" s="51" t="b">
        <f t="shared" si="1213"/>
        <v>0</v>
      </c>
      <c r="GI82" s="51" t="b">
        <f t="shared" si="1213"/>
        <v>0</v>
      </c>
      <c r="GJ82" s="51" t="str">
        <f t="shared" si="147"/>
        <v/>
      </c>
      <c r="GK82" s="19" t="str">
        <f t="shared" si="148"/>
        <v/>
      </c>
      <c r="GL82" s="20" t="str">
        <f t="shared" si="149"/>
        <v/>
      </c>
      <c r="GM82" s="51" t="b">
        <f t="shared" ref="GM82:GP82" si="1214">GM36</f>
        <v>0</v>
      </c>
      <c r="GN82" s="51" t="b">
        <f t="shared" si="1214"/>
        <v>0</v>
      </c>
      <c r="GO82" s="51" t="b">
        <f t="shared" si="1214"/>
        <v>0</v>
      </c>
      <c r="GP82" s="51" t="b">
        <f t="shared" si="1214"/>
        <v>0</v>
      </c>
      <c r="GQ82" s="20" t="str">
        <f t="shared" si="151"/>
        <v/>
      </c>
      <c r="GR82" s="51" t="str">
        <f t="shared" si="152"/>
        <v/>
      </c>
      <c r="GS82" s="20" t="str">
        <f t="shared" si="153"/>
        <v/>
      </c>
      <c r="GT82" s="51" t="b">
        <f t="shared" ref="GT82:GU82" si="1215">GT36</f>
        <v>0</v>
      </c>
      <c r="GU82" s="51" t="b">
        <f t="shared" si="1215"/>
        <v>0</v>
      </c>
      <c r="GV82" s="51" t="b">
        <f t="shared" ref="GV82:GW82" si="1216">GV36</f>
        <v>0</v>
      </c>
      <c r="GW82" s="51" t="b">
        <f t="shared" si="1216"/>
        <v>0</v>
      </c>
      <c r="GX82" s="20" t="str">
        <f t="shared" si="154"/>
        <v/>
      </c>
      <c r="GY82" s="51" t="str">
        <f t="shared" si="155"/>
        <v/>
      </c>
      <c r="GZ82" s="20" t="str">
        <f t="shared" si="156"/>
        <v/>
      </c>
      <c r="HA82" s="51" t="b">
        <f t="shared" ref="HA82:HD82" si="1217">HA36</f>
        <v>0</v>
      </c>
      <c r="HB82" s="51" t="b">
        <f t="shared" si="1217"/>
        <v>0</v>
      </c>
      <c r="HC82" s="51" t="b">
        <f t="shared" si="1217"/>
        <v>0</v>
      </c>
      <c r="HD82" s="51" t="b">
        <f t="shared" si="1217"/>
        <v>0</v>
      </c>
      <c r="HE82" s="51" t="str">
        <f t="shared" si="158"/>
        <v/>
      </c>
      <c r="HF82" s="19" t="str">
        <f t="shared" si="159"/>
        <v/>
      </c>
      <c r="HG82" s="20" t="str">
        <f t="shared" si="160"/>
        <v/>
      </c>
      <c r="HH82" s="51" t="b">
        <f t="shared" ref="HH82:HK82" si="1218">HH36</f>
        <v>0</v>
      </c>
      <c r="HI82" s="51" t="b">
        <f t="shared" si="1218"/>
        <v>0</v>
      </c>
      <c r="HJ82" s="51" t="b">
        <f t="shared" si="1218"/>
        <v>0</v>
      </c>
      <c r="HK82" s="51" t="b">
        <f t="shared" si="1218"/>
        <v>0</v>
      </c>
      <c r="HL82" s="20" t="str">
        <f t="shared" si="162"/>
        <v/>
      </c>
      <c r="HM82" s="51" t="str">
        <f t="shared" si="163"/>
        <v/>
      </c>
      <c r="HN82" s="20" t="str">
        <f t="shared" si="164"/>
        <v/>
      </c>
      <c r="HO82" s="51" t="b">
        <f t="shared" ref="HO82:HP82" si="1219">HO36</f>
        <v>0</v>
      </c>
      <c r="HP82" s="51" t="b">
        <f t="shared" si="1219"/>
        <v>0</v>
      </c>
      <c r="HQ82" s="51" t="b">
        <f t="shared" ref="HQ82:HR82" si="1220">HQ36</f>
        <v>0</v>
      </c>
      <c r="HR82" s="51" t="b">
        <f t="shared" si="1220"/>
        <v>0</v>
      </c>
      <c r="HS82" s="20" t="str">
        <f t="shared" si="165"/>
        <v/>
      </c>
      <c r="HT82" s="51" t="str">
        <f t="shared" si="166"/>
        <v/>
      </c>
      <c r="HU82" s="20" t="str">
        <f t="shared" si="167"/>
        <v/>
      </c>
      <c r="HV82" s="51" t="b">
        <f t="shared" ref="HV82:HY82" si="1221">HV36</f>
        <v>0</v>
      </c>
      <c r="HW82" s="51" t="b">
        <f t="shared" si="1221"/>
        <v>0</v>
      </c>
      <c r="HX82" s="51" t="b">
        <f t="shared" si="1221"/>
        <v>0</v>
      </c>
      <c r="HY82" s="51" t="b">
        <f t="shared" si="1221"/>
        <v>0</v>
      </c>
      <c r="HZ82" s="51" t="str">
        <f t="shared" si="169"/>
        <v/>
      </c>
      <c r="IA82" s="19" t="str">
        <f t="shared" si="170"/>
        <v/>
      </c>
      <c r="IB82" s="20" t="str">
        <f t="shared" si="171"/>
        <v/>
      </c>
      <c r="IC82" s="51" t="b">
        <f t="shared" ref="IC82:IF82" si="1222">IC36</f>
        <v>0</v>
      </c>
      <c r="ID82" s="51" t="b">
        <f t="shared" si="1222"/>
        <v>0</v>
      </c>
      <c r="IE82" s="51" t="b">
        <f t="shared" si="1222"/>
        <v>0</v>
      </c>
      <c r="IF82" s="51" t="b">
        <f t="shared" si="1222"/>
        <v>0</v>
      </c>
      <c r="IG82" s="20" t="str">
        <f t="shared" si="173"/>
        <v/>
      </c>
      <c r="IH82" s="51" t="str">
        <f t="shared" si="174"/>
        <v/>
      </c>
      <c r="II82" s="20" t="str">
        <f t="shared" si="175"/>
        <v/>
      </c>
      <c r="IJ82" s="51" t="b">
        <f t="shared" ref="IJ82:IK82" si="1223">IJ36</f>
        <v>0</v>
      </c>
      <c r="IK82" s="51" t="b">
        <f t="shared" si="1223"/>
        <v>0</v>
      </c>
      <c r="IL82" s="51" t="b">
        <f t="shared" ref="IL82:IM82" si="1224">IL36</f>
        <v>0</v>
      </c>
      <c r="IM82" s="51" t="b">
        <f t="shared" si="1224"/>
        <v>0</v>
      </c>
      <c r="IN82" s="20" t="str">
        <f t="shared" si="176"/>
        <v/>
      </c>
      <c r="IO82" s="51" t="str">
        <f t="shared" si="177"/>
        <v/>
      </c>
      <c r="IP82" s="20" t="str">
        <f t="shared" si="178"/>
        <v/>
      </c>
      <c r="IQ82" s="51" t="b">
        <f t="shared" ref="IQ82:IT82" si="1225">IQ36</f>
        <v>0</v>
      </c>
      <c r="IR82" s="51" t="b">
        <f t="shared" si="1225"/>
        <v>0</v>
      </c>
      <c r="IS82" s="51" t="b">
        <f t="shared" si="1225"/>
        <v>0</v>
      </c>
      <c r="IT82" s="51" t="b">
        <f t="shared" si="1225"/>
        <v>0</v>
      </c>
      <c r="IU82" s="51" t="str">
        <f t="shared" si="180"/>
        <v/>
      </c>
      <c r="IV82" s="116"/>
    </row>
    <row r="83" spans="3:256" x14ac:dyDescent="0.2">
      <c r="C83">
        <v>28</v>
      </c>
      <c r="D83" s="19" t="str">
        <f t="shared" si="48"/>
        <v/>
      </c>
      <c r="E83" s="20" t="str">
        <f t="shared" si="49"/>
        <v/>
      </c>
      <c r="F83" s="51" t="b">
        <f t="shared" si="781"/>
        <v>0</v>
      </c>
      <c r="G83" s="51" t="b">
        <f t="shared" si="781"/>
        <v>0</v>
      </c>
      <c r="H83" s="51" t="b">
        <f t="shared" si="781"/>
        <v>0</v>
      </c>
      <c r="I83" s="51" t="b">
        <f t="shared" si="781"/>
        <v>0</v>
      </c>
      <c r="J83" s="20" t="str">
        <f t="shared" si="51"/>
        <v/>
      </c>
      <c r="K83" s="51" t="str">
        <f t="shared" si="52"/>
        <v/>
      </c>
      <c r="L83" s="20" t="str">
        <f t="shared" si="53"/>
        <v/>
      </c>
      <c r="M83" s="51" t="b">
        <f t="shared" si="825"/>
        <v>0</v>
      </c>
      <c r="N83" s="51" t="b">
        <f t="shared" si="825"/>
        <v>0</v>
      </c>
      <c r="O83" s="51" t="b">
        <f t="shared" si="825"/>
        <v>0</v>
      </c>
      <c r="P83" s="51" t="b">
        <f t="shared" si="825"/>
        <v>0</v>
      </c>
      <c r="Q83" s="20" t="str">
        <f t="shared" si="55"/>
        <v/>
      </c>
      <c r="R83" s="51" t="str">
        <f t="shared" si="56"/>
        <v/>
      </c>
      <c r="S83" s="51" t="str">
        <f t="shared" si="57"/>
        <v/>
      </c>
      <c r="T83" s="51" t="b">
        <f t="shared" si="782"/>
        <v>0</v>
      </c>
      <c r="U83" s="51" t="b">
        <f t="shared" si="782"/>
        <v>0</v>
      </c>
      <c r="V83" s="51" t="b">
        <f t="shared" si="782"/>
        <v>0</v>
      </c>
      <c r="W83" s="51" t="b">
        <f t="shared" si="782"/>
        <v>0</v>
      </c>
      <c r="X83" s="22" t="str">
        <f t="shared" si="59"/>
        <v/>
      </c>
      <c r="Y83" s="19" t="str">
        <f t="shared" si="60"/>
        <v/>
      </c>
      <c r="Z83" s="20" t="str">
        <f t="shared" si="61"/>
        <v/>
      </c>
      <c r="AA83" s="51" t="b">
        <f t="shared" si="783"/>
        <v>0</v>
      </c>
      <c r="AB83" s="51" t="b">
        <f t="shared" si="783"/>
        <v>0</v>
      </c>
      <c r="AC83" s="51" t="b">
        <f t="shared" si="783"/>
        <v>0</v>
      </c>
      <c r="AD83" s="51" t="b">
        <f t="shared" si="783"/>
        <v>0</v>
      </c>
      <c r="AE83" s="20" t="str">
        <f t="shared" si="63"/>
        <v/>
      </c>
      <c r="AF83" s="51" t="str">
        <f t="shared" si="64"/>
        <v/>
      </c>
      <c r="AG83" s="20" t="str">
        <f t="shared" si="65"/>
        <v/>
      </c>
      <c r="AH83" s="51" t="b">
        <f t="shared" ref="AH83:AK83" si="1226">AH37</f>
        <v>0</v>
      </c>
      <c r="AI83" s="51" t="b">
        <f t="shared" si="1226"/>
        <v>0</v>
      </c>
      <c r="AJ83" s="51" t="b">
        <f t="shared" si="1226"/>
        <v>0</v>
      </c>
      <c r="AK83" s="51" t="b">
        <f t="shared" si="1226"/>
        <v>0</v>
      </c>
      <c r="AL83" s="20" t="str">
        <f t="shared" si="66"/>
        <v/>
      </c>
      <c r="AM83" s="51" t="str">
        <f t="shared" si="67"/>
        <v/>
      </c>
      <c r="AN83" s="20" t="str">
        <f t="shared" si="68"/>
        <v/>
      </c>
      <c r="AO83" s="51" t="b">
        <f t="shared" si="785"/>
        <v>0</v>
      </c>
      <c r="AP83" s="51" t="b">
        <f t="shared" si="785"/>
        <v>0</v>
      </c>
      <c r="AQ83" s="51" t="b">
        <f t="shared" si="785"/>
        <v>0</v>
      </c>
      <c r="AR83" s="51" t="b">
        <f t="shared" si="785"/>
        <v>0</v>
      </c>
      <c r="AS83" s="51" t="str">
        <f t="shared" si="70"/>
        <v/>
      </c>
      <c r="AT83" s="19" t="str">
        <f t="shared" si="71"/>
        <v/>
      </c>
      <c r="AU83" s="20" t="str">
        <f t="shared" si="72"/>
        <v/>
      </c>
      <c r="AV83" s="51" t="b">
        <f t="shared" ref="AV83:AY83" si="1227">AV37</f>
        <v>0</v>
      </c>
      <c r="AW83" s="51" t="b">
        <f t="shared" si="1227"/>
        <v>0</v>
      </c>
      <c r="AX83" s="51" t="b">
        <f t="shared" si="1227"/>
        <v>0</v>
      </c>
      <c r="AY83" s="51" t="b">
        <f t="shared" si="1227"/>
        <v>0</v>
      </c>
      <c r="AZ83" s="20" t="str">
        <f t="shared" si="74"/>
        <v/>
      </c>
      <c r="BA83" s="51" t="str">
        <f t="shared" si="75"/>
        <v/>
      </c>
      <c r="BB83" s="20" t="str">
        <f t="shared" si="76"/>
        <v/>
      </c>
      <c r="BC83" s="51" t="b">
        <f t="shared" ref="BC83:BF83" si="1228">BC37</f>
        <v>0</v>
      </c>
      <c r="BD83" s="51" t="b">
        <f t="shared" si="1228"/>
        <v>0</v>
      </c>
      <c r="BE83" s="51" t="b">
        <f t="shared" si="1228"/>
        <v>0</v>
      </c>
      <c r="BF83" s="51" t="b">
        <f t="shared" si="1228"/>
        <v>0</v>
      </c>
      <c r="BG83" s="20" t="str">
        <f t="shared" si="77"/>
        <v/>
      </c>
      <c r="BH83" s="51" t="str">
        <f t="shared" si="78"/>
        <v/>
      </c>
      <c r="BI83" s="20" t="str">
        <f t="shared" si="79"/>
        <v/>
      </c>
      <c r="BJ83" s="51" t="b">
        <f t="shared" ref="BJ83:BM83" si="1229">BJ37</f>
        <v>0</v>
      </c>
      <c r="BK83" s="51" t="b">
        <f t="shared" si="1229"/>
        <v>0</v>
      </c>
      <c r="BL83" s="51" t="b">
        <f t="shared" si="1229"/>
        <v>0</v>
      </c>
      <c r="BM83" s="51" t="b">
        <f t="shared" si="1229"/>
        <v>0</v>
      </c>
      <c r="BN83" s="51" t="str">
        <f t="shared" si="81"/>
        <v/>
      </c>
      <c r="BO83" s="19" t="str">
        <f t="shared" si="82"/>
        <v/>
      </c>
      <c r="BP83" s="20" t="str">
        <f t="shared" si="83"/>
        <v/>
      </c>
      <c r="BQ83" s="51" t="b">
        <f t="shared" ref="BQ83:BT83" si="1230">BQ37</f>
        <v>0</v>
      </c>
      <c r="BR83" s="51" t="b">
        <f t="shared" si="1230"/>
        <v>0</v>
      </c>
      <c r="BS83" s="51" t="b">
        <f t="shared" si="1230"/>
        <v>0</v>
      </c>
      <c r="BT83" s="51" t="b">
        <f t="shared" si="1230"/>
        <v>0</v>
      </c>
      <c r="BU83" s="20" t="str">
        <f t="shared" si="85"/>
        <v/>
      </c>
      <c r="BV83" s="51" t="str">
        <f t="shared" si="86"/>
        <v/>
      </c>
      <c r="BW83" s="20" t="str">
        <f t="shared" si="87"/>
        <v/>
      </c>
      <c r="BX83" s="51" t="b">
        <f t="shared" ref="BX83:BY83" si="1231">BX37</f>
        <v>0</v>
      </c>
      <c r="BY83" s="51" t="b">
        <f t="shared" si="1231"/>
        <v>0</v>
      </c>
      <c r="BZ83" s="51" t="b">
        <f t="shared" ref="BZ83:CA83" si="1232">BZ37</f>
        <v>0</v>
      </c>
      <c r="CA83" s="51" t="b">
        <f t="shared" si="1232"/>
        <v>0</v>
      </c>
      <c r="CB83" s="20" t="str">
        <f t="shared" si="88"/>
        <v/>
      </c>
      <c r="CC83" s="51" t="str">
        <f t="shared" si="89"/>
        <v/>
      </c>
      <c r="CD83" s="20" t="str">
        <f t="shared" si="90"/>
        <v/>
      </c>
      <c r="CE83" s="51" t="b">
        <f t="shared" ref="CE83:CH83" si="1233">CE37</f>
        <v>0</v>
      </c>
      <c r="CF83" s="51" t="b">
        <f t="shared" si="1233"/>
        <v>0</v>
      </c>
      <c r="CG83" s="51" t="b">
        <f t="shared" si="1233"/>
        <v>0</v>
      </c>
      <c r="CH83" s="51" t="b">
        <f t="shared" si="1233"/>
        <v>0</v>
      </c>
      <c r="CI83" s="51" t="str">
        <f t="shared" si="92"/>
        <v/>
      </c>
      <c r="CJ83" s="19" t="str">
        <f t="shared" si="93"/>
        <v/>
      </c>
      <c r="CK83" s="20" t="str">
        <f t="shared" si="94"/>
        <v/>
      </c>
      <c r="CL83" s="51" t="b">
        <f t="shared" ref="CL83:CO83" si="1234">CL37</f>
        <v>0</v>
      </c>
      <c r="CM83" s="51" t="b">
        <f t="shared" si="1234"/>
        <v>0</v>
      </c>
      <c r="CN83" s="51" t="b">
        <f t="shared" si="1234"/>
        <v>0</v>
      </c>
      <c r="CO83" s="51" t="b">
        <f t="shared" si="1234"/>
        <v>0</v>
      </c>
      <c r="CP83" s="20" t="str">
        <f t="shared" si="96"/>
        <v/>
      </c>
      <c r="CQ83" s="51" t="str">
        <f t="shared" si="97"/>
        <v/>
      </c>
      <c r="CR83" s="20" t="str">
        <f t="shared" si="98"/>
        <v/>
      </c>
      <c r="CS83" s="51" t="b">
        <f t="shared" ref="CS83:CT83" si="1235">CS37</f>
        <v>0</v>
      </c>
      <c r="CT83" s="51" t="b">
        <f t="shared" si="1235"/>
        <v>0</v>
      </c>
      <c r="CU83" s="51" t="b">
        <f t="shared" ref="CU83:CV83" si="1236">CU37</f>
        <v>0</v>
      </c>
      <c r="CV83" s="51" t="b">
        <f t="shared" si="1236"/>
        <v>0</v>
      </c>
      <c r="CW83" s="20" t="str">
        <f t="shared" si="99"/>
        <v/>
      </c>
      <c r="CX83" s="51" t="str">
        <f t="shared" si="100"/>
        <v/>
      </c>
      <c r="CY83" s="20" t="str">
        <f t="shared" si="101"/>
        <v/>
      </c>
      <c r="CZ83" s="51" t="b">
        <f t="shared" ref="CZ83:DC83" si="1237">CZ37</f>
        <v>0</v>
      </c>
      <c r="DA83" s="51" t="b">
        <f t="shared" si="1237"/>
        <v>0</v>
      </c>
      <c r="DB83" s="51" t="b">
        <f t="shared" si="1237"/>
        <v>0</v>
      </c>
      <c r="DC83" s="51" t="b">
        <f t="shared" si="1237"/>
        <v>0</v>
      </c>
      <c r="DD83" s="51" t="str">
        <f t="shared" si="103"/>
        <v/>
      </c>
      <c r="DE83" s="19" t="str">
        <f t="shared" si="104"/>
        <v/>
      </c>
      <c r="DF83" s="20" t="str">
        <f t="shared" si="105"/>
        <v/>
      </c>
      <c r="DG83" s="51" t="b">
        <f t="shared" ref="DG83:DJ83" si="1238">DG37</f>
        <v>0</v>
      </c>
      <c r="DH83" s="51" t="b">
        <f t="shared" si="1238"/>
        <v>0</v>
      </c>
      <c r="DI83" s="51" t="b">
        <f t="shared" si="1238"/>
        <v>0</v>
      </c>
      <c r="DJ83" s="51" t="b">
        <f t="shared" si="1238"/>
        <v>0</v>
      </c>
      <c r="DK83" s="20" t="str">
        <f t="shared" si="107"/>
        <v/>
      </c>
      <c r="DL83" s="51" t="str">
        <f t="shared" si="108"/>
        <v/>
      </c>
      <c r="DM83" s="20" t="str">
        <f t="shared" si="109"/>
        <v/>
      </c>
      <c r="DN83" s="51" t="b">
        <f t="shared" ref="DN83:DO83" si="1239">DN37</f>
        <v>0</v>
      </c>
      <c r="DO83" s="51" t="b">
        <f t="shared" si="1239"/>
        <v>0</v>
      </c>
      <c r="DP83" s="51" t="b">
        <f t="shared" ref="DP83:DQ83" si="1240">DP37</f>
        <v>0</v>
      </c>
      <c r="DQ83" s="51" t="b">
        <f t="shared" si="1240"/>
        <v>0</v>
      </c>
      <c r="DR83" s="20" t="str">
        <f t="shared" si="110"/>
        <v/>
      </c>
      <c r="DS83" s="51" t="str">
        <f t="shared" si="111"/>
        <v/>
      </c>
      <c r="DT83" s="20" t="str">
        <f t="shared" si="112"/>
        <v/>
      </c>
      <c r="DU83" s="51" t="b">
        <f t="shared" ref="DU83:DX83" si="1241">DU37</f>
        <v>0</v>
      </c>
      <c r="DV83" s="51" t="b">
        <f t="shared" si="1241"/>
        <v>0</v>
      </c>
      <c r="DW83" s="51" t="b">
        <f t="shared" si="1241"/>
        <v>0</v>
      </c>
      <c r="DX83" s="51" t="b">
        <f t="shared" si="1241"/>
        <v>0</v>
      </c>
      <c r="DY83" s="51" t="str">
        <f t="shared" si="114"/>
        <v/>
      </c>
      <c r="DZ83" s="19" t="str">
        <f t="shared" si="115"/>
        <v/>
      </c>
      <c r="EA83" s="20" t="str">
        <f t="shared" si="116"/>
        <v/>
      </c>
      <c r="EB83" s="51" t="b">
        <f t="shared" ref="EB83:EE83" si="1242">EB37</f>
        <v>0</v>
      </c>
      <c r="EC83" s="51" t="b">
        <f t="shared" si="1242"/>
        <v>0</v>
      </c>
      <c r="ED83" s="51" t="b">
        <f t="shared" si="1242"/>
        <v>0</v>
      </c>
      <c r="EE83" s="51" t="b">
        <f t="shared" si="1242"/>
        <v>0</v>
      </c>
      <c r="EF83" s="20" t="str">
        <f t="shared" si="118"/>
        <v/>
      </c>
      <c r="EG83" s="51" t="str">
        <f t="shared" si="119"/>
        <v/>
      </c>
      <c r="EH83" s="20" t="str">
        <f t="shared" si="120"/>
        <v/>
      </c>
      <c r="EI83" s="51" t="b">
        <f t="shared" ref="EI83:EJ83" si="1243">EI37</f>
        <v>0</v>
      </c>
      <c r="EJ83" s="51" t="b">
        <f t="shared" si="1243"/>
        <v>0</v>
      </c>
      <c r="EK83" s="51" t="b">
        <f t="shared" ref="EK83:EL83" si="1244">EK37</f>
        <v>0</v>
      </c>
      <c r="EL83" s="51" t="b">
        <f t="shared" si="1244"/>
        <v>0</v>
      </c>
      <c r="EM83" s="20" t="str">
        <f t="shared" si="121"/>
        <v/>
      </c>
      <c r="EN83" s="51" t="str">
        <f t="shared" si="122"/>
        <v/>
      </c>
      <c r="EO83" s="20" t="str">
        <f t="shared" si="123"/>
        <v/>
      </c>
      <c r="EP83" s="51" t="b">
        <f t="shared" ref="EP83:ES83" si="1245">EP37</f>
        <v>0</v>
      </c>
      <c r="EQ83" s="51" t="b">
        <f t="shared" si="1245"/>
        <v>0</v>
      </c>
      <c r="ER83" s="51" t="b">
        <f t="shared" si="1245"/>
        <v>0</v>
      </c>
      <c r="ES83" s="51" t="b">
        <f t="shared" si="1245"/>
        <v>0</v>
      </c>
      <c r="ET83" s="51" t="str">
        <f t="shared" si="125"/>
        <v/>
      </c>
      <c r="EU83" s="19" t="str">
        <f t="shared" si="126"/>
        <v/>
      </c>
      <c r="EV83" s="20" t="str">
        <f t="shared" si="127"/>
        <v/>
      </c>
      <c r="EW83" s="51" t="b">
        <f t="shared" ref="EW83:EZ83" si="1246">EW37</f>
        <v>0</v>
      </c>
      <c r="EX83" s="51" t="b">
        <f t="shared" si="1246"/>
        <v>0</v>
      </c>
      <c r="EY83" s="51" t="b">
        <f t="shared" si="1246"/>
        <v>0</v>
      </c>
      <c r="EZ83" s="51" t="b">
        <f t="shared" si="1246"/>
        <v>0</v>
      </c>
      <c r="FA83" s="20" t="str">
        <f t="shared" si="129"/>
        <v/>
      </c>
      <c r="FB83" s="51" t="str">
        <f t="shared" si="130"/>
        <v/>
      </c>
      <c r="FC83" s="20" t="str">
        <f t="shared" si="131"/>
        <v/>
      </c>
      <c r="FD83" s="51" t="b">
        <f t="shared" ref="FD83:FE83" si="1247">FD37</f>
        <v>0</v>
      </c>
      <c r="FE83" s="51" t="b">
        <f t="shared" si="1247"/>
        <v>0</v>
      </c>
      <c r="FF83" s="51" t="b">
        <f t="shared" ref="FF83:FG83" si="1248">FF37</f>
        <v>0</v>
      </c>
      <c r="FG83" s="51" t="b">
        <f t="shared" si="1248"/>
        <v>0</v>
      </c>
      <c r="FH83" s="20" t="str">
        <f t="shared" si="132"/>
        <v/>
      </c>
      <c r="FI83" s="51" t="str">
        <f t="shared" si="133"/>
        <v/>
      </c>
      <c r="FJ83" s="20" t="str">
        <f t="shared" si="134"/>
        <v/>
      </c>
      <c r="FK83" s="51" t="b">
        <f t="shared" ref="FK83:FN83" si="1249">FK37</f>
        <v>0</v>
      </c>
      <c r="FL83" s="51" t="b">
        <f t="shared" si="1249"/>
        <v>0</v>
      </c>
      <c r="FM83" s="51" t="b">
        <f t="shared" si="1249"/>
        <v>0</v>
      </c>
      <c r="FN83" s="51" t="b">
        <f t="shared" si="1249"/>
        <v>0</v>
      </c>
      <c r="FO83" s="51" t="str">
        <f t="shared" si="136"/>
        <v/>
      </c>
      <c r="FP83" s="19" t="str">
        <f t="shared" si="137"/>
        <v/>
      </c>
      <c r="FQ83" s="20" t="str">
        <f t="shared" si="138"/>
        <v/>
      </c>
      <c r="FR83" s="51" t="b">
        <f t="shared" ref="FR83:FU83" si="1250">FR37</f>
        <v>0</v>
      </c>
      <c r="FS83" s="51" t="b">
        <f t="shared" si="1250"/>
        <v>0</v>
      </c>
      <c r="FT83" s="51" t="b">
        <f t="shared" si="1250"/>
        <v>0</v>
      </c>
      <c r="FU83" s="51" t="b">
        <f t="shared" si="1250"/>
        <v>0</v>
      </c>
      <c r="FV83" s="20" t="str">
        <f t="shared" si="140"/>
        <v/>
      </c>
      <c r="FW83" s="51" t="str">
        <f t="shared" si="141"/>
        <v/>
      </c>
      <c r="FX83" s="20" t="str">
        <f t="shared" si="142"/>
        <v/>
      </c>
      <c r="FY83" s="51" t="b">
        <f t="shared" ref="FY83:FZ83" si="1251">FY37</f>
        <v>0</v>
      </c>
      <c r="FZ83" s="51" t="b">
        <f t="shared" si="1251"/>
        <v>0</v>
      </c>
      <c r="GA83" s="51" t="b">
        <f t="shared" ref="GA83:GB83" si="1252">GA37</f>
        <v>0</v>
      </c>
      <c r="GB83" s="51" t="b">
        <f t="shared" si="1252"/>
        <v>0</v>
      </c>
      <c r="GC83" s="20" t="str">
        <f t="shared" si="143"/>
        <v/>
      </c>
      <c r="GD83" s="51" t="str">
        <f t="shared" si="144"/>
        <v/>
      </c>
      <c r="GE83" s="20" t="str">
        <f t="shared" si="145"/>
        <v/>
      </c>
      <c r="GF83" s="51" t="b">
        <f t="shared" ref="GF83:GI83" si="1253">GF37</f>
        <v>0</v>
      </c>
      <c r="GG83" s="51" t="b">
        <f t="shared" si="1253"/>
        <v>0</v>
      </c>
      <c r="GH83" s="51" t="b">
        <f t="shared" si="1253"/>
        <v>0</v>
      </c>
      <c r="GI83" s="51" t="b">
        <f t="shared" si="1253"/>
        <v>0</v>
      </c>
      <c r="GJ83" s="51" t="str">
        <f t="shared" si="147"/>
        <v/>
      </c>
      <c r="GK83" s="19" t="str">
        <f t="shared" si="148"/>
        <v/>
      </c>
      <c r="GL83" s="20" t="str">
        <f t="shared" si="149"/>
        <v/>
      </c>
      <c r="GM83" s="51" t="b">
        <f t="shared" ref="GM83:GP83" si="1254">GM37</f>
        <v>0</v>
      </c>
      <c r="GN83" s="51" t="b">
        <f t="shared" si="1254"/>
        <v>0</v>
      </c>
      <c r="GO83" s="51" t="b">
        <f t="shared" si="1254"/>
        <v>0</v>
      </c>
      <c r="GP83" s="51" t="b">
        <f t="shared" si="1254"/>
        <v>0</v>
      </c>
      <c r="GQ83" s="20" t="str">
        <f t="shared" si="151"/>
        <v/>
      </c>
      <c r="GR83" s="51" t="str">
        <f t="shared" si="152"/>
        <v/>
      </c>
      <c r="GS83" s="20" t="str">
        <f t="shared" si="153"/>
        <v/>
      </c>
      <c r="GT83" s="51" t="b">
        <f t="shared" ref="GT83:GU83" si="1255">GT37</f>
        <v>0</v>
      </c>
      <c r="GU83" s="51" t="b">
        <f t="shared" si="1255"/>
        <v>0</v>
      </c>
      <c r="GV83" s="51" t="b">
        <f t="shared" ref="GV83:GW83" si="1256">GV37</f>
        <v>0</v>
      </c>
      <c r="GW83" s="51" t="b">
        <f t="shared" si="1256"/>
        <v>0</v>
      </c>
      <c r="GX83" s="20" t="str">
        <f t="shared" si="154"/>
        <v/>
      </c>
      <c r="GY83" s="51" t="str">
        <f t="shared" si="155"/>
        <v/>
      </c>
      <c r="GZ83" s="20" t="str">
        <f t="shared" si="156"/>
        <v/>
      </c>
      <c r="HA83" s="51" t="b">
        <f t="shared" ref="HA83:HD83" si="1257">HA37</f>
        <v>0</v>
      </c>
      <c r="HB83" s="51" t="b">
        <f t="shared" si="1257"/>
        <v>0</v>
      </c>
      <c r="HC83" s="51" t="b">
        <f t="shared" si="1257"/>
        <v>0</v>
      </c>
      <c r="HD83" s="51" t="b">
        <f t="shared" si="1257"/>
        <v>0</v>
      </c>
      <c r="HE83" s="51" t="str">
        <f t="shared" si="158"/>
        <v/>
      </c>
      <c r="HF83" s="19" t="str">
        <f t="shared" si="159"/>
        <v/>
      </c>
      <c r="HG83" s="20" t="str">
        <f t="shared" si="160"/>
        <v/>
      </c>
      <c r="HH83" s="51" t="b">
        <f t="shared" ref="HH83:HK83" si="1258">HH37</f>
        <v>0</v>
      </c>
      <c r="HI83" s="51" t="b">
        <f t="shared" si="1258"/>
        <v>0</v>
      </c>
      <c r="HJ83" s="51" t="b">
        <f t="shared" si="1258"/>
        <v>0</v>
      </c>
      <c r="HK83" s="51" t="b">
        <f t="shared" si="1258"/>
        <v>0</v>
      </c>
      <c r="HL83" s="20" t="str">
        <f t="shared" si="162"/>
        <v/>
      </c>
      <c r="HM83" s="51" t="str">
        <f t="shared" si="163"/>
        <v/>
      </c>
      <c r="HN83" s="20" t="str">
        <f t="shared" si="164"/>
        <v/>
      </c>
      <c r="HO83" s="51" t="b">
        <f t="shared" ref="HO83:HP83" si="1259">HO37</f>
        <v>0</v>
      </c>
      <c r="HP83" s="51" t="b">
        <f t="shared" si="1259"/>
        <v>0</v>
      </c>
      <c r="HQ83" s="51" t="b">
        <f t="shared" ref="HQ83:HR83" si="1260">HQ37</f>
        <v>0</v>
      </c>
      <c r="HR83" s="51" t="b">
        <f t="shared" si="1260"/>
        <v>0</v>
      </c>
      <c r="HS83" s="20" t="str">
        <f t="shared" si="165"/>
        <v/>
      </c>
      <c r="HT83" s="51" t="str">
        <f t="shared" si="166"/>
        <v/>
      </c>
      <c r="HU83" s="20" t="str">
        <f t="shared" si="167"/>
        <v/>
      </c>
      <c r="HV83" s="51" t="b">
        <f t="shared" ref="HV83:HY83" si="1261">HV37</f>
        <v>0</v>
      </c>
      <c r="HW83" s="51" t="b">
        <f t="shared" si="1261"/>
        <v>0</v>
      </c>
      <c r="HX83" s="51" t="b">
        <f t="shared" si="1261"/>
        <v>0</v>
      </c>
      <c r="HY83" s="51" t="b">
        <f t="shared" si="1261"/>
        <v>0</v>
      </c>
      <c r="HZ83" s="51" t="str">
        <f t="shared" si="169"/>
        <v/>
      </c>
      <c r="IA83" s="19" t="str">
        <f t="shared" si="170"/>
        <v/>
      </c>
      <c r="IB83" s="20" t="str">
        <f t="shared" si="171"/>
        <v/>
      </c>
      <c r="IC83" s="51" t="b">
        <f t="shared" ref="IC83:IF83" si="1262">IC37</f>
        <v>0</v>
      </c>
      <c r="ID83" s="51" t="b">
        <f t="shared" si="1262"/>
        <v>0</v>
      </c>
      <c r="IE83" s="51" t="b">
        <f t="shared" si="1262"/>
        <v>0</v>
      </c>
      <c r="IF83" s="51" t="b">
        <f t="shared" si="1262"/>
        <v>0</v>
      </c>
      <c r="IG83" s="20" t="str">
        <f t="shared" si="173"/>
        <v/>
      </c>
      <c r="IH83" s="51" t="str">
        <f t="shared" si="174"/>
        <v/>
      </c>
      <c r="II83" s="20" t="str">
        <f t="shared" si="175"/>
        <v/>
      </c>
      <c r="IJ83" s="51" t="b">
        <f t="shared" ref="IJ83:IK83" si="1263">IJ37</f>
        <v>0</v>
      </c>
      <c r="IK83" s="51" t="b">
        <f t="shared" si="1263"/>
        <v>0</v>
      </c>
      <c r="IL83" s="51" t="b">
        <f t="shared" ref="IL83:IM83" si="1264">IL37</f>
        <v>0</v>
      </c>
      <c r="IM83" s="51" t="b">
        <f t="shared" si="1264"/>
        <v>0</v>
      </c>
      <c r="IN83" s="20" t="str">
        <f t="shared" si="176"/>
        <v/>
      </c>
      <c r="IO83" s="51" t="str">
        <f t="shared" si="177"/>
        <v/>
      </c>
      <c r="IP83" s="20" t="str">
        <f t="shared" si="178"/>
        <v/>
      </c>
      <c r="IQ83" s="51" t="b">
        <f t="shared" ref="IQ83:IT83" si="1265">IQ37</f>
        <v>0</v>
      </c>
      <c r="IR83" s="51" t="b">
        <f t="shared" si="1265"/>
        <v>0</v>
      </c>
      <c r="IS83" s="51" t="b">
        <f t="shared" si="1265"/>
        <v>0</v>
      </c>
      <c r="IT83" s="51" t="b">
        <f t="shared" si="1265"/>
        <v>0</v>
      </c>
      <c r="IU83" s="51" t="str">
        <f t="shared" si="180"/>
        <v/>
      </c>
      <c r="IV83" s="116"/>
    </row>
    <row r="84" spans="3:256" x14ac:dyDescent="0.2">
      <c r="C84">
        <v>29</v>
      </c>
      <c r="D84" s="19" t="str">
        <f t="shared" si="48"/>
        <v/>
      </c>
      <c r="E84" s="20" t="str">
        <f t="shared" si="49"/>
        <v/>
      </c>
      <c r="F84" s="51" t="b">
        <f t="shared" si="781"/>
        <v>0</v>
      </c>
      <c r="G84" s="51" t="b">
        <f t="shared" si="781"/>
        <v>0</v>
      </c>
      <c r="H84" s="51" t="b">
        <f t="shared" si="781"/>
        <v>0</v>
      </c>
      <c r="I84" s="51" t="b">
        <f t="shared" si="781"/>
        <v>0</v>
      </c>
      <c r="J84" s="20" t="str">
        <f t="shared" si="51"/>
        <v/>
      </c>
      <c r="K84" s="51" t="str">
        <f t="shared" si="52"/>
        <v/>
      </c>
      <c r="L84" s="20" t="str">
        <f t="shared" si="53"/>
        <v/>
      </c>
      <c r="M84" s="51" t="b">
        <f t="shared" si="825"/>
        <v>0</v>
      </c>
      <c r="N84" s="51" t="b">
        <f t="shared" si="825"/>
        <v>0</v>
      </c>
      <c r="O84" s="51" t="b">
        <f t="shared" si="825"/>
        <v>0</v>
      </c>
      <c r="P84" s="51" t="b">
        <f t="shared" si="825"/>
        <v>0</v>
      </c>
      <c r="Q84" s="20" t="str">
        <f t="shared" si="55"/>
        <v/>
      </c>
      <c r="R84" s="51" t="str">
        <f t="shared" si="56"/>
        <v/>
      </c>
      <c r="S84" s="51" t="str">
        <f t="shared" si="57"/>
        <v/>
      </c>
      <c r="T84" s="51" t="b">
        <f t="shared" si="782"/>
        <v>0</v>
      </c>
      <c r="U84" s="51" t="b">
        <f t="shared" si="782"/>
        <v>0</v>
      </c>
      <c r="V84" s="51" t="b">
        <f t="shared" si="782"/>
        <v>0</v>
      </c>
      <c r="W84" s="51" t="b">
        <f t="shared" si="782"/>
        <v>0</v>
      </c>
      <c r="X84" s="22" t="str">
        <f t="shared" si="59"/>
        <v/>
      </c>
      <c r="Y84" s="19" t="str">
        <f t="shared" si="60"/>
        <v/>
      </c>
      <c r="Z84" s="20" t="str">
        <f t="shared" si="61"/>
        <v/>
      </c>
      <c r="AA84" s="51" t="b">
        <f t="shared" si="783"/>
        <v>0</v>
      </c>
      <c r="AB84" s="51" t="b">
        <f t="shared" si="783"/>
        <v>0</v>
      </c>
      <c r="AC84" s="51" t="b">
        <f t="shared" si="783"/>
        <v>0</v>
      </c>
      <c r="AD84" s="51" t="b">
        <f t="shared" si="783"/>
        <v>0</v>
      </c>
      <c r="AE84" s="20" t="str">
        <f t="shared" si="63"/>
        <v/>
      </c>
      <c r="AF84" s="51" t="str">
        <f t="shared" si="64"/>
        <v/>
      </c>
      <c r="AG84" s="20" t="str">
        <f t="shared" si="65"/>
        <v/>
      </c>
      <c r="AH84" s="51" t="b">
        <f t="shared" ref="AH84:AK84" si="1266">AH38</f>
        <v>0</v>
      </c>
      <c r="AI84" s="51" t="b">
        <f t="shared" si="1266"/>
        <v>0</v>
      </c>
      <c r="AJ84" s="51" t="b">
        <f t="shared" si="1266"/>
        <v>0</v>
      </c>
      <c r="AK84" s="51" t="b">
        <f t="shared" si="1266"/>
        <v>0</v>
      </c>
      <c r="AL84" s="20" t="str">
        <f t="shared" si="66"/>
        <v/>
      </c>
      <c r="AM84" s="51" t="str">
        <f t="shared" si="67"/>
        <v/>
      </c>
      <c r="AN84" s="20" t="str">
        <f t="shared" si="68"/>
        <v/>
      </c>
      <c r="AO84" s="51" t="b">
        <f t="shared" si="785"/>
        <v>0</v>
      </c>
      <c r="AP84" s="51" t="b">
        <f t="shared" si="785"/>
        <v>0</v>
      </c>
      <c r="AQ84" s="51" t="b">
        <f t="shared" si="785"/>
        <v>0</v>
      </c>
      <c r="AR84" s="51" t="b">
        <f t="shared" si="785"/>
        <v>0</v>
      </c>
      <c r="AS84" s="51" t="str">
        <f t="shared" si="70"/>
        <v/>
      </c>
      <c r="AT84" s="19" t="str">
        <f t="shared" si="71"/>
        <v/>
      </c>
      <c r="AU84" s="20" t="str">
        <f t="shared" si="72"/>
        <v/>
      </c>
      <c r="AV84" s="51" t="b">
        <f t="shared" ref="AV84:AY84" si="1267">AV38</f>
        <v>0</v>
      </c>
      <c r="AW84" s="51" t="b">
        <f t="shared" si="1267"/>
        <v>0</v>
      </c>
      <c r="AX84" s="51" t="b">
        <f t="shared" si="1267"/>
        <v>0</v>
      </c>
      <c r="AY84" s="51" t="b">
        <f t="shared" si="1267"/>
        <v>0</v>
      </c>
      <c r="AZ84" s="20" t="str">
        <f t="shared" si="74"/>
        <v/>
      </c>
      <c r="BA84" s="51" t="str">
        <f t="shared" si="75"/>
        <v/>
      </c>
      <c r="BB84" s="20" t="str">
        <f t="shared" si="76"/>
        <v/>
      </c>
      <c r="BC84" s="51" t="b">
        <f t="shared" ref="BC84:BF84" si="1268">BC38</f>
        <v>0</v>
      </c>
      <c r="BD84" s="51" t="b">
        <f t="shared" si="1268"/>
        <v>0</v>
      </c>
      <c r="BE84" s="51" t="b">
        <f t="shared" si="1268"/>
        <v>0</v>
      </c>
      <c r="BF84" s="51" t="b">
        <f t="shared" si="1268"/>
        <v>0</v>
      </c>
      <c r="BG84" s="20" t="str">
        <f t="shared" si="77"/>
        <v/>
      </c>
      <c r="BH84" s="51" t="str">
        <f t="shared" si="78"/>
        <v/>
      </c>
      <c r="BI84" s="20" t="str">
        <f t="shared" si="79"/>
        <v/>
      </c>
      <c r="BJ84" s="51" t="b">
        <f t="shared" ref="BJ84:BM84" si="1269">BJ38</f>
        <v>0</v>
      </c>
      <c r="BK84" s="51" t="b">
        <f t="shared" si="1269"/>
        <v>0</v>
      </c>
      <c r="BL84" s="51" t="b">
        <f t="shared" si="1269"/>
        <v>0</v>
      </c>
      <c r="BM84" s="51" t="b">
        <f t="shared" si="1269"/>
        <v>0</v>
      </c>
      <c r="BN84" s="51" t="str">
        <f t="shared" si="81"/>
        <v/>
      </c>
      <c r="BO84" s="19" t="str">
        <f t="shared" si="82"/>
        <v/>
      </c>
      <c r="BP84" s="20" t="str">
        <f t="shared" si="83"/>
        <v/>
      </c>
      <c r="BQ84" s="51" t="b">
        <f t="shared" ref="BQ84:BT84" si="1270">BQ38</f>
        <v>0</v>
      </c>
      <c r="BR84" s="51" t="b">
        <f t="shared" si="1270"/>
        <v>0</v>
      </c>
      <c r="BS84" s="51" t="b">
        <f t="shared" si="1270"/>
        <v>0</v>
      </c>
      <c r="BT84" s="51" t="b">
        <f t="shared" si="1270"/>
        <v>0</v>
      </c>
      <c r="BU84" s="20" t="str">
        <f t="shared" si="85"/>
        <v/>
      </c>
      <c r="BV84" s="51" t="str">
        <f t="shared" si="86"/>
        <v/>
      </c>
      <c r="BW84" s="20" t="str">
        <f t="shared" si="87"/>
        <v/>
      </c>
      <c r="BX84" s="51" t="b">
        <f t="shared" ref="BX84:BY84" si="1271">BX38</f>
        <v>0</v>
      </c>
      <c r="BY84" s="51" t="b">
        <f t="shared" si="1271"/>
        <v>0</v>
      </c>
      <c r="BZ84" s="51" t="b">
        <f t="shared" ref="BZ84:CA84" si="1272">BZ38</f>
        <v>0</v>
      </c>
      <c r="CA84" s="51" t="b">
        <f t="shared" si="1272"/>
        <v>0</v>
      </c>
      <c r="CB84" s="20" t="str">
        <f t="shared" si="88"/>
        <v/>
      </c>
      <c r="CC84" s="51" t="str">
        <f t="shared" si="89"/>
        <v/>
      </c>
      <c r="CD84" s="20" t="str">
        <f t="shared" si="90"/>
        <v/>
      </c>
      <c r="CE84" s="51" t="b">
        <f t="shared" ref="CE84:CH84" si="1273">CE38</f>
        <v>0</v>
      </c>
      <c r="CF84" s="51" t="b">
        <f t="shared" si="1273"/>
        <v>0</v>
      </c>
      <c r="CG84" s="51" t="b">
        <f t="shared" si="1273"/>
        <v>0</v>
      </c>
      <c r="CH84" s="51" t="b">
        <f t="shared" si="1273"/>
        <v>0</v>
      </c>
      <c r="CI84" s="51" t="str">
        <f t="shared" si="92"/>
        <v/>
      </c>
      <c r="CJ84" s="19" t="str">
        <f t="shared" si="93"/>
        <v/>
      </c>
      <c r="CK84" s="20" t="str">
        <f t="shared" si="94"/>
        <v/>
      </c>
      <c r="CL84" s="51" t="b">
        <f t="shared" ref="CL84:CO84" si="1274">CL38</f>
        <v>0</v>
      </c>
      <c r="CM84" s="51" t="b">
        <f t="shared" si="1274"/>
        <v>0</v>
      </c>
      <c r="CN84" s="51" t="b">
        <f t="shared" si="1274"/>
        <v>0</v>
      </c>
      <c r="CO84" s="51" t="b">
        <f t="shared" si="1274"/>
        <v>0</v>
      </c>
      <c r="CP84" s="20" t="str">
        <f t="shared" si="96"/>
        <v/>
      </c>
      <c r="CQ84" s="51" t="str">
        <f t="shared" si="97"/>
        <v/>
      </c>
      <c r="CR84" s="20" t="str">
        <f t="shared" si="98"/>
        <v/>
      </c>
      <c r="CS84" s="51" t="b">
        <f t="shared" ref="CS84:CT84" si="1275">CS38</f>
        <v>0</v>
      </c>
      <c r="CT84" s="51" t="b">
        <f t="shared" si="1275"/>
        <v>0</v>
      </c>
      <c r="CU84" s="51" t="b">
        <f t="shared" ref="CU84:CV84" si="1276">CU38</f>
        <v>0</v>
      </c>
      <c r="CV84" s="51" t="b">
        <f t="shared" si="1276"/>
        <v>0</v>
      </c>
      <c r="CW84" s="20" t="str">
        <f t="shared" si="99"/>
        <v/>
      </c>
      <c r="CX84" s="51" t="str">
        <f t="shared" si="100"/>
        <v/>
      </c>
      <c r="CY84" s="20" t="str">
        <f t="shared" si="101"/>
        <v/>
      </c>
      <c r="CZ84" s="51" t="b">
        <f t="shared" ref="CZ84:DC84" si="1277">CZ38</f>
        <v>0</v>
      </c>
      <c r="DA84" s="51" t="b">
        <f t="shared" si="1277"/>
        <v>0</v>
      </c>
      <c r="DB84" s="51" t="b">
        <f t="shared" si="1277"/>
        <v>0</v>
      </c>
      <c r="DC84" s="51" t="b">
        <f t="shared" si="1277"/>
        <v>0</v>
      </c>
      <c r="DD84" s="51" t="str">
        <f t="shared" si="103"/>
        <v/>
      </c>
      <c r="DE84" s="19" t="str">
        <f t="shared" si="104"/>
        <v/>
      </c>
      <c r="DF84" s="20" t="str">
        <f t="shared" si="105"/>
        <v/>
      </c>
      <c r="DG84" s="51" t="b">
        <f t="shared" ref="DG84:DJ84" si="1278">DG38</f>
        <v>0</v>
      </c>
      <c r="DH84" s="51" t="b">
        <f t="shared" si="1278"/>
        <v>0</v>
      </c>
      <c r="DI84" s="51" t="b">
        <f t="shared" si="1278"/>
        <v>0</v>
      </c>
      <c r="DJ84" s="51" t="b">
        <f t="shared" si="1278"/>
        <v>0</v>
      </c>
      <c r="DK84" s="20" t="str">
        <f t="shared" si="107"/>
        <v/>
      </c>
      <c r="DL84" s="51" t="str">
        <f t="shared" si="108"/>
        <v/>
      </c>
      <c r="DM84" s="20" t="str">
        <f t="shared" si="109"/>
        <v/>
      </c>
      <c r="DN84" s="51" t="b">
        <f t="shared" ref="DN84:DO84" si="1279">DN38</f>
        <v>0</v>
      </c>
      <c r="DO84" s="51" t="b">
        <f t="shared" si="1279"/>
        <v>0</v>
      </c>
      <c r="DP84" s="51" t="b">
        <f t="shared" ref="DP84:DQ84" si="1280">DP38</f>
        <v>0</v>
      </c>
      <c r="DQ84" s="51" t="b">
        <f t="shared" si="1280"/>
        <v>0</v>
      </c>
      <c r="DR84" s="20" t="str">
        <f t="shared" si="110"/>
        <v/>
      </c>
      <c r="DS84" s="51" t="str">
        <f t="shared" si="111"/>
        <v/>
      </c>
      <c r="DT84" s="20" t="str">
        <f t="shared" si="112"/>
        <v/>
      </c>
      <c r="DU84" s="51" t="b">
        <f t="shared" ref="DU84:DX84" si="1281">DU38</f>
        <v>0</v>
      </c>
      <c r="DV84" s="51" t="b">
        <f t="shared" si="1281"/>
        <v>0</v>
      </c>
      <c r="DW84" s="51" t="b">
        <f t="shared" si="1281"/>
        <v>0</v>
      </c>
      <c r="DX84" s="51" t="b">
        <f t="shared" si="1281"/>
        <v>0</v>
      </c>
      <c r="DY84" s="51" t="str">
        <f t="shared" si="114"/>
        <v/>
      </c>
      <c r="DZ84" s="19" t="str">
        <f t="shared" si="115"/>
        <v/>
      </c>
      <c r="EA84" s="20" t="str">
        <f t="shared" si="116"/>
        <v/>
      </c>
      <c r="EB84" s="51" t="b">
        <f t="shared" ref="EB84:EE84" si="1282">EB38</f>
        <v>0</v>
      </c>
      <c r="EC84" s="51" t="b">
        <f t="shared" si="1282"/>
        <v>0</v>
      </c>
      <c r="ED84" s="51" t="b">
        <f t="shared" si="1282"/>
        <v>0</v>
      </c>
      <c r="EE84" s="51" t="b">
        <f t="shared" si="1282"/>
        <v>0</v>
      </c>
      <c r="EF84" s="20" t="str">
        <f t="shared" si="118"/>
        <v/>
      </c>
      <c r="EG84" s="51" t="str">
        <f t="shared" si="119"/>
        <v/>
      </c>
      <c r="EH84" s="20" t="str">
        <f t="shared" si="120"/>
        <v/>
      </c>
      <c r="EI84" s="51" t="b">
        <f t="shared" ref="EI84:EJ84" si="1283">EI38</f>
        <v>0</v>
      </c>
      <c r="EJ84" s="51" t="b">
        <f t="shared" si="1283"/>
        <v>0</v>
      </c>
      <c r="EK84" s="51" t="b">
        <f t="shared" ref="EK84:EL84" si="1284">EK38</f>
        <v>0</v>
      </c>
      <c r="EL84" s="51" t="b">
        <f t="shared" si="1284"/>
        <v>0</v>
      </c>
      <c r="EM84" s="20" t="str">
        <f t="shared" si="121"/>
        <v/>
      </c>
      <c r="EN84" s="51" t="str">
        <f t="shared" si="122"/>
        <v/>
      </c>
      <c r="EO84" s="20" t="str">
        <f t="shared" si="123"/>
        <v/>
      </c>
      <c r="EP84" s="51" t="b">
        <f t="shared" ref="EP84:ES84" si="1285">EP38</f>
        <v>0</v>
      </c>
      <c r="EQ84" s="51" t="b">
        <f t="shared" si="1285"/>
        <v>0</v>
      </c>
      <c r="ER84" s="51" t="b">
        <f t="shared" si="1285"/>
        <v>0</v>
      </c>
      <c r="ES84" s="51" t="b">
        <f t="shared" si="1285"/>
        <v>0</v>
      </c>
      <c r="ET84" s="51" t="str">
        <f t="shared" si="125"/>
        <v/>
      </c>
      <c r="EU84" s="19" t="str">
        <f t="shared" si="126"/>
        <v/>
      </c>
      <c r="EV84" s="20" t="str">
        <f t="shared" si="127"/>
        <v/>
      </c>
      <c r="EW84" s="51" t="b">
        <f t="shared" ref="EW84:EZ84" si="1286">EW38</f>
        <v>0</v>
      </c>
      <c r="EX84" s="51" t="b">
        <f t="shared" si="1286"/>
        <v>0</v>
      </c>
      <c r="EY84" s="51" t="b">
        <f t="shared" si="1286"/>
        <v>0</v>
      </c>
      <c r="EZ84" s="51" t="b">
        <f t="shared" si="1286"/>
        <v>0</v>
      </c>
      <c r="FA84" s="20" t="str">
        <f t="shared" si="129"/>
        <v/>
      </c>
      <c r="FB84" s="51" t="str">
        <f t="shared" si="130"/>
        <v/>
      </c>
      <c r="FC84" s="20" t="str">
        <f t="shared" si="131"/>
        <v/>
      </c>
      <c r="FD84" s="51" t="b">
        <f t="shared" ref="FD84:FE84" si="1287">FD38</f>
        <v>0</v>
      </c>
      <c r="FE84" s="51" t="b">
        <f t="shared" si="1287"/>
        <v>0</v>
      </c>
      <c r="FF84" s="51" t="b">
        <f t="shared" ref="FF84:FG84" si="1288">FF38</f>
        <v>0</v>
      </c>
      <c r="FG84" s="51" t="b">
        <f t="shared" si="1288"/>
        <v>0</v>
      </c>
      <c r="FH84" s="20" t="str">
        <f t="shared" si="132"/>
        <v/>
      </c>
      <c r="FI84" s="51" t="str">
        <f t="shared" si="133"/>
        <v/>
      </c>
      <c r="FJ84" s="20" t="str">
        <f t="shared" si="134"/>
        <v/>
      </c>
      <c r="FK84" s="51" t="b">
        <f t="shared" ref="FK84:FN84" si="1289">FK38</f>
        <v>0</v>
      </c>
      <c r="FL84" s="51" t="b">
        <f t="shared" si="1289"/>
        <v>0</v>
      </c>
      <c r="FM84" s="51" t="b">
        <f t="shared" si="1289"/>
        <v>0</v>
      </c>
      <c r="FN84" s="51" t="b">
        <f t="shared" si="1289"/>
        <v>0</v>
      </c>
      <c r="FO84" s="51" t="str">
        <f t="shared" si="136"/>
        <v/>
      </c>
      <c r="FP84" s="19" t="str">
        <f t="shared" si="137"/>
        <v/>
      </c>
      <c r="FQ84" s="20" t="str">
        <f t="shared" si="138"/>
        <v/>
      </c>
      <c r="FR84" s="51" t="b">
        <f t="shared" ref="FR84:FU84" si="1290">FR38</f>
        <v>0</v>
      </c>
      <c r="FS84" s="51" t="b">
        <f t="shared" si="1290"/>
        <v>0</v>
      </c>
      <c r="FT84" s="51" t="b">
        <f t="shared" si="1290"/>
        <v>0</v>
      </c>
      <c r="FU84" s="51" t="b">
        <f t="shared" si="1290"/>
        <v>0</v>
      </c>
      <c r="FV84" s="20" t="str">
        <f t="shared" si="140"/>
        <v/>
      </c>
      <c r="FW84" s="51" t="str">
        <f t="shared" si="141"/>
        <v/>
      </c>
      <c r="FX84" s="20" t="str">
        <f t="shared" si="142"/>
        <v/>
      </c>
      <c r="FY84" s="51" t="b">
        <f t="shared" ref="FY84:FZ84" si="1291">FY38</f>
        <v>0</v>
      </c>
      <c r="FZ84" s="51" t="b">
        <f t="shared" si="1291"/>
        <v>0</v>
      </c>
      <c r="GA84" s="51" t="b">
        <f t="shared" ref="GA84:GB84" si="1292">GA38</f>
        <v>0</v>
      </c>
      <c r="GB84" s="51" t="b">
        <f t="shared" si="1292"/>
        <v>0</v>
      </c>
      <c r="GC84" s="20" t="str">
        <f t="shared" si="143"/>
        <v/>
      </c>
      <c r="GD84" s="51" t="str">
        <f t="shared" si="144"/>
        <v/>
      </c>
      <c r="GE84" s="20" t="str">
        <f t="shared" si="145"/>
        <v/>
      </c>
      <c r="GF84" s="51" t="b">
        <f t="shared" ref="GF84:GI84" si="1293">GF38</f>
        <v>0</v>
      </c>
      <c r="GG84" s="51" t="b">
        <f t="shared" si="1293"/>
        <v>0</v>
      </c>
      <c r="GH84" s="51" t="b">
        <f t="shared" si="1293"/>
        <v>0</v>
      </c>
      <c r="GI84" s="51" t="b">
        <f t="shared" si="1293"/>
        <v>0</v>
      </c>
      <c r="GJ84" s="51" t="str">
        <f t="shared" si="147"/>
        <v/>
      </c>
      <c r="GK84" s="19" t="str">
        <f t="shared" si="148"/>
        <v/>
      </c>
      <c r="GL84" s="20" t="str">
        <f t="shared" si="149"/>
        <v/>
      </c>
      <c r="GM84" s="51" t="b">
        <f t="shared" ref="GM84:GP84" si="1294">GM38</f>
        <v>0</v>
      </c>
      <c r="GN84" s="51" t="b">
        <f t="shared" si="1294"/>
        <v>0</v>
      </c>
      <c r="GO84" s="51" t="b">
        <f t="shared" si="1294"/>
        <v>0</v>
      </c>
      <c r="GP84" s="51" t="b">
        <f t="shared" si="1294"/>
        <v>0</v>
      </c>
      <c r="GQ84" s="20" t="str">
        <f t="shared" si="151"/>
        <v/>
      </c>
      <c r="GR84" s="51" t="str">
        <f t="shared" si="152"/>
        <v/>
      </c>
      <c r="GS84" s="20" t="str">
        <f t="shared" si="153"/>
        <v/>
      </c>
      <c r="GT84" s="51" t="b">
        <f t="shared" ref="GT84:GU84" si="1295">GT38</f>
        <v>0</v>
      </c>
      <c r="GU84" s="51" t="b">
        <f t="shared" si="1295"/>
        <v>0</v>
      </c>
      <c r="GV84" s="51" t="b">
        <f t="shared" ref="GV84:GW84" si="1296">GV38</f>
        <v>0</v>
      </c>
      <c r="GW84" s="51" t="b">
        <f t="shared" si="1296"/>
        <v>0</v>
      </c>
      <c r="GX84" s="20" t="str">
        <f t="shared" si="154"/>
        <v/>
      </c>
      <c r="GY84" s="51" t="str">
        <f t="shared" si="155"/>
        <v/>
      </c>
      <c r="GZ84" s="20" t="str">
        <f t="shared" si="156"/>
        <v/>
      </c>
      <c r="HA84" s="51" t="b">
        <f t="shared" ref="HA84:HD84" si="1297">HA38</f>
        <v>0</v>
      </c>
      <c r="HB84" s="51" t="b">
        <f t="shared" si="1297"/>
        <v>0</v>
      </c>
      <c r="HC84" s="51" t="b">
        <f t="shared" si="1297"/>
        <v>0</v>
      </c>
      <c r="HD84" s="51" t="b">
        <f t="shared" si="1297"/>
        <v>0</v>
      </c>
      <c r="HE84" s="51" t="str">
        <f t="shared" si="158"/>
        <v/>
      </c>
      <c r="HF84" s="19" t="str">
        <f t="shared" si="159"/>
        <v/>
      </c>
      <c r="HG84" s="20" t="str">
        <f t="shared" si="160"/>
        <v/>
      </c>
      <c r="HH84" s="51" t="b">
        <f t="shared" ref="HH84:HK84" si="1298">HH38</f>
        <v>0</v>
      </c>
      <c r="HI84" s="51" t="b">
        <f t="shared" si="1298"/>
        <v>0</v>
      </c>
      <c r="HJ84" s="51" t="b">
        <f t="shared" si="1298"/>
        <v>0</v>
      </c>
      <c r="HK84" s="51" t="b">
        <f t="shared" si="1298"/>
        <v>0</v>
      </c>
      <c r="HL84" s="20" t="str">
        <f t="shared" si="162"/>
        <v/>
      </c>
      <c r="HM84" s="51" t="str">
        <f t="shared" si="163"/>
        <v/>
      </c>
      <c r="HN84" s="20" t="str">
        <f t="shared" si="164"/>
        <v/>
      </c>
      <c r="HO84" s="51" t="b">
        <f t="shared" ref="HO84:HP84" si="1299">HO38</f>
        <v>0</v>
      </c>
      <c r="HP84" s="51" t="b">
        <f t="shared" si="1299"/>
        <v>0</v>
      </c>
      <c r="HQ84" s="51" t="b">
        <f t="shared" ref="HQ84:HR84" si="1300">HQ38</f>
        <v>0</v>
      </c>
      <c r="HR84" s="51" t="b">
        <f t="shared" si="1300"/>
        <v>0</v>
      </c>
      <c r="HS84" s="20" t="str">
        <f t="shared" si="165"/>
        <v/>
      </c>
      <c r="HT84" s="51" t="str">
        <f t="shared" si="166"/>
        <v/>
      </c>
      <c r="HU84" s="20" t="str">
        <f t="shared" si="167"/>
        <v/>
      </c>
      <c r="HV84" s="51" t="b">
        <f t="shared" ref="HV84:HY84" si="1301">HV38</f>
        <v>0</v>
      </c>
      <c r="HW84" s="51" t="b">
        <f t="shared" si="1301"/>
        <v>0</v>
      </c>
      <c r="HX84" s="51" t="b">
        <f t="shared" si="1301"/>
        <v>0</v>
      </c>
      <c r="HY84" s="51" t="b">
        <f t="shared" si="1301"/>
        <v>0</v>
      </c>
      <c r="HZ84" s="51" t="str">
        <f t="shared" si="169"/>
        <v/>
      </c>
      <c r="IA84" s="19" t="str">
        <f t="shared" si="170"/>
        <v/>
      </c>
      <c r="IB84" s="20" t="str">
        <f t="shared" si="171"/>
        <v/>
      </c>
      <c r="IC84" s="51" t="b">
        <f t="shared" ref="IC84:IF84" si="1302">IC38</f>
        <v>0</v>
      </c>
      <c r="ID84" s="51" t="b">
        <f t="shared" si="1302"/>
        <v>0</v>
      </c>
      <c r="IE84" s="51" t="b">
        <f t="shared" si="1302"/>
        <v>0</v>
      </c>
      <c r="IF84" s="51" t="b">
        <f t="shared" si="1302"/>
        <v>0</v>
      </c>
      <c r="IG84" s="20" t="str">
        <f t="shared" si="173"/>
        <v/>
      </c>
      <c r="IH84" s="51" t="str">
        <f t="shared" si="174"/>
        <v/>
      </c>
      <c r="II84" s="20" t="str">
        <f t="shared" si="175"/>
        <v/>
      </c>
      <c r="IJ84" s="51" t="b">
        <f t="shared" ref="IJ84:IK84" si="1303">IJ38</f>
        <v>0</v>
      </c>
      <c r="IK84" s="51" t="b">
        <f t="shared" si="1303"/>
        <v>0</v>
      </c>
      <c r="IL84" s="51" t="b">
        <f t="shared" ref="IL84:IM84" si="1304">IL38</f>
        <v>0</v>
      </c>
      <c r="IM84" s="51" t="b">
        <f t="shared" si="1304"/>
        <v>0</v>
      </c>
      <c r="IN84" s="20" t="str">
        <f t="shared" si="176"/>
        <v/>
      </c>
      <c r="IO84" s="51" t="str">
        <f t="shared" si="177"/>
        <v/>
      </c>
      <c r="IP84" s="20" t="str">
        <f t="shared" si="178"/>
        <v/>
      </c>
      <c r="IQ84" s="51" t="b">
        <f t="shared" ref="IQ84:IT84" si="1305">IQ38</f>
        <v>0</v>
      </c>
      <c r="IR84" s="51" t="b">
        <f t="shared" si="1305"/>
        <v>0</v>
      </c>
      <c r="IS84" s="51" t="b">
        <f t="shared" si="1305"/>
        <v>0</v>
      </c>
      <c r="IT84" s="51" t="b">
        <f t="shared" si="1305"/>
        <v>0</v>
      </c>
      <c r="IU84" s="51" t="str">
        <f t="shared" si="180"/>
        <v/>
      </c>
      <c r="IV84" s="116"/>
    </row>
    <row r="85" spans="3:256" ht="13.5" thickBot="1" x14ac:dyDescent="0.25">
      <c r="C85">
        <v>30</v>
      </c>
      <c r="D85" s="23" t="str">
        <f t="shared" si="48"/>
        <v/>
      </c>
      <c r="E85" s="24" t="str">
        <f t="shared" si="49"/>
        <v/>
      </c>
      <c r="F85" s="70" t="b">
        <f t="shared" si="781"/>
        <v>0</v>
      </c>
      <c r="G85" s="70" t="b">
        <f t="shared" si="781"/>
        <v>0</v>
      </c>
      <c r="H85" s="70" t="b">
        <f t="shared" si="781"/>
        <v>0</v>
      </c>
      <c r="I85" s="70" t="b">
        <f t="shared" si="781"/>
        <v>0</v>
      </c>
      <c r="J85" s="24" t="str">
        <f t="shared" si="51"/>
        <v/>
      </c>
      <c r="K85" s="70" t="str">
        <f t="shared" si="52"/>
        <v/>
      </c>
      <c r="L85" s="24" t="str">
        <f t="shared" si="53"/>
        <v/>
      </c>
      <c r="M85" s="70" t="b">
        <f t="shared" si="825"/>
        <v>0</v>
      </c>
      <c r="N85" s="70" t="b">
        <f t="shared" si="825"/>
        <v>0</v>
      </c>
      <c r="O85" s="70" t="b">
        <f t="shared" si="825"/>
        <v>0</v>
      </c>
      <c r="P85" s="70" t="b">
        <f t="shared" si="825"/>
        <v>0</v>
      </c>
      <c r="Q85" s="24" t="str">
        <f t="shared" si="55"/>
        <v/>
      </c>
      <c r="R85" s="70" t="str">
        <f t="shared" si="56"/>
        <v/>
      </c>
      <c r="S85" s="70" t="str">
        <f t="shared" si="57"/>
        <v/>
      </c>
      <c r="T85" s="70" t="b">
        <f t="shared" si="782"/>
        <v>0</v>
      </c>
      <c r="U85" s="70" t="b">
        <f t="shared" si="782"/>
        <v>0</v>
      </c>
      <c r="V85" s="70" t="b">
        <f t="shared" si="782"/>
        <v>0</v>
      </c>
      <c r="W85" s="70" t="b">
        <f t="shared" si="782"/>
        <v>0</v>
      </c>
      <c r="X85" s="25" t="str">
        <f t="shared" si="59"/>
        <v/>
      </c>
      <c r="Y85" s="23" t="str">
        <f t="shared" si="60"/>
        <v/>
      </c>
      <c r="Z85" s="24" t="str">
        <f t="shared" si="61"/>
        <v/>
      </c>
      <c r="AA85" s="70" t="b">
        <f t="shared" si="783"/>
        <v>0</v>
      </c>
      <c r="AB85" s="70" t="b">
        <f t="shared" si="783"/>
        <v>0</v>
      </c>
      <c r="AC85" s="70" t="b">
        <f t="shared" si="783"/>
        <v>0</v>
      </c>
      <c r="AD85" s="70" t="b">
        <f t="shared" si="783"/>
        <v>0</v>
      </c>
      <c r="AE85" s="24" t="str">
        <f t="shared" si="63"/>
        <v/>
      </c>
      <c r="AF85" s="70" t="str">
        <f t="shared" si="64"/>
        <v/>
      </c>
      <c r="AG85" s="24" t="str">
        <f t="shared" si="65"/>
        <v/>
      </c>
      <c r="AH85" s="70" t="b">
        <f t="shared" ref="AH85:AK85" si="1306">AH39</f>
        <v>0</v>
      </c>
      <c r="AI85" s="70" t="b">
        <f t="shared" si="1306"/>
        <v>0</v>
      </c>
      <c r="AJ85" s="70" t="b">
        <f t="shared" si="1306"/>
        <v>0</v>
      </c>
      <c r="AK85" s="70" t="b">
        <f t="shared" si="1306"/>
        <v>0</v>
      </c>
      <c r="AL85" s="24" t="str">
        <f t="shared" si="66"/>
        <v/>
      </c>
      <c r="AM85" s="70" t="str">
        <f t="shared" si="67"/>
        <v/>
      </c>
      <c r="AN85" s="24" t="str">
        <f t="shared" si="68"/>
        <v/>
      </c>
      <c r="AO85" s="70" t="b">
        <f t="shared" si="785"/>
        <v>0</v>
      </c>
      <c r="AP85" s="70" t="b">
        <f t="shared" si="785"/>
        <v>0</v>
      </c>
      <c r="AQ85" s="70" t="b">
        <f t="shared" si="785"/>
        <v>0</v>
      </c>
      <c r="AR85" s="70" t="b">
        <f t="shared" si="785"/>
        <v>0</v>
      </c>
      <c r="AS85" s="24" t="str">
        <f t="shared" si="70"/>
        <v/>
      </c>
      <c r="AT85" s="23" t="str">
        <f t="shared" si="71"/>
        <v/>
      </c>
      <c r="AU85" s="24" t="str">
        <f t="shared" si="72"/>
        <v/>
      </c>
      <c r="AV85" s="70" t="b">
        <f t="shared" ref="AV85:AY85" si="1307">AV39</f>
        <v>0</v>
      </c>
      <c r="AW85" s="70" t="b">
        <f t="shared" si="1307"/>
        <v>0</v>
      </c>
      <c r="AX85" s="70" t="b">
        <f t="shared" si="1307"/>
        <v>0</v>
      </c>
      <c r="AY85" s="70" t="b">
        <f t="shared" si="1307"/>
        <v>0</v>
      </c>
      <c r="AZ85" s="24" t="str">
        <f t="shared" si="74"/>
        <v/>
      </c>
      <c r="BA85" s="70" t="str">
        <f t="shared" si="75"/>
        <v/>
      </c>
      <c r="BB85" s="24" t="str">
        <f t="shared" si="76"/>
        <v/>
      </c>
      <c r="BC85" s="70" t="b">
        <f t="shared" ref="BC85:BF85" si="1308">BC39</f>
        <v>0</v>
      </c>
      <c r="BD85" s="70" t="b">
        <f t="shared" si="1308"/>
        <v>0</v>
      </c>
      <c r="BE85" s="70" t="b">
        <f t="shared" si="1308"/>
        <v>0</v>
      </c>
      <c r="BF85" s="70" t="b">
        <f t="shared" si="1308"/>
        <v>0</v>
      </c>
      <c r="BG85" s="24" t="str">
        <f t="shared" si="77"/>
        <v/>
      </c>
      <c r="BH85" s="70" t="str">
        <f t="shared" si="78"/>
        <v/>
      </c>
      <c r="BI85" s="24" t="str">
        <f t="shared" si="79"/>
        <v/>
      </c>
      <c r="BJ85" s="70" t="b">
        <f t="shared" ref="BJ85:BM85" si="1309">BJ39</f>
        <v>0</v>
      </c>
      <c r="BK85" s="70" t="b">
        <f t="shared" si="1309"/>
        <v>0</v>
      </c>
      <c r="BL85" s="70" t="b">
        <f t="shared" si="1309"/>
        <v>0</v>
      </c>
      <c r="BM85" s="70" t="b">
        <f t="shared" si="1309"/>
        <v>0</v>
      </c>
      <c r="BN85" s="24" t="str">
        <f t="shared" si="81"/>
        <v/>
      </c>
      <c r="BO85" s="23" t="str">
        <f t="shared" si="82"/>
        <v/>
      </c>
      <c r="BP85" s="24" t="str">
        <f t="shared" si="83"/>
        <v/>
      </c>
      <c r="BQ85" s="70" t="b">
        <f t="shared" ref="BQ85:BT85" si="1310">BQ39</f>
        <v>0</v>
      </c>
      <c r="BR85" s="70" t="b">
        <f t="shared" si="1310"/>
        <v>0</v>
      </c>
      <c r="BS85" s="70" t="b">
        <f t="shared" si="1310"/>
        <v>0</v>
      </c>
      <c r="BT85" s="70" t="b">
        <f t="shared" si="1310"/>
        <v>0</v>
      </c>
      <c r="BU85" s="24" t="str">
        <f t="shared" si="85"/>
        <v/>
      </c>
      <c r="BV85" s="70" t="str">
        <f t="shared" si="86"/>
        <v/>
      </c>
      <c r="BW85" s="24" t="str">
        <f t="shared" si="87"/>
        <v/>
      </c>
      <c r="BX85" s="70" t="b">
        <f t="shared" ref="BX85:BY85" si="1311">BX39</f>
        <v>0</v>
      </c>
      <c r="BY85" s="70" t="b">
        <f t="shared" si="1311"/>
        <v>0</v>
      </c>
      <c r="BZ85" s="70" t="b">
        <f t="shared" ref="BZ85:CA85" si="1312">BZ39</f>
        <v>0</v>
      </c>
      <c r="CA85" s="70" t="b">
        <f t="shared" si="1312"/>
        <v>0</v>
      </c>
      <c r="CB85" s="24" t="str">
        <f t="shared" si="88"/>
        <v/>
      </c>
      <c r="CC85" s="70" t="str">
        <f t="shared" si="89"/>
        <v/>
      </c>
      <c r="CD85" s="24" t="str">
        <f t="shared" si="90"/>
        <v/>
      </c>
      <c r="CE85" s="70" t="b">
        <f t="shared" ref="CE85:CH85" si="1313">CE39</f>
        <v>0</v>
      </c>
      <c r="CF85" s="70" t="b">
        <f t="shared" si="1313"/>
        <v>0</v>
      </c>
      <c r="CG85" s="70" t="b">
        <f t="shared" si="1313"/>
        <v>0</v>
      </c>
      <c r="CH85" s="70" t="b">
        <f t="shared" si="1313"/>
        <v>0</v>
      </c>
      <c r="CI85" s="24" t="str">
        <f t="shared" si="92"/>
        <v/>
      </c>
      <c r="CJ85" s="23" t="str">
        <f t="shared" si="93"/>
        <v/>
      </c>
      <c r="CK85" s="24" t="str">
        <f t="shared" si="94"/>
        <v/>
      </c>
      <c r="CL85" s="70" t="b">
        <f t="shared" ref="CL85:CO85" si="1314">CL39</f>
        <v>0</v>
      </c>
      <c r="CM85" s="70" t="b">
        <f t="shared" si="1314"/>
        <v>0</v>
      </c>
      <c r="CN85" s="70" t="b">
        <f t="shared" si="1314"/>
        <v>0</v>
      </c>
      <c r="CO85" s="70" t="b">
        <f t="shared" si="1314"/>
        <v>0</v>
      </c>
      <c r="CP85" s="24" t="str">
        <f t="shared" si="96"/>
        <v/>
      </c>
      <c r="CQ85" s="70" t="str">
        <f t="shared" si="97"/>
        <v/>
      </c>
      <c r="CR85" s="24" t="str">
        <f t="shared" si="98"/>
        <v/>
      </c>
      <c r="CS85" s="70" t="b">
        <f t="shared" ref="CS85:CT85" si="1315">CS39</f>
        <v>0</v>
      </c>
      <c r="CT85" s="70" t="b">
        <f t="shared" si="1315"/>
        <v>0</v>
      </c>
      <c r="CU85" s="70" t="b">
        <f t="shared" ref="CU85:CV85" si="1316">CU39</f>
        <v>0</v>
      </c>
      <c r="CV85" s="70" t="b">
        <f t="shared" si="1316"/>
        <v>0</v>
      </c>
      <c r="CW85" s="24" t="str">
        <f t="shared" si="99"/>
        <v/>
      </c>
      <c r="CX85" s="70" t="str">
        <f t="shared" si="100"/>
        <v/>
      </c>
      <c r="CY85" s="24" t="str">
        <f t="shared" si="101"/>
        <v/>
      </c>
      <c r="CZ85" s="70" t="b">
        <f t="shared" ref="CZ85:DC85" si="1317">CZ39</f>
        <v>0</v>
      </c>
      <c r="DA85" s="70" t="b">
        <f t="shared" si="1317"/>
        <v>0</v>
      </c>
      <c r="DB85" s="70" t="b">
        <f t="shared" si="1317"/>
        <v>0</v>
      </c>
      <c r="DC85" s="70" t="b">
        <f t="shared" si="1317"/>
        <v>0</v>
      </c>
      <c r="DD85" s="24" t="str">
        <f t="shared" si="103"/>
        <v/>
      </c>
      <c r="DE85" s="23" t="str">
        <f t="shared" si="104"/>
        <v/>
      </c>
      <c r="DF85" s="24" t="str">
        <f t="shared" si="105"/>
        <v/>
      </c>
      <c r="DG85" s="70" t="b">
        <f t="shared" ref="DG85:DJ85" si="1318">DG39</f>
        <v>0</v>
      </c>
      <c r="DH85" s="70" t="b">
        <f t="shared" si="1318"/>
        <v>0</v>
      </c>
      <c r="DI85" s="70" t="b">
        <f t="shared" si="1318"/>
        <v>0</v>
      </c>
      <c r="DJ85" s="70" t="b">
        <f t="shared" si="1318"/>
        <v>0</v>
      </c>
      <c r="DK85" s="24" t="str">
        <f t="shared" si="107"/>
        <v/>
      </c>
      <c r="DL85" s="70" t="str">
        <f t="shared" si="108"/>
        <v/>
      </c>
      <c r="DM85" s="24" t="str">
        <f t="shared" si="109"/>
        <v/>
      </c>
      <c r="DN85" s="70" t="b">
        <f t="shared" ref="DN85:DO85" si="1319">DN39</f>
        <v>0</v>
      </c>
      <c r="DO85" s="70" t="b">
        <f t="shared" si="1319"/>
        <v>0</v>
      </c>
      <c r="DP85" s="70" t="b">
        <f t="shared" ref="DP85:DQ85" si="1320">DP39</f>
        <v>0</v>
      </c>
      <c r="DQ85" s="70" t="b">
        <f t="shared" si="1320"/>
        <v>0</v>
      </c>
      <c r="DR85" s="24" t="str">
        <f t="shared" si="110"/>
        <v/>
      </c>
      <c r="DS85" s="70" t="str">
        <f t="shared" si="111"/>
        <v/>
      </c>
      <c r="DT85" s="24" t="str">
        <f t="shared" si="112"/>
        <v/>
      </c>
      <c r="DU85" s="70" t="b">
        <f t="shared" ref="DU85:DX85" si="1321">DU39</f>
        <v>0</v>
      </c>
      <c r="DV85" s="70" t="b">
        <f t="shared" si="1321"/>
        <v>0</v>
      </c>
      <c r="DW85" s="70" t="b">
        <f t="shared" si="1321"/>
        <v>0</v>
      </c>
      <c r="DX85" s="70" t="b">
        <f t="shared" si="1321"/>
        <v>0</v>
      </c>
      <c r="DY85" s="24" t="str">
        <f t="shared" si="114"/>
        <v/>
      </c>
      <c r="DZ85" s="23" t="str">
        <f t="shared" si="115"/>
        <v/>
      </c>
      <c r="EA85" s="24" t="str">
        <f t="shared" si="116"/>
        <v/>
      </c>
      <c r="EB85" s="70" t="b">
        <f t="shared" ref="EB85:EE85" si="1322">EB39</f>
        <v>0</v>
      </c>
      <c r="EC85" s="70" t="b">
        <f t="shared" si="1322"/>
        <v>0</v>
      </c>
      <c r="ED85" s="70" t="b">
        <f t="shared" si="1322"/>
        <v>0</v>
      </c>
      <c r="EE85" s="70" t="b">
        <f t="shared" si="1322"/>
        <v>0</v>
      </c>
      <c r="EF85" s="24" t="str">
        <f t="shared" si="118"/>
        <v/>
      </c>
      <c r="EG85" s="70" t="str">
        <f t="shared" si="119"/>
        <v/>
      </c>
      <c r="EH85" s="24" t="str">
        <f t="shared" si="120"/>
        <v/>
      </c>
      <c r="EI85" s="70" t="b">
        <f t="shared" ref="EI85:EJ85" si="1323">EI39</f>
        <v>0</v>
      </c>
      <c r="EJ85" s="70" t="b">
        <f t="shared" si="1323"/>
        <v>0</v>
      </c>
      <c r="EK85" s="70" t="b">
        <f t="shared" ref="EK85:EL85" si="1324">EK39</f>
        <v>0</v>
      </c>
      <c r="EL85" s="70" t="b">
        <f t="shared" si="1324"/>
        <v>0</v>
      </c>
      <c r="EM85" s="24" t="str">
        <f t="shared" si="121"/>
        <v/>
      </c>
      <c r="EN85" s="70" t="str">
        <f t="shared" si="122"/>
        <v/>
      </c>
      <c r="EO85" s="24" t="str">
        <f t="shared" si="123"/>
        <v/>
      </c>
      <c r="EP85" s="70" t="b">
        <f t="shared" ref="EP85:ES85" si="1325">EP39</f>
        <v>0</v>
      </c>
      <c r="EQ85" s="70" t="b">
        <f t="shared" si="1325"/>
        <v>0</v>
      </c>
      <c r="ER85" s="70" t="b">
        <f t="shared" si="1325"/>
        <v>0</v>
      </c>
      <c r="ES85" s="70" t="b">
        <f t="shared" si="1325"/>
        <v>0</v>
      </c>
      <c r="ET85" s="24" t="str">
        <f t="shared" si="125"/>
        <v/>
      </c>
      <c r="EU85" s="23" t="str">
        <f t="shared" si="126"/>
        <v/>
      </c>
      <c r="EV85" s="24" t="str">
        <f t="shared" si="127"/>
        <v/>
      </c>
      <c r="EW85" s="70" t="b">
        <f t="shared" ref="EW85:EZ85" si="1326">EW39</f>
        <v>0</v>
      </c>
      <c r="EX85" s="70" t="b">
        <f t="shared" si="1326"/>
        <v>0</v>
      </c>
      <c r="EY85" s="70" t="b">
        <f t="shared" si="1326"/>
        <v>0</v>
      </c>
      <c r="EZ85" s="70" t="b">
        <f t="shared" si="1326"/>
        <v>0</v>
      </c>
      <c r="FA85" s="24" t="str">
        <f t="shared" si="129"/>
        <v/>
      </c>
      <c r="FB85" s="70" t="str">
        <f t="shared" si="130"/>
        <v/>
      </c>
      <c r="FC85" s="24" t="str">
        <f t="shared" si="131"/>
        <v/>
      </c>
      <c r="FD85" s="70" t="b">
        <f t="shared" ref="FD85:FE85" si="1327">FD39</f>
        <v>0</v>
      </c>
      <c r="FE85" s="70" t="b">
        <f t="shared" si="1327"/>
        <v>0</v>
      </c>
      <c r="FF85" s="70" t="b">
        <f t="shared" ref="FF85:FG85" si="1328">FF39</f>
        <v>0</v>
      </c>
      <c r="FG85" s="70" t="b">
        <f t="shared" si="1328"/>
        <v>0</v>
      </c>
      <c r="FH85" s="24" t="str">
        <f t="shared" si="132"/>
        <v/>
      </c>
      <c r="FI85" s="70" t="str">
        <f t="shared" si="133"/>
        <v/>
      </c>
      <c r="FJ85" s="24" t="str">
        <f t="shared" si="134"/>
        <v/>
      </c>
      <c r="FK85" s="70" t="b">
        <f t="shared" ref="FK85:FN85" si="1329">FK39</f>
        <v>0</v>
      </c>
      <c r="FL85" s="70" t="b">
        <f t="shared" si="1329"/>
        <v>0</v>
      </c>
      <c r="FM85" s="70" t="b">
        <f t="shared" si="1329"/>
        <v>0</v>
      </c>
      <c r="FN85" s="70" t="b">
        <f t="shared" si="1329"/>
        <v>0</v>
      </c>
      <c r="FO85" s="24" t="str">
        <f t="shared" si="136"/>
        <v/>
      </c>
      <c r="FP85" s="23" t="str">
        <f t="shared" si="137"/>
        <v/>
      </c>
      <c r="FQ85" s="24" t="str">
        <f t="shared" si="138"/>
        <v/>
      </c>
      <c r="FR85" s="70" t="b">
        <f t="shared" ref="FR85:FU85" si="1330">FR39</f>
        <v>0</v>
      </c>
      <c r="FS85" s="70" t="b">
        <f t="shared" si="1330"/>
        <v>0</v>
      </c>
      <c r="FT85" s="70" t="b">
        <f t="shared" si="1330"/>
        <v>0</v>
      </c>
      <c r="FU85" s="70" t="b">
        <f t="shared" si="1330"/>
        <v>0</v>
      </c>
      <c r="FV85" s="24" t="str">
        <f t="shared" si="140"/>
        <v/>
      </c>
      <c r="FW85" s="70" t="str">
        <f t="shared" si="141"/>
        <v/>
      </c>
      <c r="FX85" s="24" t="str">
        <f t="shared" si="142"/>
        <v/>
      </c>
      <c r="FY85" s="70" t="b">
        <f t="shared" ref="FY85:FZ85" si="1331">FY39</f>
        <v>0</v>
      </c>
      <c r="FZ85" s="70" t="b">
        <f t="shared" si="1331"/>
        <v>0</v>
      </c>
      <c r="GA85" s="70" t="b">
        <f t="shared" ref="GA85:GB85" si="1332">GA39</f>
        <v>0</v>
      </c>
      <c r="GB85" s="70" t="b">
        <f t="shared" si="1332"/>
        <v>0</v>
      </c>
      <c r="GC85" s="24" t="str">
        <f t="shared" si="143"/>
        <v/>
      </c>
      <c r="GD85" s="70" t="str">
        <f t="shared" si="144"/>
        <v/>
      </c>
      <c r="GE85" s="24" t="str">
        <f t="shared" si="145"/>
        <v/>
      </c>
      <c r="GF85" s="70" t="b">
        <f t="shared" ref="GF85:GI85" si="1333">GF39</f>
        <v>0</v>
      </c>
      <c r="GG85" s="70" t="b">
        <f t="shared" si="1333"/>
        <v>0</v>
      </c>
      <c r="GH85" s="70" t="b">
        <f t="shared" si="1333"/>
        <v>0</v>
      </c>
      <c r="GI85" s="70" t="b">
        <f t="shared" si="1333"/>
        <v>0</v>
      </c>
      <c r="GJ85" s="24" t="str">
        <f t="shared" si="147"/>
        <v/>
      </c>
      <c r="GK85" s="23" t="str">
        <f t="shared" si="148"/>
        <v/>
      </c>
      <c r="GL85" s="24" t="str">
        <f t="shared" si="149"/>
        <v/>
      </c>
      <c r="GM85" s="70" t="b">
        <f t="shared" ref="GM85:GP85" si="1334">GM39</f>
        <v>0</v>
      </c>
      <c r="GN85" s="70" t="b">
        <f t="shared" si="1334"/>
        <v>0</v>
      </c>
      <c r="GO85" s="70" t="b">
        <f t="shared" si="1334"/>
        <v>0</v>
      </c>
      <c r="GP85" s="70" t="b">
        <f t="shared" si="1334"/>
        <v>0</v>
      </c>
      <c r="GQ85" s="24" t="str">
        <f t="shared" si="151"/>
        <v/>
      </c>
      <c r="GR85" s="70" t="str">
        <f t="shared" si="152"/>
        <v/>
      </c>
      <c r="GS85" s="24" t="str">
        <f t="shared" si="153"/>
        <v/>
      </c>
      <c r="GT85" s="70" t="b">
        <f t="shared" ref="GT85:GU85" si="1335">GT39</f>
        <v>0</v>
      </c>
      <c r="GU85" s="70" t="b">
        <f t="shared" si="1335"/>
        <v>0</v>
      </c>
      <c r="GV85" s="70" t="b">
        <f t="shared" ref="GV85:GW85" si="1336">GV39</f>
        <v>0</v>
      </c>
      <c r="GW85" s="70" t="b">
        <f t="shared" si="1336"/>
        <v>0</v>
      </c>
      <c r="GX85" s="24" t="str">
        <f t="shared" si="154"/>
        <v/>
      </c>
      <c r="GY85" s="70" t="str">
        <f t="shared" si="155"/>
        <v/>
      </c>
      <c r="GZ85" s="24" t="str">
        <f t="shared" si="156"/>
        <v/>
      </c>
      <c r="HA85" s="70" t="b">
        <f t="shared" ref="HA85:HD85" si="1337">HA39</f>
        <v>0</v>
      </c>
      <c r="HB85" s="70" t="b">
        <f t="shared" si="1337"/>
        <v>0</v>
      </c>
      <c r="HC85" s="70" t="b">
        <f t="shared" si="1337"/>
        <v>0</v>
      </c>
      <c r="HD85" s="70" t="b">
        <f t="shared" si="1337"/>
        <v>0</v>
      </c>
      <c r="HE85" s="24" t="str">
        <f t="shared" si="158"/>
        <v/>
      </c>
      <c r="HF85" s="23" t="str">
        <f t="shared" si="159"/>
        <v/>
      </c>
      <c r="HG85" s="24" t="str">
        <f t="shared" si="160"/>
        <v/>
      </c>
      <c r="HH85" s="70" t="b">
        <f t="shared" ref="HH85:HK85" si="1338">HH39</f>
        <v>0</v>
      </c>
      <c r="HI85" s="70" t="b">
        <f t="shared" si="1338"/>
        <v>0</v>
      </c>
      <c r="HJ85" s="70" t="b">
        <f t="shared" si="1338"/>
        <v>0</v>
      </c>
      <c r="HK85" s="70" t="b">
        <f t="shared" si="1338"/>
        <v>0</v>
      </c>
      <c r="HL85" s="24" t="str">
        <f t="shared" si="162"/>
        <v/>
      </c>
      <c r="HM85" s="70" t="str">
        <f t="shared" si="163"/>
        <v/>
      </c>
      <c r="HN85" s="24" t="str">
        <f t="shared" si="164"/>
        <v/>
      </c>
      <c r="HO85" s="70" t="b">
        <f t="shared" ref="HO85:HP85" si="1339">HO39</f>
        <v>0</v>
      </c>
      <c r="HP85" s="70" t="b">
        <f t="shared" si="1339"/>
        <v>0</v>
      </c>
      <c r="HQ85" s="70" t="b">
        <f t="shared" ref="HQ85:HR85" si="1340">HQ39</f>
        <v>0</v>
      </c>
      <c r="HR85" s="70" t="b">
        <f t="shared" si="1340"/>
        <v>0</v>
      </c>
      <c r="HS85" s="24" t="str">
        <f t="shared" si="165"/>
        <v/>
      </c>
      <c r="HT85" s="70" t="str">
        <f t="shared" si="166"/>
        <v/>
      </c>
      <c r="HU85" s="24" t="str">
        <f t="shared" si="167"/>
        <v/>
      </c>
      <c r="HV85" s="70" t="b">
        <f t="shared" ref="HV85:HY85" si="1341">HV39</f>
        <v>0</v>
      </c>
      <c r="HW85" s="70" t="b">
        <f t="shared" si="1341"/>
        <v>0</v>
      </c>
      <c r="HX85" s="70" t="b">
        <f t="shared" si="1341"/>
        <v>0</v>
      </c>
      <c r="HY85" s="70" t="b">
        <f t="shared" si="1341"/>
        <v>0</v>
      </c>
      <c r="HZ85" s="24" t="str">
        <f t="shared" si="169"/>
        <v/>
      </c>
      <c r="IA85" s="23" t="str">
        <f t="shared" si="170"/>
        <v/>
      </c>
      <c r="IB85" s="24" t="str">
        <f t="shared" si="171"/>
        <v/>
      </c>
      <c r="IC85" s="70" t="b">
        <f t="shared" ref="IC85:IF85" si="1342">IC39</f>
        <v>0</v>
      </c>
      <c r="ID85" s="70" t="b">
        <f t="shared" si="1342"/>
        <v>0</v>
      </c>
      <c r="IE85" s="70" t="b">
        <f t="shared" si="1342"/>
        <v>0</v>
      </c>
      <c r="IF85" s="70" t="b">
        <f t="shared" si="1342"/>
        <v>0</v>
      </c>
      <c r="IG85" s="24" t="str">
        <f t="shared" si="173"/>
        <v/>
      </c>
      <c r="IH85" s="70" t="str">
        <f t="shared" si="174"/>
        <v/>
      </c>
      <c r="II85" s="24" t="str">
        <f t="shared" si="175"/>
        <v/>
      </c>
      <c r="IJ85" s="70" t="b">
        <f t="shared" ref="IJ85:IK85" si="1343">IJ39</f>
        <v>0</v>
      </c>
      <c r="IK85" s="70" t="b">
        <f t="shared" si="1343"/>
        <v>0</v>
      </c>
      <c r="IL85" s="70" t="b">
        <f t="shared" ref="IL85:IM85" si="1344">IL39</f>
        <v>0</v>
      </c>
      <c r="IM85" s="70" t="b">
        <f t="shared" si="1344"/>
        <v>0</v>
      </c>
      <c r="IN85" s="24" t="str">
        <f t="shared" si="176"/>
        <v/>
      </c>
      <c r="IO85" s="70" t="str">
        <f t="shared" si="177"/>
        <v/>
      </c>
      <c r="IP85" s="24" t="str">
        <f t="shared" si="178"/>
        <v/>
      </c>
      <c r="IQ85" s="70" t="b">
        <f t="shared" ref="IQ85:IT85" si="1345">IQ39</f>
        <v>0</v>
      </c>
      <c r="IR85" s="70" t="b">
        <f t="shared" si="1345"/>
        <v>0</v>
      </c>
      <c r="IS85" s="70" t="b">
        <f t="shared" si="1345"/>
        <v>0</v>
      </c>
      <c r="IT85" s="70" t="b">
        <f t="shared" si="1345"/>
        <v>0</v>
      </c>
      <c r="IU85" s="70" t="str">
        <f t="shared" si="180"/>
        <v/>
      </c>
      <c r="IV85" s="116"/>
    </row>
  </sheetData>
  <dataConsolidate/>
  <conditionalFormatting sqref="M6:N7">
    <cfRule type="expression" dxfId="23" priority="23">
      <formula>IF($B$5="Eta", 1, 0)</formula>
    </cfRule>
  </conditionalFormatting>
  <conditionalFormatting sqref="S6:S7">
    <cfRule type="expression" dxfId="22" priority="24">
      <formula>IF($B$5="Power", 1, 0)</formula>
    </cfRule>
  </conditionalFormatting>
  <conditionalFormatting sqref="AH6:AI7">
    <cfRule type="expression" dxfId="21" priority="22">
      <formula>IF($B$5="Eta", 1, 0)</formula>
    </cfRule>
  </conditionalFormatting>
  <conditionalFormatting sqref="AN6:AN7">
    <cfRule type="expression" dxfId="20" priority="21">
      <formula>IF($B$5="Power", 1, 0)</formula>
    </cfRule>
  </conditionalFormatting>
  <conditionalFormatting sqref="BC6:BD7">
    <cfRule type="expression" dxfId="19" priority="20">
      <formula>IF($B$5="Eta", 1, 0)</formula>
    </cfRule>
  </conditionalFormatting>
  <conditionalFormatting sqref="BI6:BI7">
    <cfRule type="expression" dxfId="18" priority="19">
      <formula>IF($B$5="Power", 1, 0)</formula>
    </cfRule>
  </conditionalFormatting>
  <conditionalFormatting sqref="BX6:BY7">
    <cfRule type="expression" dxfId="17" priority="18">
      <formula>IF($B$5="Eta", 1, 0)</formula>
    </cfRule>
  </conditionalFormatting>
  <conditionalFormatting sqref="CD6:CD7">
    <cfRule type="expression" dxfId="16" priority="17">
      <formula>IF($B$5="Power", 1, 0)</formula>
    </cfRule>
  </conditionalFormatting>
  <conditionalFormatting sqref="CS6:CT7">
    <cfRule type="expression" dxfId="15" priority="8">
      <formula>IF($B$5="Eta", 1, 0)</formula>
    </cfRule>
  </conditionalFormatting>
  <conditionalFormatting sqref="CY6:CY7">
    <cfRule type="expression" dxfId="14" priority="16">
      <formula>IF($B$5="Power", 1, 0)</formula>
    </cfRule>
  </conditionalFormatting>
  <conditionalFormatting sqref="DN6:DO7">
    <cfRule type="expression" dxfId="13" priority="7">
      <formula>IF($B$5="Eta", 1, 0)</formula>
    </cfRule>
  </conditionalFormatting>
  <conditionalFormatting sqref="DT6:DT7">
    <cfRule type="expression" dxfId="12" priority="15">
      <formula>IF($B$5="Power", 1, 0)</formula>
    </cfRule>
  </conditionalFormatting>
  <conditionalFormatting sqref="EI6:EJ7">
    <cfRule type="expression" dxfId="11" priority="6">
      <formula>IF($B$5="Eta", 1, 0)</formula>
    </cfRule>
  </conditionalFormatting>
  <conditionalFormatting sqref="EO6:EO7">
    <cfRule type="expression" dxfId="10" priority="14">
      <formula>IF($B$5="Power", 1, 0)</formula>
    </cfRule>
  </conditionalFormatting>
  <conditionalFormatting sqref="FD6:FE7">
    <cfRule type="expression" dxfId="9" priority="5">
      <formula>IF($B$5="Eta", 1, 0)</formula>
    </cfRule>
  </conditionalFormatting>
  <conditionalFormatting sqref="FJ6:FJ7">
    <cfRule type="expression" dxfId="8" priority="13">
      <formula>IF($B$5="Power", 1, 0)</formula>
    </cfRule>
  </conditionalFormatting>
  <conditionalFormatting sqref="FY6:FZ7">
    <cfRule type="expression" dxfId="7" priority="4">
      <formula>IF($B$5="Eta", 1, 0)</formula>
    </cfRule>
  </conditionalFormatting>
  <conditionalFormatting sqref="GE6:GE7">
    <cfRule type="expression" dxfId="6" priority="12">
      <formula>IF($B$5="Power", 1, 0)</formula>
    </cfRule>
  </conditionalFormatting>
  <conditionalFormatting sqref="GT6:GU7">
    <cfRule type="expression" dxfId="5" priority="3">
      <formula>IF($B$5="Eta", 1, 0)</formula>
    </cfRule>
  </conditionalFormatting>
  <conditionalFormatting sqref="GZ6:GZ7">
    <cfRule type="expression" dxfId="4" priority="11">
      <formula>IF($B$5="Power", 1, 0)</formula>
    </cfRule>
  </conditionalFormatting>
  <conditionalFormatting sqref="HO6:HP7">
    <cfRule type="expression" dxfId="3" priority="2">
      <formula>IF($B$5="Eta", 1, 0)</formula>
    </cfRule>
  </conditionalFormatting>
  <conditionalFormatting sqref="HU6:HU7">
    <cfRule type="expression" dxfId="2" priority="10">
      <formula>IF($B$5="Power", 1, 0)</formula>
    </cfRule>
  </conditionalFormatting>
  <conditionalFormatting sqref="IJ6:IK7">
    <cfRule type="expression" dxfId="1" priority="1">
      <formula>IF($B$5="Eta", 1, 0)</formula>
    </cfRule>
  </conditionalFormatting>
  <conditionalFormatting sqref="IP6:IP7">
    <cfRule type="expression" dxfId="0" priority="9">
      <formula>IF($B$5="Power", 1, 0)</formula>
    </cfRule>
  </conditionalFormatting>
  <dataValidations count="6">
    <dataValidation type="list" allowBlank="1" showInputMessage="1" showErrorMessage="1" sqref="B5" xr:uid="{00000000-0002-0000-4000-000000000000}">
      <formula1>"Power,Eta"</formula1>
    </dataValidation>
    <dataValidation type="list" allowBlank="1" showInputMessage="1" showErrorMessage="1" sqref="B50 B4" xr:uid="{00000000-0002-0000-4000-000001000000}">
      <formula1>"kW,hp"</formula1>
    </dataValidation>
    <dataValidation type="list" allowBlank="1" showInputMessage="1" showErrorMessage="1" sqref="B49 B3" xr:uid="{00000000-0002-0000-4000-000002000000}">
      <formula1>"mm,inch"</formula1>
    </dataValidation>
    <dataValidation type="list" allowBlank="1" showInputMessage="1" showErrorMessage="1" sqref="B48 B2" xr:uid="{00000000-0002-0000-4000-000003000000}">
      <formula1>"m,ft"</formula1>
    </dataValidation>
    <dataValidation type="list" allowBlank="1" showInputMessage="1" showErrorMessage="1" sqref="B47 B1" xr:uid="{00000000-0002-0000-4000-000004000000}">
      <formula1>"m3/h,USgpm"</formula1>
    </dataValidation>
    <dataValidation type="list" allowBlank="1" showInputMessage="1" showErrorMessage="1" sqref="H7 O7 V7" xr:uid="{00000000-0002-0000-4000-000005000000}">
      <formula1>"FALSE,TRUE"</formula1>
    </dataValidation>
  </dataValidations>
  <pageMargins left="0.75" right="0.75" top="1" bottom="1" header="0.5" footer="0.5"/>
  <headerFooter alignWithMargins="0"/>
  <ignoredErrors>
    <ignoredError sqref="AT53 BO53:BW53 CD53:CR53 CY53:DM53 DT53:EH53 EO53:FC53 FJ53:FX53 GE53:GS53 GZ53:HN53 HU53:II53 IP53 AN53 BI53 BZ53:CB53 CU53:CW53 DP53:DR53 EK53:EM53 FF53:FH53 GA53:GC53 GV53:GX53 HQ53:HS53 IL53:IN5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Curve Header (IEQ use only)</vt:lpstr>
      <vt:lpstr>Curve Header Data</vt:lpstr>
      <vt:lpstr>10MAHC-2624288</vt:lpstr>
    </vt:vector>
  </TitlesOfParts>
  <Company>IntellEquip,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MikeJoy</dc:creator>
  <cp:lastModifiedBy>Bailey Milburn</cp:lastModifiedBy>
  <dcterms:created xsi:type="dcterms:W3CDTF">2001-07-12T18:02:41Z</dcterms:created>
  <dcterms:modified xsi:type="dcterms:W3CDTF">2026-03-23T16:08:02Z</dcterms:modified>
</cp:coreProperties>
</file>